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1.職能辭典" sheetId="2" state="visible" r:id="rId2"/>
    <sheet xmlns:r="http://schemas.openxmlformats.org/officeDocument/2006/relationships" name="2.職務職能需求" sheetId="3" state="visible" r:id="rId3"/>
    <sheet xmlns:r="http://schemas.openxmlformats.org/officeDocument/2006/relationships" name="3.員工名單" sheetId="4" state="visible" r:id="rId4"/>
    <sheet xmlns:r="http://schemas.openxmlformats.org/officeDocument/2006/relationships" name="4.個人職能盤點" sheetId="5" state="visible" r:id="rId5"/>
    <sheet xmlns:r="http://schemas.openxmlformats.org/officeDocument/2006/relationships" name="5.個人彙總(自動計算)" sheetId="6" state="visible" r:id="rId6"/>
    <sheet xmlns:r="http://schemas.openxmlformats.org/officeDocument/2006/relationships" name="6.職能彙總(自動計算)" sheetId="7" state="visible" r:id="rId7"/>
  </sheets>
  <definedNames>
    <definedName name="_xlnm._FilterDatabase" localSheetId="4" hidden="1">'4.個人職能盤點'!$A$1:$N$1486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/d"/>
    <numFmt numFmtId="165" formatCode="0.0%"/>
    <numFmt numFmtId="166" formatCode="0.00;\-0.00;0"/>
    <numFmt numFmtId="167" formatCode="0.0"/>
  </numFmts>
  <fonts count="2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3864"/>
      <sz val="16"/>
    </font>
    <font>
      <name val="Noto Sans CJK SC"/>
      <family val="2"/>
      <b val="1"/>
      <color theme="1"/>
      <sz val="11"/>
    </font>
    <font>
      <name val="Microsoft JhengHei"/>
      <charset val="1"/>
      <family val="0"/>
      <color theme="1"/>
      <sz val="11"/>
    </font>
    <font>
      <name val="Noto Sans CJK SC"/>
      <family val="2"/>
      <color theme="1"/>
      <sz val="11"/>
    </font>
    <font>
      <name val="Noto Sans"/>
      <charset val="1"/>
      <family val="0"/>
      <color theme="1"/>
      <sz val="11"/>
    </font>
    <font>
      <name val="Noto Sans CJK SC"/>
      <family val="2"/>
      <color rgb="FFFF0000"/>
      <sz val="11"/>
    </font>
    <font>
      <name val="Noto Sans CJK SC"/>
      <family val="2"/>
      <color rgb="FF0000FF"/>
      <sz val="11"/>
    </font>
    <font>
      <name val="Microsoft JhengHei"/>
      <charset val="1"/>
      <family val="0"/>
      <b val="1"/>
      <color theme="1"/>
      <sz val="11"/>
    </font>
    <font>
      <name val="Noto Sans CJK SC"/>
      <family val="2"/>
      <b val="1"/>
      <color rgb="FFFFFFFF"/>
      <sz val="10"/>
    </font>
    <font>
      <name val="Microsoft JhengHei"/>
      <charset val="1"/>
      <family val="0"/>
      <b val="1"/>
      <color rgb="FFFFFFFF"/>
      <sz val="10"/>
    </font>
    <font>
      <name val="Noto Sans CJK SC"/>
      <family val="2"/>
      <color rgb="FF000000"/>
      <sz val="10"/>
    </font>
    <font>
      <name val="Microsoft JhengHei"/>
      <charset val="1"/>
      <family val="0"/>
      <color rgb="FF0000FF"/>
      <sz val="10"/>
    </font>
    <font>
      <name val="Noto Sans CJK SC"/>
      <family val="2"/>
      <b val="1"/>
      <color rgb="FF000000"/>
      <sz val="10"/>
    </font>
    <font>
      <name val="Microsoft JhengHei"/>
      <charset val="1"/>
      <family val="0"/>
      <color rgb="FF000000"/>
      <sz val="10"/>
    </font>
    <font>
      <name val="Noto Sans"/>
      <charset val="1"/>
      <family val="0"/>
      <color rgb="FF000000"/>
      <sz val="10"/>
    </font>
    <font>
      <name val="Noto Sans CJK SC"/>
      <family val="2"/>
      <sz val="10"/>
    </font>
    <font>
      <name val="Noto Sans"/>
      <charset val="1"/>
      <family val="0"/>
      <b val="1"/>
      <color rgb="FFFFFFFF"/>
      <sz val="10"/>
    </font>
    <font>
      <name val="Noto Sans CJK SC"/>
      <family val="2"/>
      <color rgb="FF7F7F7F"/>
      <sz val="10"/>
    </font>
    <font>
      <name val="Noto Sans"/>
      <charset val="1"/>
      <family val="0"/>
      <color rgb="FF7F7F7F"/>
      <sz val="10"/>
    </font>
    <font>
      <name val="Calibri"/>
      <charset val="1"/>
      <family val="0"/>
      <color theme="1"/>
      <sz val="10"/>
    </font>
    <font>
      <name val="Calibri"/>
      <charset val="1"/>
      <family val="0"/>
      <color rgb="FF000000"/>
      <sz val="10"/>
    </font>
    <font>
      <name val="Microsoft JhengHei"/>
      <b val="1"/>
      <color rgb="0092400E"/>
      <sz val="10"/>
    </font>
    <font>
      <name val="Microsoft JhengHei"/>
      <b val="1"/>
      <color rgb="000369A1"/>
      <sz val="10"/>
    </font>
    <font>
      <name val="Microsoft JhengHei"/>
      <sz val="9"/>
    </font>
  </fonts>
  <fills count="14">
    <fill>
      <patternFill/>
    </fill>
    <fill>
      <patternFill patternType="gray125"/>
    </fill>
    <fill>
      <patternFill patternType="solid">
        <fgColor rgb="FFC9DAF8"/>
        <bgColor rgb="FFCFE2F3"/>
      </patternFill>
    </fill>
    <fill>
      <patternFill patternType="solid">
        <fgColor rgb="FFFFF2CC"/>
        <bgColor rgb="FFFCE5CD"/>
      </patternFill>
    </fill>
    <fill>
      <patternFill patternType="solid">
        <fgColor rgb="FFEDEDED"/>
        <bgColor rgb="FFE2EFDA"/>
      </patternFill>
    </fill>
    <fill>
      <patternFill patternType="solid">
        <fgColor rgb="FFFCE5CD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E599"/>
        <bgColor rgb="FFFCE5CD"/>
      </patternFill>
    </fill>
    <fill>
      <patternFill patternType="solid">
        <fgColor rgb="FFF9CB9C"/>
        <bgColor rgb="FFF8CBAD"/>
      </patternFill>
    </fill>
    <fill>
      <patternFill patternType="solid">
        <fgColor rgb="FFA4C2F4"/>
        <bgColor rgb="FFBFBFBF"/>
      </patternFill>
    </fill>
    <fill>
      <patternFill patternType="solid">
        <fgColor rgb="FFCFE2F3"/>
        <bgColor rgb="FFC9DAF8"/>
      </patternFill>
    </fill>
    <fill>
      <patternFill patternType="solid">
        <fgColor rgb="FFD9D2E9"/>
        <bgColor rgb="FFC9DAF8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/>
      <right style="thin">
        <color rgb="FF999999"/>
      </right>
      <top style="thin"/>
      <bottom style="thin">
        <color rgb="FF999999"/>
      </bottom>
      <diagonal/>
    </border>
    <border>
      <left/>
      <right style="thin">
        <color rgb="FFBFBFBF"/>
      </right>
      <top style="thin"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/>
      <bottom style="thin">
        <color rgb="FFBFBFBF"/>
      </bottom>
      <diagonal/>
    </border>
    <border>
      <left style="thin">
        <color rgb="FFBFBFBF"/>
      </left>
      <right style="thin"/>
      <top style="thin"/>
      <bottom style="thin">
        <color rgb="FFBFBFBF"/>
      </bottom>
      <diagonal/>
    </border>
    <border>
      <left style="thin"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/>
      <top style="thin">
        <color rgb="FFBFBFBF"/>
      </top>
      <bottom style="thin">
        <color rgb="FFBFBFBF"/>
      </bottom>
      <diagonal/>
    </border>
    <border>
      <left style="thin"/>
      <right style="thin">
        <color rgb="FF999999"/>
      </right>
      <top style="thin">
        <color rgb="FF999999"/>
      </top>
      <bottom style="thin"/>
      <diagonal/>
    </border>
    <border>
      <left/>
      <right style="thin">
        <color rgb="FFBFBFBF"/>
      </right>
      <top style="thin">
        <color rgb="FFBFBFBF"/>
      </top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/>
      <diagonal/>
    </border>
    <border>
      <left style="thin">
        <color rgb="FFBFBFBF"/>
      </left>
      <right style="thin"/>
      <top style="thin">
        <color rgb="FFBFBFBF"/>
      </top>
      <bottom style="thin"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/>
    </xf>
    <xf numFmtId="0" fontId="5" fillId="2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center" vertical="bottom" wrapText="1"/>
    </xf>
    <xf numFmtId="0" fontId="7" fillId="0" borderId="2" applyAlignment="1" pivotButton="0" quotePrefix="0" xfId="0">
      <alignment horizontal="general" vertical="bottom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4" fillId="7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20" fillId="6" borderId="3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general" vertical="bottom"/>
    </xf>
    <xf numFmtId="0" fontId="15" fillId="3" borderId="5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wrapText="1"/>
    </xf>
    <xf numFmtId="0" fontId="15" fillId="3" borderId="7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general" vertical="bottom"/>
    </xf>
    <xf numFmtId="0" fontId="15" fillId="3" borderId="9" applyAlignment="1" pivotButton="0" quotePrefix="0" xfId="0">
      <alignment horizontal="center" vertical="center" wrapText="1"/>
    </xf>
    <xf numFmtId="0" fontId="15" fillId="3" borderId="10" applyAlignment="1" pivotButton="0" quotePrefix="0" xfId="0">
      <alignment horizontal="center" vertical="center" wrapText="1"/>
    </xf>
    <xf numFmtId="0" fontId="16" fillId="9" borderId="11" applyAlignment="1" pivotButton="0" quotePrefix="0" xfId="0">
      <alignment horizontal="general" vertical="bottom"/>
    </xf>
    <xf numFmtId="0" fontId="15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general" vertical="bottom"/>
    </xf>
    <xf numFmtId="0" fontId="16" fillId="10" borderId="8" applyAlignment="1" pivotButton="0" quotePrefix="0" xfId="0">
      <alignment horizontal="general" vertical="bottom"/>
    </xf>
    <xf numFmtId="0" fontId="16" fillId="10" borderId="11" applyAlignment="1" pivotButton="0" quotePrefix="0" xfId="0">
      <alignment horizontal="general" vertical="bottom"/>
    </xf>
    <xf numFmtId="0" fontId="16" fillId="11" borderId="4" applyAlignment="1" pivotButton="0" quotePrefix="0" xfId="0">
      <alignment horizontal="general" vertical="bottom"/>
    </xf>
    <xf numFmtId="0" fontId="16" fillId="11" borderId="8" applyAlignment="1" pivotButton="0" quotePrefix="0" xfId="0">
      <alignment horizontal="general" vertical="bottom"/>
    </xf>
    <xf numFmtId="0" fontId="16" fillId="11" borderId="1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4" fontId="17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65" fontId="17" fillId="0" borderId="2" applyAlignment="1" pivotButton="0" quotePrefix="0" xfId="0">
      <alignment horizontal="center" vertical="center" wrapText="1"/>
    </xf>
    <xf numFmtId="166" fontId="17" fillId="0" borderId="2" applyAlignment="1" pivotButton="0" quotePrefix="0" xfId="0">
      <alignment horizontal="center" vertical="center" wrapText="1"/>
    </xf>
    <xf numFmtId="167" fontId="17" fillId="0" borderId="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17" pivotButton="0" quotePrefix="0" xfId="0"/>
    <xf numFmtId="0" fontId="0" fillId="0" borderId="18" pivotButton="0" quotePrefix="0" xfId="0"/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/>
    </xf>
    <xf numFmtId="0" fontId="5" fillId="2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center" vertical="bottom" wrapText="1"/>
    </xf>
    <xf numFmtId="0" fontId="7" fillId="0" borderId="2" applyAlignment="1" pivotButton="0" quotePrefix="0" xfId="0">
      <alignment horizontal="general" vertical="bottom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4" fillId="7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20" fillId="6" borderId="3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general" vertical="bottom"/>
    </xf>
    <xf numFmtId="0" fontId="15" fillId="3" borderId="5" applyAlignment="1" pivotButton="0" quotePrefix="0" xfId="0">
      <alignment horizontal="center" vertical="center" wrapText="1"/>
    </xf>
    <xf numFmtId="0" fontId="15" fillId="3" borderId="6" applyAlignment="1" pivotButton="0" quotePrefix="0" xfId="0">
      <alignment horizontal="center" vertical="center" wrapText="1"/>
    </xf>
    <xf numFmtId="0" fontId="15" fillId="3" borderId="7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general" vertical="bottom"/>
    </xf>
    <xf numFmtId="0" fontId="15" fillId="3" borderId="9" applyAlignment="1" pivotButton="0" quotePrefix="0" xfId="0">
      <alignment horizontal="center" vertical="center" wrapText="1"/>
    </xf>
    <xf numFmtId="0" fontId="15" fillId="3" borderId="10" applyAlignment="1" pivotButton="0" quotePrefix="0" xfId="0">
      <alignment horizontal="center" vertical="center" wrapText="1"/>
    </xf>
    <xf numFmtId="0" fontId="16" fillId="9" borderId="11" applyAlignment="1" pivotButton="0" quotePrefix="0" xfId="0">
      <alignment horizontal="general" vertical="bottom"/>
    </xf>
    <xf numFmtId="0" fontId="15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general" vertical="bottom"/>
    </xf>
    <xf numFmtId="0" fontId="16" fillId="10" borderId="8" applyAlignment="1" pivotButton="0" quotePrefix="0" xfId="0">
      <alignment horizontal="general" vertical="bottom"/>
    </xf>
    <xf numFmtId="0" fontId="16" fillId="10" borderId="11" applyAlignment="1" pivotButton="0" quotePrefix="0" xfId="0">
      <alignment horizontal="general" vertical="bottom"/>
    </xf>
    <xf numFmtId="0" fontId="16" fillId="11" borderId="4" applyAlignment="1" pivotButton="0" quotePrefix="0" xfId="0">
      <alignment horizontal="general" vertical="bottom"/>
    </xf>
    <xf numFmtId="0" fontId="16" fillId="11" borderId="8" applyAlignment="1" pivotButton="0" quotePrefix="0" xfId="0">
      <alignment horizontal="general" vertical="bottom"/>
    </xf>
    <xf numFmtId="0" fontId="16" fillId="11" borderId="1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4" fontId="17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17" fillId="0" borderId="2" applyAlignment="1" pivotButton="0" quotePrefix="0" xfId="0">
      <alignment horizontal="center" vertical="center" wrapText="1"/>
    </xf>
    <xf numFmtId="165" fontId="17" fillId="0" borderId="2" applyAlignment="1" pivotButton="0" quotePrefix="0" xfId="0">
      <alignment horizontal="center" vertical="center" wrapText="1"/>
    </xf>
    <xf numFmtId="166" fontId="17" fillId="0" borderId="2" applyAlignment="1" pivotButton="0" quotePrefix="0" xfId="0">
      <alignment horizontal="center" vertical="center" wrapText="1"/>
    </xf>
    <xf numFmtId="167" fontId="17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25" fillId="12" borderId="19" applyAlignment="1" pivotButton="0" quotePrefix="0" xfId="0">
      <alignment horizontal="center" vertical="center" wrapText="1"/>
    </xf>
    <xf numFmtId="0" fontId="26" fillId="13" borderId="19" applyAlignment="1" pivotButton="0" quotePrefix="0" xfId="0">
      <alignment horizontal="center" vertical="center" wrapText="1"/>
    </xf>
    <xf numFmtId="0" fontId="27" fillId="0" borderId="19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Microsoft JhengHei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Microsoft JhengHei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D9D2E9"/>
      <rgbColor rgb="FF993366"/>
      <rgbColor rgb="FFFFF2CC"/>
      <rgbColor rgb="FFE2EFDA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C6EFCE"/>
      <rgbColor rgb="FFFFE599"/>
      <rgbColor rgb="FFA4C2F4"/>
      <rgbColor rgb="FFF8CBAD"/>
      <rgbColor rgb="FFB7B7B7"/>
      <rgbColor rgb="FFF9CB9C"/>
      <rgbColor rgb="FF3366FF"/>
      <rgbColor rgb="FF33CCCC"/>
      <rgbColor rgb="FF99CC00"/>
      <rgbColor rgb="FFFCE5CD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J1" authorId="0" shapeId="0">
      <text>
        <t>全部＝所有產品都適用；鬥陣歡樂城／寵物遊戲＝只適用負責該產品的員工（員工名單「負責產品」為該產品或「兩款共用」）。</t>
      </text>
    </comment>
    <comment ref="K1" authorId="0" shapeId="0">
      <text>
        <t>全部＝所有職能別都適用；否則只適用「職能別」含其中任一項的員工。可用職能別：經營、管理、財務、企劃、營運、技術、數據、美術、測試、客服。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1" authorId="0" shapeId="0">
      <text>
        <t>鬥陣歡樂城／寵物遊戲＝只負責該產品；兩款共用＝支援兩款（研發、企劃、客服）；公司共用＝行政、財務等，不適用產品專屬職能。</t>
      </text>
    </comment>
    <comment ref="I1" authorId="0" shapeId="0">
      <text>
        <t>決定適用哪些專業職能。可填多項，以「、」分隔。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B100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.71" customWidth="1" style="63" min="1" max="1"/>
    <col width="22" customWidth="1" style="63" min="2" max="2"/>
    <col width="39.71" customWidth="1" style="63" min="3" max="3"/>
    <col width="8.710000000000001" customWidth="1" style="63" min="4" max="28"/>
  </cols>
  <sheetData>
    <row r="1" ht="19.7" customHeight="1" s="64">
      <c r="A1" s="63" t="n"/>
      <c r="B1" s="65" t="inlineStr">
        <is>
          <t>個人職能盤點表</t>
        </is>
      </c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</row>
    <row r="2" ht="15" customHeight="1" s="64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</row>
    <row r="3" ht="17.15" customHeight="1" s="64">
      <c r="A3" s="63" t="n"/>
      <c r="B3" s="66" t="inlineStr">
        <is>
          <t>步驟</t>
        </is>
      </c>
      <c r="C3" s="66" t="inlineStr">
        <is>
          <t>工作表</t>
        </is>
      </c>
      <c r="D3" s="66" t="inlineStr">
        <is>
          <t>說明</t>
        </is>
      </c>
      <c r="E3" s="67" t="n"/>
      <c r="F3" s="67" t="n"/>
      <c r="G3" s="67" t="n"/>
      <c r="H3" s="67" t="n"/>
      <c r="I3" s="67" t="n"/>
      <c r="J3" s="68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63" t="n"/>
      <c r="AB3" s="63" t="n"/>
    </row>
    <row r="4" ht="48.5" customHeight="1" s="64">
      <c r="A4" s="63" t="n"/>
      <c r="B4" s="69" t="inlineStr">
        <is>
          <t>1</t>
        </is>
      </c>
      <c r="C4" s="70" t="inlineStr">
        <is>
          <t>職能辭典</t>
        </is>
      </c>
      <c r="D4" s="70" t="inlineStr">
        <is>
          <t>確認或修改職能項目、定義與 L1–L5 行為描述，使其符合貴組織（黃底可編輯）。產品線職能（P06–P17）另以「適用產品」「適用職能別」限定對象。</t>
        </is>
      </c>
      <c r="E4" s="67" t="n"/>
      <c r="F4" s="67" t="n"/>
      <c r="G4" s="67" t="n"/>
      <c r="H4" s="67" t="n"/>
      <c r="I4" s="67" t="n"/>
      <c r="J4" s="68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63" t="n"/>
      <c r="AB4" s="63" t="n"/>
    </row>
    <row r="5" ht="17.15" customHeight="1" s="64">
      <c r="A5" s="63" t="n"/>
      <c r="B5" s="69" t="inlineStr">
        <is>
          <t>2</t>
        </is>
      </c>
      <c r="C5" s="70" t="inlineStr">
        <is>
          <t>職務職能需求</t>
        </is>
      </c>
      <c r="D5" s="70" t="inlineStr">
        <is>
          <t>設定各職稱對每項職能的要求等級（1–5，0＝不適用）。</t>
        </is>
      </c>
      <c r="E5" s="67" t="n"/>
      <c r="F5" s="67" t="n"/>
      <c r="G5" s="67" t="n"/>
      <c r="H5" s="67" t="n"/>
      <c r="I5" s="67" t="n"/>
      <c r="J5" s="68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</row>
    <row r="6" ht="32.8" customHeight="1" s="64">
      <c r="A6" s="63" t="n"/>
      <c r="B6" s="69" t="inlineStr">
        <is>
          <t>3</t>
        </is>
      </c>
      <c r="C6" s="70" t="inlineStr">
        <is>
          <t>員工名單</t>
        </is>
      </c>
      <c r="D6" s="70" t="inlineStr">
        <is>
          <t>填入受盤點人員基本資料；職稱請由下拉選單選擇。「負責產品」與「職能別」決定適用哪些產品線職能。</t>
        </is>
      </c>
      <c r="E6" s="67" t="n"/>
      <c r="F6" s="67" t="n"/>
      <c r="G6" s="67" t="n"/>
      <c r="H6" s="67" t="n"/>
      <c r="I6" s="67" t="n"/>
      <c r="J6" s="68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</row>
    <row r="7" ht="45" customHeight="1" s="64">
      <c r="A7" s="63" t="n"/>
      <c r="B7" s="69" t="inlineStr">
        <is>
          <t>4</t>
        </is>
      </c>
      <c r="C7" s="70" t="inlineStr">
        <is>
          <t>個人職能盤點</t>
        </is>
      </c>
      <c r="D7" s="70" t="inlineStr">
        <is>
          <t>每位員工每項職能一列：輸入員工編號、選擇職能項目，填自評與主管評等級及佐證、發展計畫。姓名、部門、職稱、類別、要求等級、差距與狀態會自動帶出。</t>
        </is>
      </c>
      <c r="E7" s="67" t="n"/>
      <c r="F7" s="67" t="n"/>
      <c r="G7" s="67" t="n"/>
      <c r="H7" s="67" t="n"/>
      <c r="I7" s="67" t="n"/>
      <c r="J7" s="68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</row>
    <row r="8" ht="32.8" customHeight="1" s="64">
      <c r="A8" s="63" t="n"/>
      <c r="B8" s="69" t="inlineStr">
        <is>
          <t>5</t>
        </is>
      </c>
      <c r="C8" s="70" t="inlineStr">
        <is>
          <t>個人彙總／職能彙總</t>
        </is>
      </c>
      <c r="D8" s="70" t="inlineStr">
        <is>
          <t>自動計算，不需填寫。可用於個人發展面談（IDP）與年度訓練需求分析。</t>
        </is>
      </c>
      <c r="E8" s="67" t="n"/>
      <c r="F8" s="67" t="n"/>
      <c r="G8" s="67" t="n"/>
      <c r="H8" s="67" t="n"/>
      <c r="I8" s="67" t="n"/>
      <c r="J8" s="68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</row>
    <row r="9" ht="15" customHeight="1" s="64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</row>
    <row r="10" ht="17.15" customHeight="1" s="64">
      <c r="A10" s="63" t="n"/>
      <c r="B10" s="71" t="inlineStr">
        <is>
          <t>圖例</t>
        </is>
      </c>
      <c r="C10" s="67" t="n"/>
      <c r="D10" s="68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</row>
    <row r="11" ht="15" customHeight="1" s="64">
      <c r="A11" s="63" t="n"/>
      <c r="B11" s="72" t="inlineStr">
        <is>
          <t xml:space="preserve"> </t>
        </is>
      </c>
      <c r="C11" s="73" t="inlineStr">
        <is>
          <t>黃底：需填寫或可修改的欄位</t>
        </is>
      </c>
      <c r="D11" s="68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</row>
    <row r="12" ht="15" customHeight="1" s="64">
      <c r="A12" s="63" t="n"/>
      <c r="B12" s="74" t="inlineStr">
        <is>
          <t xml:space="preserve"> </t>
        </is>
      </c>
      <c r="C12" s="75" t="inlineStr">
        <is>
          <t>灰底灰字：範例資料（王小明），正式使用前請刪除</t>
        </is>
      </c>
      <c r="D12" s="76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</row>
    <row r="13" ht="15" customHeight="1" s="64">
      <c r="A13" s="63" t="n"/>
      <c r="B13" s="76" t="inlineStr">
        <is>
          <t xml:space="preserve"> </t>
        </is>
      </c>
      <c r="C13" s="75" t="inlineStr">
        <is>
          <t>白底：公式自動計算，請勿修改</t>
        </is>
      </c>
      <c r="D13" s="68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</row>
    <row r="14" ht="15" customHeight="1" s="64">
      <c r="A14" s="63" t="n"/>
      <c r="B14" s="76" t="inlineStr">
        <is>
          <t xml:space="preserve"> </t>
        </is>
      </c>
      <c r="C14" s="77" t="inlineStr">
        <is>
          <t>藍字：手動輸入的設定值（要求等級）</t>
        </is>
      </c>
      <c r="D14" s="68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</row>
    <row r="15" ht="15" customHeight="1" s="64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</row>
    <row r="16" ht="15" customHeight="1" s="64">
      <c r="A16" s="63" t="n"/>
      <c r="B16" s="78" t="inlineStr">
        <is>
          <t>分級定義</t>
        </is>
      </c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8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  <c r="Z16" s="63" t="n"/>
      <c r="AA16" s="63" t="n"/>
      <c r="AB16" s="63" t="n"/>
    </row>
    <row r="17" ht="17.15" customHeight="1" s="64">
      <c r="A17" s="63" t="n"/>
      <c r="B17" s="79" t="inlineStr">
        <is>
          <t>等級</t>
        </is>
      </c>
      <c r="C17" s="80" t="inlineStr">
        <is>
          <t>獨立程度</t>
        </is>
      </c>
      <c r="D17" s="80" t="inlineStr">
        <is>
          <t>問題複雜度</t>
        </is>
      </c>
      <c r="E17" s="67" t="n"/>
      <c r="F17" s="67" t="n"/>
      <c r="G17" s="68" t="n"/>
      <c r="H17" s="80" t="inlineStr">
        <is>
          <t>影響範圍</t>
        </is>
      </c>
      <c r="I17" s="67" t="n"/>
      <c r="J17" s="68" t="n"/>
      <c r="K17" s="80" t="inlineStr">
        <is>
          <t>參考對應</t>
        </is>
      </c>
      <c r="L17" s="67" t="n"/>
      <c r="M17" s="67" t="n"/>
      <c r="N17" s="68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</row>
    <row r="18" ht="17.15" customHeight="1" s="64">
      <c r="A18" s="63" t="n"/>
      <c r="B18" s="81" t="inlineStr">
        <is>
          <t>專家</t>
        </is>
      </c>
      <c r="C18" s="82" t="inlineStr">
        <is>
          <t>制定標準並指導他人</t>
        </is>
      </c>
      <c r="D18" s="82" t="inlineStr">
        <is>
          <t>新型、高風險、沒有前例的問題</t>
        </is>
      </c>
      <c r="E18" s="67" t="n"/>
      <c r="F18" s="67" t="n"/>
      <c r="G18" s="68" t="n"/>
      <c r="H18" s="82" t="inlineStr">
        <is>
          <t>組織或客戶層級</t>
        </is>
      </c>
      <c r="I18" s="67" t="n"/>
      <c r="J18" s="68" t="n"/>
      <c r="K18" s="70" t="inlineStr">
        <is>
          <t>架構師、Partner，約 7 年以上</t>
        </is>
      </c>
      <c r="L18" s="67" t="n"/>
      <c r="M18" s="67" t="n"/>
      <c r="N18" s="68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</row>
    <row r="19" ht="17.15" customHeight="1" s="64">
      <c r="A19" s="63" t="n"/>
      <c r="B19" s="81" t="inlineStr">
        <is>
          <t>進階</t>
        </is>
      </c>
      <c r="C19" s="82" t="inlineStr">
        <is>
          <t>獨立完成，能依情境調整做法</t>
        </is>
      </c>
      <c r="D19" s="82" t="inlineStr">
        <is>
          <t>跨系統、需要判斷取捨的問題</t>
        </is>
      </c>
      <c r="E19" s="67" t="n"/>
      <c r="F19" s="67" t="n"/>
      <c r="G19" s="68" t="n"/>
      <c r="H19" s="82" t="inlineStr">
        <is>
          <t>專案或團隊</t>
        </is>
      </c>
      <c r="I19" s="67" t="n"/>
      <c r="J19" s="68" t="n"/>
      <c r="K19" s="70" t="inlineStr">
        <is>
          <t>資深人員、顧問，約 3–7 年</t>
        </is>
      </c>
      <c r="L19" s="67" t="n"/>
      <c r="M19" s="67" t="n"/>
      <c r="N19" s="68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</row>
    <row r="20" ht="17.15" customHeight="1" s="64">
      <c r="A20" s="63" t="n"/>
      <c r="B20" s="81" t="inlineStr">
        <is>
          <t>基礎</t>
        </is>
      </c>
      <c r="C20" s="82" t="inlineStr">
        <is>
          <t>在指導下依既有流程完成</t>
        </is>
      </c>
      <c r="D20" s="82" t="inlineStr">
        <is>
          <t>常規、已有解法的問題</t>
        </is>
      </c>
      <c r="E20" s="67" t="n"/>
      <c r="F20" s="67" t="n"/>
      <c r="G20" s="68" t="n"/>
      <c r="H20" s="82" t="inlineStr">
        <is>
          <t>個人任務</t>
        </is>
      </c>
      <c r="I20" s="67" t="n"/>
      <c r="J20" s="68" t="n"/>
      <c r="K20" s="70" t="inlineStr">
        <is>
          <t>初階人員，約 1–3 年經驗</t>
        </is>
      </c>
      <c r="L20" s="67" t="n"/>
      <c r="M20" s="67" t="n"/>
      <c r="N20" s="68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</row>
    <row r="21" ht="15" customHeight="1" s="64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</row>
    <row r="22" ht="15" customHeight="1" s="64">
      <c r="A22" s="63" t="n"/>
      <c r="B22" s="83" t="inlineStr">
        <is>
          <t>等級定義</t>
        </is>
      </c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</row>
    <row r="23" ht="15" customHeight="1" s="64">
      <c r="A23" s="63" t="n"/>
      <c r="B23" s="84" t="inlineStr">
        <is>
          <t>L1</t>
        </is>
      </c>
      <c r="C23" s="85" t="inlineStr">
        <is>
          <t>在指導下能理解並執行基本要求</t>
        </is>
      </c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</row>
    <row r="24" ht="15" customHeight="1" s="64">
      <c r="A24" s="63" t="n"/>
      <c r="B24" s="84" t="inlineStr">
        <is>
          <t>L2</t>
        </is>
      </c>
      <c r="C24" s="85" t="inlineStr">
        <is>
          <t>能獨立執行一般性工作，偶需協助</t>
        </is>
      </c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</row>
    <row r="25" ht="15" customHeight="1" s="64">
      <c r="A25" s="63" t="n"/>
      <c r="B25" s="84" t="inlineStr">
        <is>
          <t>L3</t>
        </is>
      </c>
      <c r="C25" s="85" t="inlineStr">
        <is>
          <t>能獨立處理複雜狀況並確保成果品質</t>
        </is>
      </c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</row>
    <row r="26" ht="15.75" customHeight="1" s="64">
      <c r="A26" s="63" t="n"/>
      <c r="B26" s="84" t="inlineStr">
        <is>
          <t>L4</t>
        </is>
      </c>
      <c r="C26" s="85" t="inlineStr">
        <is>
          <t>能指導他人並優化做法，為單位內標竿</t>
        </is>
      </c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</row>
    <row r="27" ht="15.75" customHeight="1" s="64">
      <c r="A27" s="63" t="n"/>
      <c r="B27" s="84" t="inlineStr">
        <is>
          <t>L5</t>
        </is>
      </c>
      <c r="C27" s="85" t="inlineStr">
        <is>
          <t>能建立制度或方法論，影響全組織</t>
        </is>
      </c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</row>
    <row r="28" ht="15.75" customHeight="1" s="64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</row>
    <row r="29" ht="15.75" customHeight="1" s="64">
      <c r="A29" s="63" t="n"/>
      <c r="B29" s="83" t="inlineStr">
        <is>
          <t>達成狀態</t>
        </is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</row>
    <row r="30" ht="15.75" customHeight="1" s="64">
      <c r="A30" s="63" t="n"/>
      <c r="B30" s="85" t="inlineStr">
        <is>
          <t>超越</t>
        </is>
      </c>
      <c r="C30" s="85" t="inlineStr">
        <is>
          <t>主管評 &gt; 要求等級</t>
        </is>
      </c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</row>
    <row r="31" ht="15.75" customHeight="1" s="64">
      <c r="A31" s="63" t="n"/>
      <c r="B31" s="85" t="inlineStr">
        <is>
          <t>達標</t>
        </is>
      </c>
      <c r="C31" s="85" t="inlineStr">
        <is>
          <t>主管評 = 要求等級</t>
        </is>
      </c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</row>
    <row r="32" ht="15.75" customHeight="1" s="64">
      <c r="A32" s="63" t="n"/>
      <c r="B32" s="85" t="inlineStr">
        <is>
          <t>待發展</t>
        </is>
      </c>
      <c r="C32" s="85" t="inlineStr">
        <is>
          <t>主管評 &lt; 要求等級，建議列入個人發展計畫</t>
        </is>
      </c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</row>
    <row r="33" ht="15.75" customHeight="1" s="64">
      <c r="A33" s="63" t="n"/>
      <c r="B33" s="85" t="inlineStr">
        <is>
          <t>待評核</t>
        </is>
      </c>
      <c r="C33" s="85" t="inlineStr">
        <is>
          <t>主管尚未評分</t>
        </is>
      </c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</row>
    <row r="34" ht="15.75" customHeight="1" s="64">
      <c r="A34" s="63" t="n"/>
      <c r="B34" s="85" t="inlineStr">
        <is>
          <t>不適用</t>
        </is>
      </c>
      <c r="C34" s="85" t="inlineStr">
        <is>
          <t>該職稱不要求此職能（要求等級＝0）</t>
        </is>
      </c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</row>
    <row r="35" ht="15.75" customHeight="1" s="64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</row>
    <row r="36" ht="15.75" customHeight="1" s="64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</row>
    <row r="37" ht="15.75" customHeight="1" s="64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</row>
    <row r="38" ht="15.75" customHeight="1" s="64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</row>
    <row r="39" ht="15.75" customHeight="1" s="64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</row>
    <row r="40" ht="15.75" customHeight="1" s="64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</row>
    <row r="41" ht="15.75" customHeight="1" s="64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</row>
    <row r="42" ht="15.75" customHeight="1" s="64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</row>
    <row r="43" ht="15.75" customHeight="1" s="64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</row>
    <row r="44" ht="15.75" customHeight="1" s="64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3" t="n"/>
      <c r="AB44" s="63" t="n"/>
    </row>
    <row r="45" ht="15.75" customHeight="1" s="64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</row>
    <row r="46" ht="15.75" customHeight="1" s="64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</row>
    <row r="47" ht="15.75" customHeight="1" s="64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</row>
    <row r="48" ht="15.75" customHeight="1" s="64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</row>
    <row r="49" ht="15.75" customHeight="1" s="64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</row>
    <row r="50" ht="15.75" customHeight="1" s="64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</row>
    <row r="51" ht="15.75" customHeight="1" s="64">
      <c r="A51" s="63" t="n"/>
      <c r="B51" s="63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</row>
    <row r="52" ht="15.75" customHeight="1" s="64">
      <c r="A52" s="63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</row>
    <row r="53" ht="15.75" customHeight="1" s="64">
      <c r="A53" s="63" t="n"/>
      <c r="B53" s="63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</row>
    <row r="54" ht="15.75" customHeight="1" s="64">
      <c r="A54" s="63" t="n"/>
      <c r="B54" s="63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</row>
    <row r="55" ht="15.75" customHeight="1" s="64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</row>
    <row r="56" ht="15.75" customHeight="1" s="64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</row>
    <row r="57" ht="15.75" customHeight="1" s="64">
      <c r="A57" s="63" t="n"/>
      <c r="B57" s="63" t="n"/>
      <c r="C57" s="63" t="n"/>
      <c r="D57" s="63" t="n"/>
      <c r="E57" s="63" t="n"/>
      <c r="F57" s="63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</row>
    <row r="58" ht="15.75" customHeight="1" s="64">
      <c r="A58" s="63" t="n"/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</row>
    <row r="59" ht="15.75" customHeight="1" s="64">
      <c r="A59" s="63" t="n"/>
      <c r="B59" s="63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</row>
    <row r="60" ht="15.75" customHeight="1" s="64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</row>
    <row r="61" ht="15.75" customHeight="1" s="64">
      <c r="A61" s="63" t="n"/>
      <c r="B61" s="63" t="n"/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</row>
    <row r="62" ht="15.75" customHeight="1" s="64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  <c r="AA62" s="63" t="n"/>
      <c r="AB62" s="63" t="n"/>
    </row>
    <row r="63" ht="15.75" customHeight="1" s="64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</row>
    <row r="64" ht="15.75" customHeight="1" s="64">
      <c r="A64" s="63" t="n"/>
      <c r="B64" s="63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</row>
    <row r="65" ht="15.75" customHeight="1" s="64">
      <c r="A65" s="63" t="n"/>
      <c r="B65" s="63" t="n"/>
      <c r="C65" s="63" t="n"/>
      <c r="D65" s="63" t="n"/>
      <c r="E65" s="63" t="n"/>
      <c r="F65" s="63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</row>
    <row r="66" ht="15.75" customHeight="1" s="64">
      <c r="A66" s="63" t="n"/>
      <c r="B66" s="63" t="n"/>
      <c r="C66" s="63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</row>
    <row r="67" ht="15.75" customHeight="1" s="64">
      <c r="A67" s="63" t="n"/>
      <c r="B67" s="63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</row>
    <row r="68" ht="15.75" customHeight="1" s="64">
      <c r="A68" s="63" t="n"/>
      <c r="B68" s="63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</row>
    <row r="69" ht="15.75" customHeight="1" s="64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</row>
    <row r="70" ht="15.75" customHeight="1" s="64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</row>
    <row r="71" ht="15.75" customHeight="1" s="64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</row>
    <row r="72" ht="15.75" customHeight="1" s="64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</row>
    <row r="73" ht="15.75" customHeight="1" s="64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</row>
    <row r="74" ht="15.75" customHeight="1" s="64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</row>
    <row r="75" ht="15.75" customHeight="1" s="64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</row>
    <row r="76" ht="15.75" customHeight="1" s="64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</row>
    <row r="77" ht="15.75" customHeight="1" s="64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</row>
    <row r="78" ht="15.75" customHeight="1" s="64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</row>
    <row r="79" ht="15.75" customHeight="1" s="64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</row>
    <row r="80" ht="15.75" customHeight="1" s="64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</row>
    <row r="81" ht="15.75" customHeight="1" s="64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</row>
    <row r="82" ht="15.75" customHeight="1" s="64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</row>
    <row r="83" ht="15.75" customHeight="1" s="64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</row>
    <row r="84" ht="15.75" customHeight="1" s="6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</row>
    <row r="85" ht="15.75" customHeight="1" s="64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</row>
    <row r="86" ht="15.75" customHeight="1" s="64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</row>
    <row r="87" ht="15.75" customHeight="1" s="64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</row>
    <row r="88" ht="15.75" customHeight="1" s="64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</row>
    <row r="89" ht="15.75" customHeight="1" s="64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</row>
    <row r="90" ht="15.75" customHeight="1" s="64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3" t="n"/>
      <c r="AB90" s="63" t="n"/>
    </row>
    <row r="91" ht="15.75" customHeight="1" s="64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</row>
    <row r="92" ht="15.75" customHeight="1" s="64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</row>
    <row r="93" ht="15.75" customHeight="1" s="64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</row>
    <row r="94" ht="15.75" customHeight="1" s="6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3" t="n"/>
      <c r="AB94" s="63" t="n"/>
    </row>
    <row r="95" ht="15.75" customHeight="1" s="64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</row>
    <row r="96" ht="15.75" customHeight="1" s="64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</row>
    <row r="97" ht="15.75" customHeight="1" s="64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  <c r="AA97" s="63" t="n"/>
      <c r="AB97" s="63" t="n"/>
    </row>
    <row r="98" ht="15.75" customHeight="1" s="64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</row>
    <row r="99" ht="15.75" customHeight="1" s="64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</row>
    <row r="100" ht="15.75" customHeight="1" s="64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3" t="n"/>
      <c r="AB100" s="63" t="n"/>
    </row>
    <row r="101" ht="15.75" customHeight="1" s="64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</row>
    <row r="102" ht="15.75" customHeight="1" s="64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</row>
    <row r="103" ht="15.75" customHeight="1" s="64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</row>
    <row r="104" ht="15.75" customHeight="1" s="6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</row>
    <row r="105" ht="15.75" customHeight="1" s="64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</row>
    <row r="106" ht="15.75" customHeight="1" s="64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3" t="n"/>
      <c r="AB106" s="63" t="n"/>
    </row>
    <row r="107" ht="15.75" customHeight="1" s="64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</row>
    <row r="108" ht="15.75" customHeight="1" s="64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</row>
    <row r="109" ht="15.75" customHeight="1" s="64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</row>
    <row r="110" ht="15.75" customHeight="1" s="64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</row>
    <row r="111" ht="15.75" customHeight="1" s="64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</row>
    <row r="112" ht="15.75" customHeight="1" s="64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</row>
    <row r="113" ht="15.75" customHeight="1" s="64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</row>
    <row r="114" ht="15.75" customHeight="1" s="6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</row>
    <row r="115" ht="15.75" customHeight="1" s="64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</row>
    <row r="116" ht="15.75" customHeight="1" s="64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</row>
    <row r="117" ht="15.75" customHeight="1" s="64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</row>
    <row r="118" ht="15.75" customHeight="1" s="64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</row>
    <row r="119" ht="15.75" customHeight="1" s="64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</row>
    <row r="120" ht="15.75" customHeight="1" s="64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</row>
    <row r="121" ht="15.75" customHeight="1" s="64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</row>
    <row r="122" ht="15.75" customHeight="1" s="64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</row>
    <row r="123" ht="15.75" customHeight="1" s="64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</row>
    <row r="124" ht="15.75" customHeight="1" s="6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</row>
    <row r="125" ht="15.75" customHeight="1" s="64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</row>
    <row r="126" ht="15.75" customHeight="1" s="64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</row>
    <row r="127" ht="15.75" customHeight="1" s="64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</row>
    <row r="128" ht="15.75" customHeight="1" s="64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</row>
    <row r="129" ht="15.75" customHeight="1" s="64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</row>
    <row r="130" ht="15.75" customHeight="1" s="64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</row>
    <row r="131" ht="15.75" customHeight="1" s="64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</row>
    <row r="132" ht="15.75" customHeight="1" s="64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</row>
    <row r="133" ht="15.75" customHeight="1" s="64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</row>
    <row r="134" ht="15.75" customHeight="1" s="6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</row>
    <row r="135" ht="15.75" customHeight="1" s="64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</row>
    <row r="136" ht="15.75" customHeight="1" s="64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</row>
    <row r="137" ht="15.75" customHeight="1" s="64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</row>
    <row r="138" ht="15.75" customHeight="1" s="64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</row>
    <row r="139" ht="15.75" customHeight="1" s="64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</row>
    <row r="140" ht="15.75" customHeight="1" s="64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</row>
    <row r="141" ht="15.75" customHeight="1" s="64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</row>
    <row r="142" ht="15.75" customHeight="1" s="64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</row>
    <row r="143" ht="15.75" customHeight="1" s="64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</row>
    <row r="144" ht="15.75" customHeight="1" s="6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</row>
    <row r="145" ht="15.75" customHeight="1" s="64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</row>
    <row r="146" ht="15.75" customHeight="1" s="64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</row>
    <row r="147" ht="15.75" customHeight="1" s="64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</row>
    <row r="148" ht="15.75" customHeight="1" s="64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</row>
    <row r="149" ht="15.75" customHeight="1" s="64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</row>
    <row r="150" ht="15.75" customHeight="1" s="64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</row>
    <row r="151" ht="15.75" customHeight="1" s="64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</row>
    <row r="152" ht="15.75" customHeight="1" s="64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</row>
    <row r="153" ht="15.75" customHeight="1" s="64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</row>
    <row r="154" ht="15.75" customHeight="1" s="6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3" t="n"/>
      <c r="AB154" s="63" t="n"/>
    </row>
    <row r="155" ht="15.75" customHeight="1" s="64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</row>
    <row r="156" ht="15.75" customHeight="1" s="64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</row>
    <row r="157" ht="15.75" customHeight="1" s="64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</row>
    <row r="158" ht="15.75" customHeight="1" s="64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</row>
    <row r="159" ht="15.75" customHeight="1" s="64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</row>
    <row r="160" ht="15.75" customHeight="1" s="64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</row>
    <row r="161" ht="15.75" customHeight="1" s="64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</row>
    <row r="162" ht="15.75" customHeight="1" s="64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</row>
    <row r="163" ht="15.75" customHeight="1" s="64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</row>
    <row r="164" ht="15.75" customHeight="1" s="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</row>
    <row r="165" ht="15.75" customHeight="1" s="64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</row>
    <row r="166" ht="15.75" customHeight="1" s="64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</row>
    <row r="167" ht="15.75" customHeight="1" s="64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</row>
    <row r="168" ht="15.75" customHeight="1" s="64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</row>
    <row r="169" ht="15.75" customHeight="1" s="64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</row>
    <row r="170" ht="15.75" customHeight="1" s="64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</row>
    <row r="171" ht="15.75" customHeight="1" s="64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</row>
    <row r="172" ht="15.75" customHeight="1" s="64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</row>
    <row r="173" ht="15.75" customHeight="1" s="64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</row>
    <row r="174" ht="15.75" customHeight="1" s="6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</row>
    <row r="175" ht="15.75" customHeight="1" s="64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</row>
    <row r="176" ht="15.75" customHeight="1" s="64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</row>
    <row r="177" ht="15.75" customHeight="1" s="64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</row>
    <row r="178" ht="15.75" customHeight="1" s="64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</row>
    <row r="179" ht="15.75" customHeight="1" s="64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</row>
    <row r="180" ht="15.75" customHeight="1" s="64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</row>
    <row r="181" ht="15.75" customHeight="1" s="64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</row>
    <row r="182" ht="15.75" customHeight="1" s="64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</row>
    <row r="183" ht="15.75" customHeight="1" s="64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</row>
    <row r="184" ht="15.75" customHeight="1" s="6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</row>
    <row r="185" ht="15.75" customHeight="1" s="64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</row>
    <row r="186" ht="15.75" customHeight="1" s="64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</row>
    <row r="187" ht="15.75" customHeight="1" s="64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</row>
    <row r="188" ht="15.75" customHeight="1" s="64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</row>
    <row r="189" ht="15.75" customHeight="1" s="64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</row>
    <row r="190" ht="15.75" customHeight="1" s="64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</row>
    <row r="191" ht="15.75" customHeight="1" s="64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</row>
    <row r="192" ht="15.75" customHeight="1" s="64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</row>
    <row r="193" ht="15.75" customHeight="1" s="64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  <c r="AA193" s="63" t="n"/>
      <c r="AB193" s="63" t="n"/>
    </row>
    <row r="194" ht="15.75" customHeight="1" s="6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</row>
    <row r="195" ht="15.75" customHeight="1" s="64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</row>
    <row r="196" ht="15.75" customHeight="1" s="64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</row>
    <row r="197" ht="15.75" customHeight="1" s="64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</row>
    <row r="198" ht="15.75" customHeight="1" s="64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</row>
    <row r="199" ht="15.75" customHeight="1" s="64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</row>
    <row r="200" ht="15.75" customHeight="1" s="64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</row>
    <row r="201" ht="15.75" customHeight="1" s="64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</row>
    <row r="202" ht="15.75" customHeight="1" s="64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</row>
    <row r="203" ht="15.75" customHeight="1" s="64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</row>
    <row r="204" ht="15.75" customHeight="1" s="6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</row>
    <row r="205" ht="15.75" customHeight="1" s="64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</row>
    <row r="206" ht="15.75" customHeight="1" s="64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</row>
    <row r="207" ht="15.75" customHeight="1" s="64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</row>
    <row r="208" ht="15.75" customHeight="1" s="64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</row>
    <row r="209" ht="15.75" customHeight="1" s="64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</row>
    <row r="210" ht="15.75" customHeight="1" s="64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</row>
    <row r="211" ht="15.75" customHeight="1" s="64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</row>
    <row r="212" ht="15.75" customHeight="1" s="64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</row>
    <row r="213" ht="15.75" customHeight="1" s="64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</row>
    <row r="214" ht="15.75" customHeight="1" s="6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</row>
    <row r="215" ht="15.75" customHeight="1" s="64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</row>
    <row r="216" ht="15.75" customHeight="1" s="64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</row>
    <row r="217" ht="15.75" customHeight="1" s="64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</row>
    <row r="218" ht="15.75" customHeight="1" s="64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</row>
    <row r="219" ht="15.75" customHeight="1" s="64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</row>
    <row r="220" ht="15.75" customHeight="1" s="64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</row>
    <row r="221" ht="15.75" customHeight="1" s="64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</row>
    <row r="222" ht="15.75" customHeight="1" s="64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</row>
    <row r="223" ht="15.75" customHeight="1" s="64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</row>
    <row r="224" ht="15.75" customHeight="1" s="6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</row>
    <row r="225" ht="15.75" customHeight="1" s="64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</row>
    <row r="226" ht="15.75" customHeight="1" s="64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</row>
    <row r="227" ht="15.75" customHeight="1" s="64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</row>
    <row r="228" ht="15.75" customHeight="1" s="64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</row>
    <row r="229" ht="15.75" customHeight="1" s="64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</row>
    <row r="230" ht="15.75" customHeight="1" s="64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</row>
    <row r="231" ht="15.75" customHeight="1" s="64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</row>
    <row r="232" ht="15.75" customHeight="1" s="64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</row>
    <row r="233" ht="15.75" customHeight="1" s="64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</row>
    <row r="234" ht="15.75" customHeight="1" s="6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</row>
    <row r="235" ht="15.75" customHeight="1" s="64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</row>
    <row r="236" ht="15.75" customHeight="1" s="64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</row>
    <row r="237" ht="15.75" customHeight="1" s="64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</row>
    <row r="238" ht="15.75" customHeight="1" s="64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</row>
    <row r="239" ht="15.75" customHeight="1" s="64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</row>
    <row r="240" ht="15.75" customHeight="1" s="64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</row>
    <row r="241" ht="15.75" customHeight="1" s="64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</row>
    <row r="242" ht="15.75" customHeight="1" s="64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</row>
    <row r="243" ht="15.75" customHeight="1" s="64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</row>
    <row r="244" ht="15.75" customHeight="1" s="6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</row>
    <row r="245" ht="15.75" customHeight="1" s="64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</row>
    <row r="246" ht="15.75" customHeight="1" s="64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</row>
    <row r="247" ht="15.75" customHeight="1" s="64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</row>
    <row r="248" ht="15.75" customHeight="1" s="64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</row>
    <row r="249" ht="15.75" customHeight="1" s="64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</row>
    <row r="250" ht="15.75" customHeight="1" s="64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3" t="n"/>
      <c r="AB250" s="63" t="n"/>
    </row>
    <row r="251" ht="15.75" customHeight="1" s="64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</row>
    <row r="252" ht="15.75" customHeight="1" s="64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</row>
    <row r="253" ht="15.75" customHeight="1" s="64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</row>
    <row r="254" ht="15.75" customHeight="1" s="6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</row>
    <row r="255" ht="15.75" customHeight="1" s="64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</row>
    <row r="256" ht="15.75" customHeight="1" s="64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</row>
    <row r="257" ht="15.75" customHeight="1" s="64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</row>
    <row r="258" ht="15.75" customHeight="1" s="64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</row>
    <row r="259" ht="15.75" customHeight="1" s="64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</row>
    <row r="260" ht="15.75" customHeight="1" s="64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</row>
    <row r="261" ht="15.75" customHeight="1" s="64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</row>
    <row r="262" ht="15.75" customHeight="1" s="64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</row>
    <row r="263" ht="15.75" customHeight="1" s="64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</row>
    <row r="264" ht="15.75" customHeight="1" s="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</row>
    <row r="265" ht="15.75" customHeight="1" s="64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</row>
    <row r="266" ht="15.75" customHeight="1" s="64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</row>
    <row r="267" ht="15.75" customHeight="1" s="64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</row>
    <row r="268" ht="15.75" customHeight="1" s="64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</row>
    <row r="269" ht="15.75" customHeight="1" s="64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</row>
    <row r="270" ht="15.75" customHeight="1" s="64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</row>
    <row r="271" ht="15.75" customHeight="1" s="64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  <c r="AA271" s="63" t="n"/>
      <c r="AB271" s="63" t="n"/>
    </row>
    <row r="272" ht="15.75" customHeight="1" s="64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</row>
    <row r="273" ht="15.75" customHeight="1" s="64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</row>
    <row r="274" ht="15.75" customHeight="1" s="6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</row>
    <row r="275" ht="15.75" customHeight="1" s="64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</row>
    <row r="276" ht="15.75" customHeight="1" s="64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</row>
    <row r="277" ht="15.75" customHeight="1" s="64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</row>
    <row r="278" ht="15.75" customHeight="1" s="64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</row>
    <row r="279" ht="15.75" customHeight="1" s="64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</row>
    <row r="280" ht="15.75" customHeight="1" s="64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</row>
    <row r="281" ht="15.75" customHeight="1" s="64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</row>
    <row r="282" ht="15.75" customHeight="1" s="64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</row>
    <row r="283" ht="15.75" customHeight="1" s="64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</row>
    <row r="284" ht="15.75" customHeight="1" s="6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</row>
    <row r="285" ht="15.75" customHeight="1" s="64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</row>
    <row r="286" ht="15.75" customHeight="1" s="64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</row>
    <row r="287" ht="15.75" customHeight="1" s="64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</row>
    <row r="288" ht="15.75" customHeight="1" s="64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</row>
    <row r="289" ht="15.75" customHeight="1" s="64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</row>
    <row r="290" ht="15.75" customHeight="1" s="64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</row>
    <row r="291" ht="15.75" customHeight="1" s="64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</row>
    <row r="292" ht="15.75" customHeight="1" s="64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</row>
    <row r="293" ht="15.75" customHeight="1" s="64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</row>
    <row r="294" ht="15.75" customHeight="1" s="6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</row>
    <row r="295" ht="15.75" customHeight="1" s="64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</row>
    <row r="296" ht="15.75" customHeight="1" s="64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</row>
    <row r="297" ht="15.75" customHeight="1" s="64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</row>
    <row r="298" ht="15.75" customHeight="1" s="64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</row>
    <row r="299" ht="15.75" customHeight="1" s="64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</row>
    <row r="300" ht="15.75" customHeight="1" s="64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</row>
    <row r="301" ht="15.75" customHeight="1" s="64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</row>
    <row r="302" ht="15.75" customHeight="1" s="64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</row>
    <row r="303" ht="15.75" customHeight="1" s="64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  <c r="AA303" s="63" t="n"/>
      <c r="AB303" s="63" t="n"/>
    </row>
    <row r="304" ht="15.75" customHeight="1" s="6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3" t="n"/>
      <c r="AB304" s="63" t="n"/>
    </row>
    <row r="305" ht="15.75" customHeight="1" s="64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  <c r="AA305" s="63" t="n"/>
      <c r="AB305" s="63" t="n"/>
    </row>
    <row r="306" ht="15.75" customHeight="1" s="64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  <c r="AA306" s="63" t="n"/>
      <c r="AB306" s="63" t="n"/>
    </row>
    <row r="307" ht="15.75" customHeight="1" s="64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  <c r="AA307" s="63" t="n"/>
      <c r="AB307" s="63" t="n"/>
    </row>
    <row r="308" ht="15.75" customHeight="1" s="64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  <c r="AA308" s="63" t="n"/>
      <c r="AB308" s="63" t="n"/>
    </row>
    <row r="309" ht="15.75" customHeight="1" s="64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  <c r="Z309" s="63" t="n"/>
      <c r="AA309" s="63" t="n"/>
      <c r="AB309" s="63" t="n"/>
    </row>
    <row r="310" ht="15.75" customHeight="1" s="64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  <c r="Z310" s="63" t="n"/>
      <c r="AA310" s="63" t="n"/>
      <c r="AB310" s="63" t="n"/>
    </row>
    <row r="311" ht="15.75" customHeight="1" s="64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  <c r="Z311" s="63" t="n"/>
      <c r="AA311" s="63" t="n"/>
      <c r="AB311" s="63" t="n"/>
    </row>
    <row r="312" ht="15.75" customHeight="1" s="64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  <c r="Z312" s="63" t="n"/>
      <c r="AA312" s="63" t="n"/>
      <c r="AB312" s="63" t="n"/>
    </row>
    <row r="313" ht="15.75" customHeight="1" s="64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  <c r="Z313" s="63" t="n"/>
      <c r="AA313" s="63" t="n"/>
      <c r="AB313" s="63" t="n"/>
    </row>
    <row r="314" ht="15.75" customHeight="1" s="6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  <c r="Z314" s="63" t="n"/>
      <c r="AA314" s="63" t="n"/>
      <c r="AB314" s="63" t="n"/>
    </row>
    <row r="315" ht="15.75" customHeight="1" s="64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  <c r="Z315" s="63" t="n"/>
      <c r="AA315" s="63" t="n"/>
      <c r="AB315" s="63" t="n"/>
    </row>
    <row r="316" ht="15.75" customHeight="1" s="64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  <c r="Z316" s="63" t="n"/>
      <c r="AA316" s="63" t="n"/>
      <c r="AB316" s="63" t="n"/>
    </row>
    <row r="317" ht="15.75" customHeight="1" s="64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  <c r="Z317" s="63" t="n"/>
      <c r="AA317" s="63" t="n"/>
      <c r="AB317" s="63" t="n"/>
    </row>
    <row r="318" ht="15.75" customHeight="1" s="64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  <c r="Z318" s="63" t="n"/>
      <c r="AA318" s="63" t="n"/>
      <c r="AB318" s="63" t="n"/>
    </row>
    <row r="319" ht="15.75" customHeight="1" s="64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  <c r="Z319" s="63" t="n"/>
      <c r="AA319" s="63" t="n"/>
      <c r="AB319" s="63" t="n"/>
    </row>
    <row r="320" ht="15.75" customHeight="1" s="64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  <c r="Z320" s="63" t="n"/>
      <c r="AA320" s="63" t="n"/>
      <c r="AB320" s="63" t="n"/>
    </row>
    <row r="321" ht="15.75" customHeight="1" s="64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  <c r="Z321" s="63" t="n"/>
      <c r="AA321" s="63" t="n"/>
      <c r="AB321" s="63" t="n"/>
    </row>
    <row r="322" ht="15.75" customHeight="1" s="64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  <c r="Z322" s="63" t="n"/>
      <c r="AA322" s="63" t="n"/>
      <c r="AB322" s="63" t="n"/>
    </row>
    <row r="323" ht="15.75" customHeight="1" s="64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  <c r="Z323" s="63" t="n"/>
      <c r="AA323" s="63" t="n"/>
      <c r="AB323" s="63" t="n"/>
    </row>
    <row r="324" ht="15.75" customHeight="1" s="6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  <c r="Z324" s="63" t="n"/>
      <c r="AA324" s="63" t="n"/>
      <c r="AB324" s="63" t="n"/>
    </row>
    <row r="325" ht="15.75" customHeight="1" s="64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  <c r="Z325" s="63" t="n"/>
      <c r="AA325" s="63" t="n"/>
      <c r="AB325" s="63" t="n"/>
    </row>
    <row r="326" ht="15.75" customHeight="1" s="64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  <c r="Z326" s="63" t="n"/>
      <c r="AA326" s="63" t="n"/>
      <c r="AB326" s="63" t="n"/>
    </row>
    <row r="327" ht="15.75" customHeight="1" s="64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  <c r="Z327" s="63" t="n"/>
      <c r="AA327" s="63" t="n"/>
      <c r="AB327" s="63" t="n"/>
    </row>
    <row r="328" ht="15.75" customHeight="1" s="64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  <c r="Z328" s="63" t="n"/>
      <c r="AA328" s="63" t="n"/>
      <c r="AB328" s="63" t="n"/>
    </row>
    <row r="329" ht="15.75" customHeight="1" s="64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  <c r="Z329" s="63" t="n"/>
      <c r="AA329" s="63" t="n"/>
      <c r="AB329" s="63" t="n"/>
    </row>
    <row r="330" ht="15.75" customHeight="1" s="64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  <c r="AA330" s="63" t="n"/>
      <c r="AB330" s="63" t="n"/>
    </row>
    <row r="331" ht="15.75" customHeight="1" s="64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  <c r="Z331" s="63" t="n"/>
      <c r="AA331" s="63" t="n"/>
      <c r="AB331" s="63" t="n"/>
    </row>
    <row r="332" ht="15.75" customHeight="1" s="64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  <c r="Z332" s="63" t="n"/>
      <c r="AA332" s="63" t="n"/>
      <c r="AB332" s="63" t="n"/>
    </row>
    <row r="333" ht="15.75" customHeight="1" s="64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  <c r="Z333" s="63" t="n"/>
      <c r="AA333" s="63" t="n"/>
      <c r="AB333" s="63" t="n"/>
    </row>
    <row r="334" ht="15.75" customHeight="1" s="6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  <c r="Z334" s="63" t="n"/>
      <c r="AA334" s="63" t="n"/>
      <c r="AB334" s="63" t="n"/>
    </row>
    <row r="335" ht="15.75" customHeight="1" s="64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  <c r="Z335" s="63" t="n"/>
      <c r="AA335" s="63" t="n"/>
      <c r="AB335" s="63" t="n"/>
    </row>
    <row r="336" ht="15.75" customHeight="1" s="64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  <c r="Z336" s="63" t="n"/>
      <c r="AA336" s="63" t="n"/>
      <c r="AB336" s="63" t="n"/>
    </row>
    <row r="337" ht="15.75" customHeight="1" s="64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  <c r="Z337" s="63" t="n"/>
      <c r="AA337" s="63" t="n"/>
      <c r="AB337" s="63" t="n"/>
    </row>
    <row r="338" ht="15.75" customHeight="1" s="64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  <c r="Z338" s="63" t="n"/>
      <c r="AA338" s="63" t="n"/>
      <c r="AB338" s="63" t="n"/>
    </row>
    <row r="339" ht="15.75" customHeight="1" s="64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  <c r="Z339" s="63" t="n"/>
      <c r="AA339" s="63" t="n"/>
      <c r="AB339" s="63" t="n"/>
    </row>
    <row r="340" ht="15.75" customHeight="1" s="64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  <c r="Z340" s="63" t="n"/>
      <c r="AA340" s="63" t="n"/>
      <c r="AB340" s="63" t="n"/>
    </row>
    <row r="341" ht="15.75" customHeight="1" s="64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  <c r="Z341" s="63" t="n"/>
      <c r="AA341" s="63" t="n"/>
      <c r="AB341" s="63" t="n"/>
    </row>
    <row r="342" ht="15.75" customHeight="1" s="64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  <c r="Z342" s="63" t="n"/>
      <c r="AA342" s="63" t="n"/>
      <c r="AB342" s="63" t="n"/>
    </row>
    <row r="343" ht="15.75" customHeight="1" s="64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  <c r="Z343" s="63" t="n"/>
      <c r="AA343" s="63" t="n"/>
      <c r="AB343" s="63" t="n"/>
    </row>
    <row r="344" ht="15.75" customHeight="1" s="6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  <c r="Z344" s="63" t="n"/>
      <c r="AA344" s="63" t="n"/>
      <c r="AB344" s="63" t="n"/>
    </row>
    <row r="345" ht="15.75" customHeight="1" s="64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  <c r="Z345" s="63" t="n"/>
      <c r="AA345" s="63" t="n"/>
      <c r="AB345" s="63" t="n"/>
    </row>
    <row r="346" ht="15.75" customHeight="1" s="64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  <c r="Z346" s="63" t="n"/>
      <c r="AA346" s="63" t="n"/>
      <c r="AB346" s="63" t="n"/>
    </row>
    <row r="347" ht="15.75" customHeight="1" s="64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  <c r="Z347" s="63" t="n"/>
      <c r="AA347" s="63" t="n"/>
      <c r="AB347" s="63" t="n"/>
    </row>
    <row r="348" ht="15.75" customHeight="1" s="64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  <c r="Z348" s="63" t="n"/>
      <c r="AA348" s="63" t="n"/>
      <c r="AB348" s="63" t="n"/>
    </row>
    <row r="349" ht="15.75" customHeight="1" s="64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  <c r="Z349" s="63" t="n"/>
      <c r="AA349" s="63" t="n"/>
      <c r="AB349" s="63" t="n"/>
    </row>
    <row r="350" ht="15.75" customHeight="1" s="64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  <c r="AA350" s="63" t="n"/>
      <c r="AB350" s="63" t="n"/>
    </row>
    <row r="351" ht="15.75" customHeight="1" s="64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  <c r="AA351" s="63" t="n"/>
      <c r="AB351" s="63" t="n"/>
    </row>
    <row r="352" ht="15.75" customHeight="1" s="64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  <c r="Z352" s="63" t="n"/>
      <c r="AA352" s="63" t="n"/>
      <c r="AB352" s="63" t="n"/>
    </row>
    <row r="353" ht="15.75" customHeight="1" s="64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  <c r="Z353" s="63" t="n"/>
      <c r="AA353" s="63" t="n"/>
      <c r="AB353" s="63" t="n"/>
    </row>
    <row r="354" ht="15.75" customHeight="1" s="6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  <c r="Z354" s="63" t="n"/>
      <c r="AA354" s="63" t="n"/>
      <c r="AB354" s="63" t="n"/>
    </row>
    <row r="355" ht="15.75" customHeight="1" s="64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  <c r="Z355" s="63" t="n"/>
      <c r="AA355" s="63" t="n"/>
      <c r="AB355" s="63" t="n"/>
    </row>
    <row r="356" ht="15.75" customHeight="1" s="64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  <c r="Z356" s="63" t="n"/>
      <c r="AA356" s="63" t="n"/>
      <c r="AB356" s="63" t="n"/>
    </row>
    <row r="357" ht="15.75" customHeight="1" s="64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  <c r="Z357" s="63" t="n"/>
      <c r="AA357" s="63" t="n"/>
      <c r="AB357" s="63" t="n"/>
    </row>
    <row r="358" ht="15.75" customHeight="1" s="64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  <c r="Z358" s="63" t="n"/>
      <c r="AA358" s="63" t="n"/>
      <c r="AB358" s="63" t="n"/>
    </row>
    <row r="359" ht="15.75" customHeight="1" s="64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  <c r="Z359" s="63" t="n"/>
      <c r="AA359" s="63" t="n"/>
      <c r="AB359" s="63" t="n"/>
    </row>
    <row r="360" ht="15.75" customHeight="1" s="64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  <c r="Z360" s="63" t="n"/>
      <c r="AA360" s="63" t="n"/>
      <c r="AB360" s="63" t="n"/>
    </row>
    <row r="361" ht="15.75" customHeight="1" s="64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  <c r="Z361" s="63" t="n"/>
      <c r="AA361" s="63" t="n"/>
      <c r="AB361" s="63" t="n"/>
    </row>
    <row r="362" ht="15.75" customHeight="1" s="64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  <c r="Z362" s="63" t="n"/>
      <c r="AA362" s="63" t="n"/>
      <c r="AB362" s="63" t="n"/>
    </row>
    <row r="363" ht="15.75" customHeight="1" s="64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  <c r="Z363" s="63" t="n"/>
      <c r="AA363" s="63" t="n"/>
      <c r="AB363" s="63" t="n"/>
    </row>
    <row r="364" ht="15.75" customHeight="1" s="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63" t="n"/>
      <c r="AA364" s="63" t="n"/>
      <c r="AB364" s="63" t="n"/>
    </row>
    <row r="365" ht="15.75" customHeight="1" s="64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  <c r="Z365" s="63" t="n"/>
      <c r="AA365" s="63" t="n"/>
      <c r="AB365" s="63" t="n"/>
    </row>
    <row r="366" ht="15.75" customHeight="1" s="64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  <c r="Z366" s="63" t="n"/>
      <c r="AA366" s="63" t="n"/>
      <c r="AB366" s="63" t="n"/>
    </row>
    <row r="367" ht="15.75" customHeight="1" s="64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  <c r="Z367" s="63" t="n"/>
      <c r="AA367" s="63" t="n"/>
      <c r="AB367" s="63" t="n"/>
    </row>
    <row r="368" ht="15.75" customHeight="1" s="64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  <c r="Z368" s="63" t="n"/>
      <c r="AA368" s="63" t="n"/>
      <c r="AB368" s="63" t="n"/>
    </row>
    <row r="369" ht="15.75" customHeight="1" s="64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  <c r="Z369" s="63" t="n"/>
      <c r="AA369" s="63" t="n"/>
      <c r="AB369" s="63" t="n"/>
    </row>
    <row r="370" ht="15.75" customHeight="1" s="64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  <c r="Z370" s="63" t="n"/>
      <c r="AA370" s="63" t="n"/>
      <c r="AB370" s="63" t="n"/>
    </row>
    <row r="371" ht="15.75" customHeight="1" s="64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  <c r="Z371" s="63" t="n"/>
      <c r="AA371" s="63" t="n"/>
      <c r="AB371" s="63" t="n"/>
    </row>
    <row r="372" ht="15.75" customHeight="1" s="64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  <c r="Z372" s="63" t="n"/>
      <c r="AA372" s="63" t="n"/>
      <c r="AB372" s="63" t="n"/>
    </row>
    <row r="373" ht="15.75" customHeight="1" s="64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  <c r="Z373" s="63" t="n"/>
      <c r="AA373" s="63" t="n"/>
      <c r="AB373" s="63" t="n"/>
    </row>
    <row r="374" ht="15.75" customHeight="1" s="6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  <c r="Z374" s="63" t="n"/>
      <c r="AA374" s="63" t="n"/>
      <c r="AB374" s="63" t="n"/>
    </row>
    <row r="375" ht="15.75" customHeight="1" s="64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  <c r="Z375" s="63" t="n"/>
      <c r="AA375" s="63" t="n"/>
      <c r="AB375" s="63" t="n"/>
    </row>
    <row r="376" ht="15.75" customHeight="1" s="64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  <c r="Z376" s="63" t="n"/>
      <c r="AA376" s="63" t="n"/>
      <c r="AB376" s="63" t="n"/>
    </row>
    <row r="377" ht="15.75" customHeight="1" s="64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  <c r="Z377" s="63" t="n"/>
      <c r="AA377" s="63" t="n"/>
      <c r="AB377" s="63" t="n"/>
    </row>
    <row r="378" ht="15.75" customHeight="1" s="64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  <c r="Z378" s="63" t="n"/>
      <c r="AA378" s="63" t="n"/>
      <c r="AB378" s="63" t="n"/>
    </row>
    <row r="379" ht="15.75" customHeight="1" s="64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  <c r="Z379" s="63" t="n"/>
      <c r="AA379" s="63" t="n"/>
      <c r="AB379" s="63" t="n"/>
    </row>
    <row r="380" ht="15.75" customHeight="1" s="64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  <c r="Z380" s="63" t="n"/>
      <c r="AA380" s="63" t="n"/>
      <c r="AB380" s="63" t="n"/>
    </row>
    <row r="381" ht="15.75" customHeight="1" s="64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  <c r="Z381" s="63" t="n"/>
      <c r="AA381" s="63" t="n"/>
      <c r="AB381" s="63" t="n"/>
    </row>
    <row r="382" ht="15.75" customHeight="1" s="64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  <c r="Z382" s="63" t="n"/>
      <c r="AA382" s="63" t="n"/>
      <c r="AB382" s="63" t="n"/>
    </row>
    <row r="383" ht="15.75" customHeight="1" s="64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  <c r="Z383" s="63" t="n"/>
      <c r="AA383" s="63" t="n"/>
      <c r="AB383" s="63" t="n"/>
    </row>
    <row r="384" ht="15.75" customHeight="1" s="6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  <c r="Z384" s="63" t="n"/>
      <c r="AA384" s="63" t="n"/>
      <c r="AB384" s="63" t="n"/>
    </row>
    <row r="385" ht="15.75" customHeight="1" s="64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  <c r="Z385" s="63" t="n"/>
      <c r="AA385" s="63" t="n"/>
      <c r="AB385" s="63" t="n"/>
    </row>
    <row r="386" ht="15.75" customHeight="1" s="64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  <c r="Z386" s="63" t="n"/>
      <c r="AA386" s="63" t="n"/>
      <c r="AB386" s="63" t="n"/>
    </row>
    <row r="387" ht="15.75" customHeight="1" s="64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  <c r="Z387" s="63" t="n"/>
      <c r="AA387" s="63" t="n"/>
      <c r="AB387" s="63" t="n"/>
    </row>
    <row r="388" ht="15.75" customHeight="1" s="64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  <c r="Z388" s="63" t="n"/>
      <c r="AA388" s="63" t="n"/>
      <c r="AB388" s="63" t="n"/>
    </row>
    <row r="389" ht="15.75" customHeight="1" s="64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  <c r="Z389" s="63" t="n"/>
      <c r="AA389" s="63" t="n"/>
      <c r="AB389" s="63" t="n"/>
    </row>
    <row r="390" ht="15.75" customHeight="1" s="64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  <c r="Z390" s="63" t="n"/>
      <c r="AA390" s="63" t="n"/>
      <c r="AB390" s="63" t="n"/>
    </row>
    <row r="391" ht="15.75" customHeight="1" s="64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  <c r="Z391" s="63" t="n"/>
      <c r="AA391" s="63" t="n"/>
      <c r="AB391" s="63" t="n"/>
    </row>
    <row r="392" ht="15.75" customHeight="1" s="64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  <c r="Z392" s="63" t="n"/>
      <c r="AA392" s="63" t="n"/>
      <c r="AB392" s="63" t="n"/>
    </row>
    <row r="393" ht="15.75" customHeight="1" s="64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  <c r="Z393" s="63" t="n"/>
      <c r="AA393" s="63" t="n"/>
      <c r="AB393" s="63" t="n"/>
    </row>
    <row r="394" ht="15.75" customHeight="1" s="6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  <c r="Z394" s="63" t="n"/>
      <c r="AA394" s="63" t="n"/>
      <c r="AB394" s="63" t="n"/>
    </row>
    <row r="395" ht="15.75" customHeight="1" s="64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  <c r="Z395" s="63" t="n"/>
      <c r="AA395" s="63" t="n"/>
      <c r="AB395" s="63" t="n"/>
    </row>
    <row r="396" ht="15.75" customHeight="1" s="64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  <c r="Z396" s="63" t="n"/>
      <c r="AA396" s="63" t="n"/>
      <c r="AB396" s="63" t="n"/>
    </row>
    <row r="397" ht="15.75" customHeight="1" s="64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  <c r="Z397" s="63" t="n"/>
      <c r="AA397" s="63" t="n"/>
      <c r="AB397" s="63" t="n"/>
    </row>
    <row r="398" ht="15.75" customHeight="1" s="64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  <c r="Z398" s="63" t="n"/>
      <c r="AA398" s="63" t="n"/>
      <c r="AB398" s="63" t="n"/>
    </row>
    <row r="399" ht="15.75" customHeight="1" s="64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  <c r="Z399" s="63" t="n"/>
      <c r="AA399" s="63" t="n"/>
      <c r="AB399" s="63" t="n"/>
    </row>
    <row r="400" ht="15.75" customHeight="1" s="64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  <c r="Z400" s="63" t="n"/>
      <c r="AA400" s="63" t="n"/>
      <c r="AB400" s="63" t="n"/>
    </row>
    <row r="401" ht="15.75" customHeight="1" s="64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  <c r="Z401" s="63" t="n"/>
      <c r="AA401" s="63" t="n"/>
      <c r="AB401" s="63" t="n"/>
    </row>
    <row r="402" ht="15.75" customHeight="1" s="64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  <c r="Z402" s="63" t="n"/>
      <c r="AA402" s="63" t="n"/>
      <c r="AB402" s="63" t="n"/>
    </row>
    <row r="403" ht="15.75" customHeight="1" s="64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  <c r="Z403" s="63" t="n"/>
      <c r="AA403" s="63" t="n"/>
      <c r="AB403" s="63" t="n"/>
    </row>
    <row r="404" ht="15.75" customHeight="1" s="6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  <c r="Z404" s="63" t="n"/>
      <c r="AA404" s="63" t="n"/>
      <c r="AB404" s="63" t="n"/>
    </row>
    <row r="405" ht="15.75" customHeight="1" s="64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  <c r="Z405" s="63" t="n"/>
      <c r="AA405" s="63" t="n"/>
      <c r="AB405" s="63" t="n"/>
    </row>
    <row r="406" ht="15.75" customHeight="1" s="64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  <c r="Z406" s="63" t="n"/>
      <c r="AA406" s="63" t="n"/>
      <c r="AB406" s="63" t="n"/>
    </row>
    <row r="407" ht="15.75" customHeight="1" s="64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  <c r="Z407" s="63" t="n"/>
      <c r="AA407" s="63" t="n"/>
      <c r="AB407" s="63" t="n"/>
    </row>
    <row r="408" ht="15.75" customHeight="1" s="64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  <c r="Z408" s="63" t="n"/>
      <c r="AA408" s="63" t="n"/>
      <c r="AB408" s="63" t="n"/>
    </row>
    <row r="409" ht="15.75" customHeight="1" s="64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  <c r="Z409" s="63" t="n"/>
      <c r="AA409" s="63" t="n"/>
      <c r="AB409" s="63" t="n"/>
    </row>
    <row r="410" ht="15.75" customHeight="1" s="64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  <c r="Z410" s="63" t="n"/>
      <c r="AA410" s="63" t="n"/>
      <c r="AB410" s="63" t="n"/>
    </row>
    <row r="411" ht="15.75" customHeight="1" s="64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  <c r="Z411" s="63" t="n"/>
      <c r="AA411" s="63" t="n"/>
      <c r="AB411" s="63" t="n"/>
    </row>
    <row r="412" ht="15.75" customHeight="1" s="64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  <c r="Z412" s="63" t="n"/>
      <c r="AA412" s="63" t="n"/>
      <c r="AB412" s="63" t="n"/>
    </row>
    <row r="413" ht="15.75" customHeight="1" s="64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  <c r="Z413" s="63" t="n"/>
      <c r="AA413" s="63" t="n"/>
      <c r="AB413" s="63" t="n"/>
    </row>
    <row r="414" ht="15.75" customHeight="1" s="6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  <c r="Z414" s="63" t="n"/>
      <c r="AA414" s="63" t="n"/>
      <c r="AB414" s="63" t="n"/>
    </row>
    <row r="415" ht="15.75" customHeight="1" s="64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  <c r="Z415" s="63" t="n"/>
      <c r="AA415" s="63" t="n"/>
      <c r="AB415" s="63" t="n"/>
    </row>
    <row r="416" ht="15.75" customHeight="1" s="64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  <c r="Z416" s="63" t="n"/>
      <c r="AA416" s="63" t="n"/>
      <c r="AB416" s="63" t="n"/>
    </row>
    <row r="417" ht="15.75" customHeight="1" s="64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  <c r="Z417" s="63" t="n"/>
      <c r="AA417" s="63" t="n"/>
      <c r="AB417" s="63" t="n"/>
    </row>
    <row r="418" ht="15.75" customHeight="1" s="64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  <c r="Z418" s="63" t="n"/>
      <c r="AA418" s="63" t="n"/>
      <c r="AB418" s="63" t="n"/>
    </row>
    <row r="419" ht="15.75" customHeight="1" s="64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  <c r="AA419" s="63" t="n"/>
      <c r="AB419" s="63" t="n"/>
    </row>
    <row r="420" ht="15.75" customHeight="1" s="64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  <c r="Z420" s="63" t="n"/>
      <c r="AA420" s="63" t="n"/>
      <c r="AB420" s="63" t="n"/>
    </row>
    <row r="421" ht="15.75" customHeight="1" s="64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  <c r="Z421" s="63" t="n"/>
      <c r="AA421" s="63" t="n"/>
      <c r="AB421" s="63" t="n"/>
    </row>
    <row r="422" ht="15.75" customHeight="1" s="64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  <c r="AA422" s="63" t="n"/>
      <c r="AB422" s="63" t="n"/>
    </row>
    <row r="423" ht="15.75" customHeight="1" s="64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  <c r="Z423" s="63" t="n"/>
      <c r="AA423" s="63" t="n"/>
      <c r="AB423" s="63" t="n"/>
    </row>
    <row r="424" ht="15.75" customHeight="1" s="6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  <c r="Z424" s="63" t="n"/>
      <c r="AA424" s="63" t="n"/>
      <c r="AB424" s="63" t="n"/>
    </row>
    <row r="425" ht="15.75" customHeight="1" s="64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  <c r="Z425" s="63" t="n"/>
      <c r="AA425" s="63" t="n"/>
      <c r="AB425" s="63" t="n"/>
    </row>
    <row r="426" ht="15.75" customHeight="1" s="64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  <c r="AA426" s="63" t="n"/>
      <c r="AB426" s="63" t="n"/>
    </row>
    <row r="427" ht="15.75" customHeight="1" s="64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  <c r="AA427" s="63" t="n"/>
      <c r="AB427" s="63" t="n"/>
    </row>
    <row r="428" ht="15.75" customHeight="1" s="64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  <c r="Z428" s="63" t="n"/>
      <c r="AA428" s="63" t="n"/>
      <c r="AB428" s="63" t="n"/>
    </row>
    <row r="429" ht="15.75" customHeight="1" s="64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  <c r="Z429" s="63" t="n"/>
      <c r="AA429" s="63" t="n"/>
      <c r="AB429" s="63" t="n"/>
    </row>
    <row r="430" ht="15.75" customHeight="1" s="64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  <c r="Z430" s="63" t="n"/>
      <c r="AA430" s="63" t="n"/>
      <c r="AB430" s="63" t="n"/>
    </row>
    <row r="431" ht="15.75" customHeight="1" s="64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  <c r="Z431" s="63" t="n"/>
      <c r="AA431" s="63" t="n"/>
      <c r="AB431" s="63" t="n"/>
    </row>
    <row r="432" ht="15.75" customHeight="1" s="64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  <c r="Z432" s="63" t="n"/>
      <c r="AA432" s="63" t="n"/>
      <c r="AB432" s="63" t="n"/>
    </row>
    <row r="433" ht="15.75" customHeight="1" s="64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  <c r="Z433" s="63" t="n"/>
      <c r="AA433" s="63" t="n"/>
      <c r="AB433" s="63" t="n"/>
    </row>
    <row r="434" ht="15.75" customHeight="1" s="6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/>
      <c r="AA434" s="63" t="n"/>
      <c r="AB434" s="63" t="n"/>
    </row>
    <row r="435" ht="15.75" customHeight="1" s="64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  <c r="Z435" s="63" t="n"/>
      <c r="AA435" s="63" t="n"/>
      <c r="AB435" s="63" t="n"/>
    </row>
    <row r="436" ht="15.75" customHeight="1" s="64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  <c r="Z436" s="63" t="n"/>
      <c r="AA436" s="63" t="n"/>
      <c r="AB436" s="63" t="n"/>
    </row>
    <row r="437" ht="15.75" customHeight="1" s="64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  <c r="Z437" s="63" t="n"/>
      <c r="AA437" s="63" t="n"/>
      <c r="AB437" s="63" t="n"/>
    </row>
    <row r="438" ht="15.75" customHeight="1" s="64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  <c r="Z438" s="63" t="n"/>
      <c r="AA438" s="63" t="n"/>
      <c r="AB438" s="63" t="n"/>
    </row>
    <row r="439" ht="15.75" customHeight="1" s="64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  <c r="Z439" s="63" t="n"/>
      <c r="AA439" s="63" t="n"/>
      <c r="AB439" s="63" t="n"/>
    </row>
    <row r="440" ht="15.75" customHeight="1" s="64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  <c r="Z440" s="63" t="n"/>
      <c r="AA440" s="63" t="n"/>
      <c r="AB440" s="63" t="n"/>
    </row>
    <row r="441" ht="15.75" customHeight="1" s="64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  <c r="Z441" s="63" t="n"/>
      <c r="AA441" s="63" t="n"/>
      <c r="AB441" s="63" t="n"/>
    </row>
    <row r="442" ht="15.75" customHeight="1" s="64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  <c r="Z442" s="63" t="n"/>
      <c r="AA442" s="63" t="n"/>
      <c r="AB442" s="63" t="n"/>
    </row>
    <row r="443" ht="15.75" customHeight="1" s="64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  <c r="AA443" s="63" t="n"/>
      <c r="AB443" s="63" t="n"/>
    </row>
    <row r="444" ht="15.75" customHeight="1" s="6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  <c r="Z444" s="63" t="n"/>
      <c r="AA444" s="63" t="n"/>
      <c r="AB444" s="63" t="n"/>
    </row>
    <row r="445" ht="15.75" customHeight="1" s="64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  <c r="Z445" s="63" t="n"/>
      <c r="AA445" s="63" t="n"/>
      <c r="AB445" s="63" t="n"/>
    </row>
    <row r="446" ht="15.75" customHeight="1" s="64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  <c r="Z446" s="63" t="n"/>
      <c r="AA446" s="63" t="n"/>
      <c r="AB446" s="63" t="n"/>
    </row>
    <row r="447" ht="15.75" customHeight="1" s="64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  <c r="Z447" s="63" t="n"/>
      <c r="AA447" s="63" t="n"/>
      <c r="AB447" s="63" t="n"/>
    </row>
    <row r="448" ht="15.75" customHeight="1" s="64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  <c r="Z448" s="63" t="n"/>
      <c r="AA448" s="63" t="n"/>
      <c r="AB448" s="63" t="n"/>
    </row>
    <row r="449" ht="15.75" customHeight="1" s="64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  <c r="Z449" s="63" t="n"/>
      <c r="AA449" s="63" t="n"/>
      <c r="AB449" s="63" t="n"/>
    </row>
    <row r="450" ht="15.75" customHeight="1" s="64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  <c r="Z450" s="63" t="n"/>
      <c r="AA450" s="63" t="n"/>
      <c r="AB450" s="63" t="n"/>
    </row>
    <row r="451" ht="15.75" customHeight="1" s="64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  <c r="Z451" s="63" t="n"/>
      <c r="AA451" s="63" t="n"/>
      <c r="AB451" s="63" t="n"/>
    </row>
    <row r="452" ht="15.75" customHeight="1" s="64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  <c r="Z452" s="63" t="n"/>
      <c r="AA452" s="63" t="n"/>
      <c r="AB452" s="63" t="n"/>
    </row>
    <row r="453" ht="15.75" customHeight="1" s="64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  <c r="Z453" s="63" t="n"/>
      <c r="AA453" s="63" t="n"/>
      <c r="AB453" s="63" t="n"/>
    </row>
    <row r="454" ht="15.75" customHeight="1" s="6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  <c r="Z454" s="63" t="n"/>
      <c r="AA454" s="63" t="n"/>
      <c r="AB454" s="63" t="n"/>
    </row>
    <row r="455" ht="15.75" customHeight="1" s="64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  <c r="Z455" s="63" t="n"/>
      <c r="AA455" s="63" t="n"/>
      <c r="AB455" s="63" t="n"/>
    </row>
    <row r="456" ht="15.75" customHeight="1" s="64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  <c r="Z456" s="63" t="n"/>
      <c r="AA456" s="63" t="n"/>
      <c r="AB456" s="63" t="n"/>
    </row>
    <row r="457" ht="15.75" customHeight="1" s="64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  <c r="Z457" s="63" t="n"/>
      <c r="AA457" s="63" t="n"/>
      <c r="AB457" s="63" t="n"/>
    </row>
    <row r="458" ht="15.75" customHeight="1" s="64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  <c r="Z458" s="63" t="n"/>
      <c r="AA458" s="63" t="n"/>
      <c r="AB458" s="63" t="n"/>
    </row>
    <row r="459" ht="15.75" customHeight="1" s="64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  <c r="Z459" s="63" t="n"/>
      <c r="AA459" s="63" t="n"/>
      <c r="AB459" s="63" t="n"/>
    </row>
    <row r="460" ht="15.75" customHeight="1" s="64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  <c r="Z460" s="63" t="n"/>
      <c r="AA460" s="63" t="n"/>
      <c r="AB460" s="63" t="n"/>
    </row>
    <row r="461" ht="15.75" customHeight="1" s="64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  <c r="Z461" s="63" t="n"/>
      <c r="AA461" s="63" t="n"/>
      <c r="AB461" s="63" t="n"/>
    </row>
    <row r="462" ht="15.75" customHeight="1" s="64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  <c r="AA462" s="63" t="n"/>
      <c r="AB462" s="63" t="n"/>
    </row>
    <row r="463" ht="15.75" customHeight="1" s="64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  <c r="Z463" s="63" t="n"/>
      <c r="AA463" s="63" t="n"/>
      <c r="AB463" s="63" t="n"/>
    </row>
    <row r="464" ht="15.75" customHeight="1" s="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  <c r="Z464" s="63" t="n"/>
      <c r="AA464" s="63" t="n"/>
      <c r="AB464" s="63" t="n"/>
    </row>
    <row r="465" ht="15.75" customHeight="1" s="64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  <c r="Z465" s="63" t="n"/>
      <c r="AA465" s="63" t="n"/>
      <c r="AB465" s="63" t="n"/>
    </row>
    <row r="466" ht="15.75" customHeight="1" s="64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  <c r="Z466" s="63" t="n"/>
      <c r="AA466" s="63" t="n"/>
      <c r="AB466" s="63" t="n"/>
    </row>
    <row r="467" ht="15.75" customHeight="1" s="64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  <c r="Z467" s="63" t="n"/>
      <c r="AA467" s="63" t="n"/>
      <c r="AB467" s="63" t="n"/>
    </row>
    <row r="468" ht="15.75" customHeight="1" s="64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  <c r="Z468" s="63" t="n"/>
      <c r="AA468" s="63" t="n"/>
      <c r="AB468" s="63" t="n"/>
    </row>
    <row r="469" ht="15.75" customHeight="1" s="64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  <c r="Z469" s="63" t="n"/>
      <c r="AA469" s="63" t="n"/>
      <c r="AB469" s="63" t="n"/>
    </row>
    <row r="470" ht="15.75" customHeight="1" s="64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  <c r="Z470" s="63" t="n"/>
      <c r="AA470" s="63" t="n"/>
      <c r="AB470" s="63" t="n"/>
    </row>
    <row r="471" ht="15.75" customHeight="1" s="64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  <c r="Z471" s="63" t="n"/>
      <c r="AA471" s="63" t="n"/>
      <c r="AB471" s="63" t="n"/>
    </row>
    <row r="472" ht="15.75" customHeight="1" s="64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  <c r="AA472" s="63" t="n"/>
      <c r="AB472" s="63" t="n"/>
    </row>
    <row r="473" ht="15.75" customHeight="1" s="64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  <c r="Z473" s="63" t="n"/>
      <c r="AA473" s="63" t="n"/>
      <c r="AB473" s="63" t="n"/>
    </row>
    <row r="474" ht="15.75" customHeight="1" s="6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  <c r="Z474" s="63" t="n"/>
      <c r="AA474" s="63" t="n"/>
      <c r="AB474" s="63" t="n"/>
    </row>
    <row r="475" ht="15.75" customHeight="1" s="64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  <c r="Z475" s="63" t="n"/>
      <c r="AA475" s="63" t="n"/>
      <c r="AB475" s="63" t="n"/>
    </row>
    <row r="476" ht="15.75" customHeight="1" s="64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  <c r="Z476" s="63" t="n"/>
      <c r="AA476" s="63" t="n"/>
      <c r="AB476" s="63" t="n"/>
    </row>
    <row r="477" ht="15.75" customHeight="1" s="64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  <c r="Z477" s="63" t="n"/>
      <c r="AA477" s="63" t="n"/>
      <c r="AB477" s="63" t="n"/>
    </row>
    <row r="478" ht="15.75" customHeight="1" s="64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  <c r="Z478" s="63" t="n"/>
      <c r="AA478" s="63" t="n"/>
      <c r="AB478" s="63" t="n"/>
    </row>
    <row r="479" ht="15.75" customHeight="1" s="64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  <c r="Z479" s="63" t="n"/>
      <c r="AA479" s="63" t="n"/>
      <c r="AB479" s="63" t="n"/>
    </row>
    <row r="480" ht="15.75" customHeight="1" s="64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  <c r="Z480" s="63" t="n"/>
      <c r="AA480" s="63" t="n"/>
      <c r="AB480" s="63" t="n"/>
    </row>
    <row r="481" ht="15.75" customHeight="1" s="64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  <c r="Z481" s="63" t="n"/>
      <c r="AA481" s="63" t="n"/>
      <c r="AB481" s="63" t="n"/>
    </row>
    <row r="482" ht="15.75" customHeight="1" s="64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  <c r="Z482" s="63" t="n"/>
      <c r="AA482" s="63" t="n"/>
      <c r="AB482" s="63" t="n"/>
    </row>
    <row r="483" ht="15.75" customHeight="1" s="64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  <c r="Z483" s="63" t="n"/>
      <c r="AA483" s="63" t="n"/>
      <c r="AB483" s="63" t="n"/>
    </row>
    <row r="484" ht="15.75" customHeight="1" s="6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  <c r="Z484" s="63" t="n"/>
      <c r="AA484" s="63" t="n"/>
      <c r="AB484" s="63" t="n"/>
    </row>
    <row r="485" ht="15.75" customHeight="1" s="64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  <c r="Z485" s="63" t="n"/>
      <c r="AA485" s="63" t="n"/>
      <c r="AB485" s="63" t="n"/>
    </row>
    <row r="486" ht="15.75" customHeight="1" s="64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  <c r="Z486" s="63" t="n"/>
      <c r="AA486" s="63" t="n"/>
      <c r="AB486" s="63" t="n"/>
    </row>
    <row r="487" ht="15.75" customHeight="1" s="64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  <c r="Z487" s="63" t="n"/>
      <c r="AA487" s="63" t="n"/>
      <c r="AB487" s="63" t="n"/>
    </row>
    <row r="488" ht="15.75" customHeight="1" s="64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  <c r="Z488" s="63" t="n"/>
      <c r="AA488" s="63" t="n"/>
      <c r="AB488" s="63" t="n"/>
    </row>
    <row r="489" ht="15.75" customHeight="1" s="64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  <c r="Z489" s="63" t="n"/>
      <c r="AA489" s="63" t="n"/>
      <c r="AB489" s="63" t="n"/>
    </row>
    <row r="490" ht="15.75" customHeight="1" s="64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  <c r="Z490" s="63" t="n"/>
      <c r="AA490" s="63" t="n"/>
      <c r="AB490" s="63" t="n"/>
    </row>
    <row r="491" ht="15.75" customHeight="1" s="64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  <c r="Z491" s="63" t="n"/>
      <c r="AA491" s="63" t="n"/>
      <c r="AB491" s="63" t="n"/>
    </row>
    <row r="492" ht="15.75" customHeight="1" s="64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  <c r="AA492" s="63" t="n"/>
      <c r="AB492" s="63" t="n"/>
    </row>
    <row r="493" ht="15.75" customHeight="1" s="64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  <c r="Z493" s="63" t="n"/>
      <c r="AA493" s="63" t="n"/>
      <c r="AB493" s="63" t="n"/>
    </row>
    <row r="494" ht="15.75" customHeight="1" s="6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  <c r="Z494" s="63" t="n"/>
      <c r="AA494" s="63" t="n"/>
      <c r="AB494" s="63" t="n"/>
    </row>
    <row r="495" ht="15.75" customHeight="1" s="64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  <c r="Z495" s="63" t="n"/>
      <c r="AA495" s="63" t="n"/>
      <c r="AB495" s="63" t="n"/>
    </row>
    <row r="496" ht="15.75" customHeight="1" s="64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  <c r="Z496" s="63" t="n"/>
      <c r="AA496" s="63" t="n"/>
      <c r="AB496" s="63" t="n"/>
    </row>
    <row r="497" ht="15.75" customHeight="1" s="64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  <c r="Z497" s="63" t="n"/>
      <c r="AA497" s="63" t="n"/>
      <c r="AB497" s="63" t="n"/>
    </row>
    <row r="498" ht="15.75" customHeight="1" s="64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  <c r="Z498" s="63" t="n"/>
      <c r="AA498" s="63" t="n"/>
      <c r="AB498" s="63" t="n"/>
    </row>
    <row r="499" ht="15.75" customHeight="1" s="64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  <c r="Z499" s="63" t="n"/>
      <c r="AA499" s="63" t="n"/>
      <c r="AB499" s="63" t="n"/>
    </row>
    <row r="500" ht="15.75" customHeight="1" s="64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  <c r="Z500" s="63" t="n"/>
      <c r="AA500" s="63" t="n"/>
      <c r="AB500" s="63" t="n"/>
    </row>
    <row r="501" ht="15.75" customHeight="1" s="64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  <c r="Z501" s="63" t="n"/>
      <c r="AA501" s="63" t="n"/>
      <c r="AB501" s="63" t="n"/>
    </row>
    <row r="502" ht="15.75" customHeight="1" s="64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  <c r="Z502" s="63" t="n"/>
      <c r="AA502" s="63" t="n"/>
      <c r="AB502" s="63" t="n"/>
    </row>
    <row r="503" ht="15.75" customHeight="1" s="64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  <c r="Z503" s="63" t="n"/>
      <c r="AA503" s="63" t="n"/>
      <c r="AB503" s="63" t="n"/>
    </row>
    <row r="504" ht="15.75" customHeight="1" s="6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  <c r="Z504" s="63" t="n"/>
      <c r="AA504" s="63" t="n"/>
      <c r="AB504" s="63" t="n"/>
    </row>
    <row r="505" ht="15.75" customHeight="1" s="64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  <c r="Z505" s="63" t="n"/>
      <c r="AA505" s="63" t="n"/>
      <c r="AB505" s="63" t="n"/>
    </row>
    <row r="506" ht="15.75" customHeight="1" s="64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  <c r="AA506" s="63" t="n"/>
      <c r="AB506" s="63" t="n"/>
    </row>
    <row r="507" ht="15.75" customHeight="1" s="64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  <c r="Z507" s="63" t="n"/>
      <c r="AA507" s="63" t="n"/>
      <c r="AB507" s="63" t="n"/>
    </row>
    <row r="508" ht="15.75" customHeight="1" s="64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  <c r="Z508" s="63" t="n"/>
      <c r="AA508" s="63" t="n"/>
      <c r="AB508" s="63" t="n"/>
    </row>
    <row r="509" ht="15.75" customHeight="1" s="64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  <c r="Z509" s="63" t="n"/>
      <c r="AA509" s="63" t="n"/>
      <c r="AB509" s="63" t="n"/>
    </row>
    <row r="510" ht="15.75" customHeight="1" s="64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  <c r="Z510" s="63" t="n"/>
      <c r="AA510" s="63" t="n"/>
      <c r="AB510" s="63" t="n"/>
    </row>
    <row r="511" ht="15.75" customHeight="1" s="64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  <c r="Z511" s="63" t="n"/>
      <c r="AA511" s="63" t="n"/>
      <c r="AB511" s="63" t="n"/>
    </row>
    <row r="512" ht="15.75" customHeight="1" s="64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  <c r="Z512" s="63" t="n"/>
      <c r="AA512" s="63" t="n"/>
      <c r="AB512" s="63" t="n"/>
    </row>
    <row r="513" ht="15.75" customHeight="1" s="64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  <c r="Z513" s="63" t="n"/>
      <c r="AA513" s="63" t="n"/>
      <c r="AB513" s="63" t="n"/>
    </row>
    <row r="514" ht="15.75" customHeight="1" s="6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  <c r="Z514" s="63" t="n"/>
      <c r="AA514" s="63" t="n"/>
      <c r="AB514" s="63" t="n"/>
    </row>
    <row r="515" ht="15.75" customHeight="1" s="64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  <c r="Z515" s="63" t="n"/>
      <c r="AA515" s="63" t="n"/>
      <c r="AB515" s="63" t="n"/>
    </row>
    <row r="516" ht="15.75" customHeight="1" s="64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  <c r="Z516" s="63" t="n"/>
      <c r="AA516" s="63" t="n"/>
      <c r="AB516" s="63" t="n"/>
    </row>
    <row r="517" ht="15.75" customHeight="1" s="64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  <c r="Z517" s="63" t="n"/>
      <c r="AA517" s="63" t="n"/>
      <c r="AB517" s="63" t="n"/>
    </row>
    <row r="518" ht="15.75" customHeight="1" s="64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  <c r="Z518" s="63" t="n"/>
      <c r="AA518" s="63" t="n"/>
      <c r="AB518" s="63" t="n"/>
    </row>
    <row r="519" ht="15.75" customHeight="1" s="64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  <c r="Z519" s="63" t="n"/>
      <c r="AA519" s="63" t="n"/>
      <c r="AB519" s="63" t="n"/>
    </row>
    <row r="520" ht="15.75" customHeight="1" s="64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  <c r="Z520" s="63" t="n"/>
      <c r="AA520" s="63" t="n"/>
      <c r="AB520" s="63" t="n"/>
    </row>
    <row r="521" ht="15.75" customHeight="1" s="64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  <c r="Z521" s="63" t="n"/>
      <c r="AA521" s="63" t="n"/>
      <c r="AB521" s="63" t="n"/>
    </row>
    <row r="522" ht="15.75" customHeight="1" s="64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  <c r="Z522" s="63" t="n"/>
      <c r="AA522" s="63" t="n"/>
      <c r="AB522" s="63" t="n"/>
    </row>
    <row r="523" ht="15.75" customHeight="1" s="64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  <c r="Z523" s="63" t="n"/>
      <c r="AA523" s="63" t="n"/>
      <c r="AB523" s="63" t="n"/>
    </row>
    <row r="524" ht="15.75" customHeight="1" s="6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  <c r="Z524" s="63" t="n"/>
      <c r="AA524" s="63" t="n"/>
      <c r="AB524" s="63" t="n"/>
    </row>
    <row r="525" ht="15.75" customHeight="1" s="64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  <c r="Z525" s="63" t="n"/>
      <c r="AA525" s="63" t="n"/>
      <c r="AB525" s="63" t="n"/>
    </row>
    <row r="526" ht="15.75" customHeight="1" s="64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  <c r="Z526" s="63" t="n"/>
      <c r="AA526" s="63" t="n"/>
      <c r="AB526" s="63" t="n"/>
    </row>
    <row r="527" ht="15.75" customHeight="1" s="64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  <c r="Z527" s="63" t="n"/>
      <c r="AA527" s="63" t="n"/>
      <c r="AB527" s="63" t="n"/>
    </row>
    <row r="528" ht="15.75" customHeight="1" s="64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  <c r="Z528" s="63" t="n"/>
      <c r="AA528" s="63" t="n"/>
      <c r="AB528" s="63" t="n"/>
    </row>
    <row r="529" ht="15.75" customHeight="1" s="64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  <c r="Z529" s="63" t="n"/>
      <c r="AA529" s="63" t="n"/>
      <c r="AB529" s="63" t="n"/>
    </row>
    <row r="530" ht="15.75" customHeight="1" s="64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  <c r="Z530" s="63" t="n"/>
      <c r="AA530" s="63" t="n"/>
      <c r="AB530" s="63" t="n"/>
    </row>
    <row r="531" ht="15.75" customHeight="1" s="64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  <c r="Z531" s="63" t="n"/>
      <c r="AA531" s="63" t="n"/>
      <c r="AB531" s="63" t="n"/>
    </row>
    <row r="532" ht="15.75" customHeight="1" s="64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  <c r="Z532" s="63" t="n"/>
      <c r="AA532" s="63" t="n"/>
      <c r="AB532" s="63" t="n"/>
    </row>
    <row r="533" ht="15.75" customHeight="1" s="64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  <c r="Z533" s="63" t="n"/>
      <c r="AA533" s="63" t="n"/>
      <c r="AB533" s="63" t="n"/>
    </row>
    <row r="534" ht="15.75" customHeight="1" s="6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  <c r="Z534" s="63" t="n"/>
      <c r="AA534" s="63" t="n"/>
      <c r="AB534" s="63" t="n"/>
    </row>
    <row r="535" ht="15.75" customHeight="1" s="64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  <c r="Z535" s="63" t="n"/>
      <c r="AA535" s="63" t="n"/>
      <c r="AB535" s="63" t="n"/>
    </row>
    <row r="536" ht="15.75" customHeight="1" s="64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  <c r="Z536" s="63" t="n"/>
      <c r="AA536" s="63" t="n"/>
      <c r="AB536" s="63" t="n"/>
    </row>
    <row r="537" ht="15.75" customHeight="1" s="64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  <c r="AA537" s="63" t="n"/>
      <c r="AB537" s="63" t="n"/>
    </row>
    <row r="538" ht="15.75" customHeight="1" s="64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  <c r="AA538" s="63" t="n"/>
      <c r="AB538" s="63" t="n"/>
    </row>
    <row r="539" ht="15.75" customHeight="1" s="64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  <c r="AA539" s="63" t="n"/>
      <c r="AB539" s="63" t="n"/>
    </row>
    <row r="540" ht="15.75" customHeight="1" s="64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  <c r="Z540" s="63" t="n"/>
      <c r="AA540" s="63" t="n"/>
      <c r="AB540" s="63" t="n"/>
    </row>
    <row r="541" ht="15.75" customHeight="1" s="64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  <c r="Z541" s="63" t="n"/>
      <c r="AA541" s="63" t="n"/>
      <c r="AB541" s="63" t="n"/>
    </row>
    <row r="542" ht="15.75" customHeight="1" s="64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  <c r="Z542" s="63" t="n"/>
      <c r="AA542" s="63" t="n"/>
      <c r="AB542" s="63" t="n"/>
    </row>
    <row r="543" ht="15.75" customHeight="1" s="64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  <c r="Z543" s="63" t="n"/>
      <c r="AA543" s="63" t="n"/>
      <c r="AB543" s="63" t="n"/>
    </row>
    <row r="544" ht="15.75" customHeight="1" s="6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  <c r="Z544" s="63" t="n"/>
      <c r="AA544" s="63" t="n"/>
      <c r="AB544" s="63" t="n"/>
    </row>
    <row r="545" ht="15.75" customHeight="1" s="64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  <c r="Z545" s="63" t="n"/>
      <c r="AA545" s="63" t="n"/>
      <c r="AB545" s="63" t="n"/>
    </row>
    <row r="546" ht="15.75" customHeight="1" s="64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  <c r="Z546" s="63" t="n"/>
      <c r="AA546" s="63" t="n"/>
      <c r="AB546" s="63" t="n"/>
    </row>
    <row r="547" ht="15.75" customHeight="1" s="64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  <c r="Z547" s="63" t="n"/>
      <c r="AA547" s="63" t="n"/>
      <c r="AB547" s="63" t="n"/>
    </row>
    <row r="548" ht="15.75" customHeight="1" s="64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  <c r="Z548" s="63" t="n"/>
      <c r="AA548" s="63" t="n"/>
      <c r="AB548" s="63" t="n"/>
    </row>
    <row r="549" ht="15.75" customHeight="1" s="64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  <c r="Z549" s="63" t="n"/>
      <c r="AA549" s="63" t="n"/>
      <c r="AB549" s="63" t="n"/>
    </row>
    <row r="550" ht="15.75" customHeight="1" s="64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  <c r="Z550" s="63" t="n"/>
      <c r="AA550" s="63" t="n"/>
      <c r="AB550" s="63" t="n"/>
    </row>
    <row r="551" ht="15.75" customHeight="1" s="64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  <c r="AA551" s="63" t="n"/>
      <c r="AB551" s="63" t="n"/>
    </row>
    <row r="552" ht="15.75" customHeight="1" s="64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  <c r="AA552" s="63" t="n"/>
      <c r="AB552" s="63" t="n"/>
    </row>
    <row r="553" ht="15.75" customHeight="1" s="64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  <c r="AA553" s="63" t="n"/>
      <c r="AB553" s="63" t="n"/>
    </row>
    <row r="554" ht="15.75" customHeight="1" s="6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  <c r="AA554" s="63" t="n"/>
      <c r="AB554" s="63" t="n"/>
    </row>
    <row r="555" ht="15.75" customHeight="1" s="64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  <c r="AA555" s="63" t="n"/>
      <c r="AB555" s="63" t="n"/>
    </row>
    <row r="556" ht="15.75" customHeight="1" s="64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  <c r="AA556" s="63" t="n"/>
      <c r="AB556" s="63" t="n"/>
    </row>
    <row r="557" ht="15.75" customHeight="1" s="64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  <c r="AA557" s="63" t="n"/>
      <c r="AB557" s="63" t="n"/>
    </row>
    <row r="558" ht="15.75" customHeight="1" s="64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  <c r="AA558" s="63" t="n"/>
      <c r="AB558" s="63" t="n"/>
    </row>
    <row r="559" ht="15.75" customHeight="1" s="64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  <c r="Z559" s="63" t="n"/>
      <c r="AA559" s="63" t="n"/>
      <c r="AB559" s="63" t="n"/>
    </row>
    <row r="560" ht="15.75" customHeight="1" s="64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  <c r="Z560" s="63" t="n"/>
      <c r="AA560" s="63" t="n"/>
      <c r="AB560" s="63" t="n"/>
    </row>
    <row r="561" ht="15.75" customHeight="1" s="64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  <c r="Z561" s="63" t="n"/>
      <c r="AA561" s="63" t="n"/>
      <c r="AB561" s="63" t="n"/>
    </row>
    <row r="562" ht="15.75" customHeight="1" s="64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  <c r="AA562" s="63" t="n"/>
      <c r="AB562" s="63" t="n"/>
    </row>
    <row r="563" ht="15.75" customHeight="1" s="64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  <c r="Z563" s="63" t="n"/>
      <c r="AA563" s="63" t="n"/>
      <c r="AB563" s="63" t="n"/>
    </row>
    <row r="564" ht="15.75" customHeight="1" s="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  <c r="Z564" s="63" t="n"/>
      <c r="AA564" s="63" t="n"/>
      <c r="AB564" s="63" t="n"/>
    </row>
    <row r="565" ht="15.75" customHeight="1" s="64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  <c r="Z565" s="63" t="n"/>
      <c r="AA565" s="63" t="n"/>
      <c r="AB565" s="63" t="n"/>
    </row>
    <row r="566" ht="15.75" customHeight="1" s="64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  <c r="AA566" s="63" t="n"/>
      <c r="AB566" s="63" t="n"/>
    </row>
    <row r="567" ht="15.75" customHeight="1" s="64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  <c r="AA567" s="63" t="n"/>
      <c r="AB567" s="63" t="n"/>
    </row>
    <row r="568" ht="15.75" customHeight="1" s="64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  <c r="AA568" s="63" t="n"/>
      <c r="AB568" s="63" t="n"/>
    </row>
    <row r="569" ht="15.75" customHeight="1" s="64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  <c r="AA569" s="63" t="n"/>
      <c r="AB569" s="63" t="n"/>
    </row>
    <row r="570" ht="15.75" customHeight="1" s="64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  <c r="Z570" s="63" t="n"/>
      <c r="AA570" s="63" t="n"/>
      <c r="AB570" s="63" t="n"/>
    </row>
    <row r="571" ht="15.75" customHeight="1" s="64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  <c r="Z571" s="63" t="n"/>
      <c r="AA571" s="63" t="n"/>
      <c r="AB571" s="63" t="n"/>
    </row>
    <row r="572" ht="15.75" customHeight="1" s="64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  <c r="Z572" s="63" t="n"/>
      <c r="AA572" s="63" t="n"/>
      <c r="AB572" s="63" t="n"/>
    </row>
    <row r="573" ht="15.75" customHeight="1" s="64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  <c r="Z573" s="63" t="n"/>
      <c r="AA573" s="63" t="n"/>
      <c r="AB573" s="63" t="n"/>
    </row>
    <row r="574" ht="15.75" customHeight="1" s="6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  <c r="Z574" s="63" t="n"/>
      <c r="AA574" s="63" t="n"/>
      <c r="AB574" s="63" t="n"/>
    </row>
    <row r="575" ht="15.75" customHeight="1" s="64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  <c r="Z575" s="63" t="n"/>
      <c r="AA575" s="63" t="n"/>
      <c r="AB575" s="63" t="n"/>
    </row>
    <row r="576" ht="15.75" customHeight="1" s="64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  <c r="Z576" s="63" t="n"/>
      <c r="AA576" s="63" t="n"/>
      <c r="AB576" s="63" t="n"/>
    </row>
    <row r="577" ht="15.75" customHeight="1" s="64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  <c r="Z577" s="63" t="n"/>
      <c r="AA577" s="63" t="n"/>
      <c r="AB577" s="63" t="n"/>
    </row>
    <row r="578" ht="15.75" customHeight="1" s="64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  <c r="Z578" s="63" t="n"/>
      <c r="AA578" s="63" t="n"/>
      <c r="AB578" s="63" t="n"/>
    </row>
    <row r="579" ht="15.75" customHeight="1" s="64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  <c r="Z579" s="63" t="n"/>
      <c r="AA579" s="63" t="n"/>
      <c r="AB579" s="63" t="n"/>
    </row>
    <row r="580" ht="15.75" customHeight="1" s="64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  <c r="Z580" s="63" t="n"/>
      <c r="AA580" s="63" t="n"/>
      <c r="AB580" s="63" t="n"/>
    </row>
    <row r="581" ht="15.75" customHeight="1" s="64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  <c r="Z581" s="63" t="n"/>
      <c r="AA581" s="63" t="n"/>
      <c r="AB581" s="63" t="n"/>
    </row>
    <row r="582" ht="15.75" customHeight="1" s="64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  <c r="Z582" s="63" t="n"/>
      <c r="AA582" s="63" t="n"/>
      <c r="AB582" s="63" t="n"/>
    </row>
    <row r="583" ht="15.75" customHeight="1" s="64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  <c r="Z583" s="63" t="n"/>
      <c r="AA583" s="63" t="n"/>
      <c r="AB583" s="63" t="n"/>
    </row>
    <row r="584" ht="15.75" customHeight="1" s="6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  <c r="Z584" s="63" t="n"/>
      <c r="AA584" s="63" t="n"/>
      <c r="AB584" s="63" t="n"/>
    </row>
    <row r="585" ht="15.75" customHeight="1" s="64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  <c r="Z585" s="63" t="n"/>
      <c r="AA585" s="63" t="n"/>
      <c r="AB585" s="63" t="n"/>
    </row>
    <row r="586" ht="15.75" customHeight="1" s="64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  <c r="Z586" s="63" t="n"/>
      <c r="AA586" s="63" t="n"/>
      <c r="AB586" s="63" t="n"/>
    </row>
    <row r="587" ht="15.75" customHeight="1" s="64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  <c r="Z587" s="63" t="n"/>
      <c r="AA587" s="63" t="n"/>
      <c r="AB587" s="63" t="n"/>
    </row>
    <row r="588" ht="15.75" customHeight="1" s="64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  <c r="Z588" s="63" t="n"/>
      <c r="AA588" s="63" t="n"/>
      <c r="AB588" s="63" t="n"/>
    </row>
    <row r="589" ht="15.75" customHeight="1" s="64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  <c r="Z589" s="63" t="n"/>
      <c r="AA589" s="63" t="n"/>
      <c r="AB589" s="63" t="n"/>
    </row>
    <row r="590" ht="15.75" customHeight="1" s="64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  <c r="Z590" s="63" t="n"/>
      <c r="AA590" s="63" t="n"/>
      <c r="AB590" s="63" t="n"/>
    </row>
    <row r="591" ht="15.75" customHeight="1" s="64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  <c r="Z591" s="63" t="n"/>
      <c r="AA591" s="63" t="n"/>
      <c r="AB591" s="63" t="n"/>
    </row>
    <row r="592" ht="15.75" customHeight="1" s="64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  <c r="Z592" s="63" t="n"/>
      <c r="AA592" s="63" t="n"/>
      <c r="AB592" s="63" t="n"/>
    </row>
    <row r="593" ht="15.75" customHeight="1" s="64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  <c r="Z593" s="63" t="n"/>
      <c r="AA593" s="63" t="n"/>
      <c r="AB593" s="63" t="n"/>
    </row>
    <row r="594" ht="15.75" customHeight="1" s="6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  <c r="Z594" s="63" t="n"/>
      <c r="AA594" s="63" t="n"/>
      <c r="AB594" s="63" t="n"/>
    </row>
    <row r="595" ht="15.75" customHeight="1" s="64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  <c r="Z595" s="63" t="n"/>
      <c r="AA595" s="63" t="n"/>
      <c r="AB595" s="63" t="n"/>
    </row>
    <row r="596" ht="15.75" customHeight="1" s="64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  <c r="Z596" s="63" t="n"/>
      <c r="AA596" s="63" t="n"/>
      <c r="AB596" s="63" t="n"/>
    </row>
    <row r="597" ht="15.75" customHeight="1" s="64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  <c r="Z597" s="63" t="n"/>
      <c r="AA597" s="63" t="n"/>
      <c r="AB597" s="63" t="n"/>
    </row>
    <row r="598" ht="15.75" customHeight="1" s="64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  <c r="Z598" s="63" t="n"/>
      <c r="AA598" s="63" t="n"/>
      <c r="AB598" s="63" t="n"/>
    </row>
    <row r="599" ht="15.75" customHeight="1" s="64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  <c r="Z599" s="63" t="n"/>
      <c r="AA599" s="63" t="n"/>
      <c r="AB599" s="63" t="n"/>
    </row>
    <row r="600" ht="15.75" customHeight="1" s="64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  <c r="Z600" s="63" t="n"/>
      <c r="AA600" s="63" t="n"/>
      <c r="AB600" s="63" t="n"/>
    </row>
    <row r="601" ht="15.75" customHeight="1" s="64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  <c r="Z601" s="63" t="n"/>
      <c r="AA601" s="63" t="n"/>
      <c r="AB601" s="63" t="n"/>
    </row>
    <row r="602" ht="15.75" customHeight="1" s="64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  <c r="Z602" s="63" t="n"/>
      <c r="AA602" s="63" t="n"/>
      <c r="AB602" s="63" t="n"/>
    </row>
    <row r="603" ht="15.75" customHeight="1" s="64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  <c r="Z603" s="63" t="n"/>
      <c r="AA603" s="63" t="n"/>
      <c r="AB603" s="63" t="n"/>
    </row>
    <row r="604" ht="15.75" customHeight="1" s="6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  <c r="Z604" s="63" t="n"/>
      <c r="AA604" s="63" t="n"/>
      <c r="AB604" s="63" t="n"/>
    </row>
    <row r="605" ht="15.75" customHeight="1" s="64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  <c r="Z605" s="63" t="n"/>
      <c r="AA605" s="63" t="n"/>
      <c r="AB605" s="63" t="n"/>
    </row>
    <row r="606" ht="15.75" customHeight="1" s="64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  <c r="Z606" s="63" t="n"/>
      <c r="AA606" s="63" t="n"/>
      <c r="AB606" s="63" t="n"/>
    </row>
    <row r="607" ht="15.75" customHeight="1" s="64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  <c r="Z607" s="63" t="n"/>
      <c r="AA607" s="63" t="n"/>
      <c r="AB607" s="63" t="n"/>
    </row>
    <row r="608" ht="15.75" customHeight="1" s="64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  <c r="Z608" s="63" t="n"/>
      <c r="AA608" s="63" t="n"/>
      <c r="AB608" s="63" t="n"/>
    </row>
    <row r="609" ht="15.75" customHeight="1" s="64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  <c r="Z609" s="63" t="n"/>
      <c r="AA609" s="63" t="n"/>
      <c r="AB609" s="63" t="n"/>
    </row>
    <row r="610" ht="15.75" customHeight="1" s="64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  <c r="Z610" s="63" t="n"/>
      <c r="AA610" s="63" t="n"/>
      <c r="AB610" s="63" t="n"/>
    </row>
    <row r="611" ht="15.75" customHeight="1" s="64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  <c r="Z611" s="63" t="n"/>
      <c r="AA611" s="63" t="n"/>
      <c r="AB611" s="63" t="n"/>
    </row>
    <row r="612" ht="15.75" customHeight="1" s="64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  <c r="Z612" s="63" t="n"/>
      <c r="AA612" s="63" t="n"/>
      <c r="AB612" s="63" t="n"/>
    </row>
    <row r="613" ht="15.75" customHeight="1" s="64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  <c r="Z613" s="63" t="n"/>
      <c r="AA613" s="63" t="n"/>
      <c r="AB613" s="63" t="n"/>
    </row>
    <row r="614" ht="15.75" customHeight="1" s="6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  <c r="Z614" s="63" t="n"/>
      <c r="AA614" s="63" t="n"/>
      <c r="AB614" s="63" t="n"/>
    </row>
    <row r="615" ht="15.75" customHeight="1" s="64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  <c r="Z615" s="63" t="n"/>
      <c r="AA615" s="63" t="n"/>
      <c r="AB615" s="63" t="n"/>
    </row>
    <row r="616" ht="15.75" customHeight="1" s="64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  <c r="Z616" s="63" t="n"/>
      <c r="AA616" s="63" t="n"/>
      <c r="AB616" s="63" t="n"/>
    </row>
    <row r="617" ht="15.75" customHeight="1" s="64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  <c r="Z617" s="63" t="n"/>
      <c r="AA617" s="63" t="n"/>
      <c r="AB617" s="63" t="n"/>
    </row>
    <row r="618" ht="15.75" customHeight="1" s="64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  <c r="Z618" s="63" t="n"/>
      <c r="AA618" s="63" t="n"/>
      <c r="AB618" s="63" t="n"/>
    </row>
    <row r="619" ht="15.75" customHeight="1" s="64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  <c r="Z619" s="63" t="n"/>
      <c r="AA619" s="63" t="n"/>
      <c r="AB619" s="63" t="n"/>
    </row>
    <row r="620" ht="15.75" customHeight="1" s="64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  <c r="Z620" s="63" t="n"/>
      <c r="AA620" s="63" t="n"/>
      <c r="AB620" s="63" t="n"/>
    </row>
    <row r="621" ht="15.75" customHeight="1" s="64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  <c r="Z621" s="63" t="n"/>
      <c r="AA621" s="63" t="n"/>
      <c r="AB621" s="63" t="n"/>
    </row>
    <row r="622" ht="15.75" customHeight="1" s="64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  <c r="Z622" s="63" t="n"/>
      <c r="AA622" s="63" t="n"/>
      <c r="AB622" s="63" t="n"/>
    </row>
    <row r="623" ht="15.75" customHeight="1" s="64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  <c r="Z623" s="63" t="n"/>
      <c r="AA623" s="63" t="n"/>
      <c r="AB623" s="63" t="n"/>
    </row>
    <row r="624" ht="15.75" customHeight="1" s="6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  <c r="Z624" s="63" t="n"/>
      <c r="AA624" s="63" t="n"/>
      <c r="AB624" s="63" t="n"/>
    </row>
    <row r="625" ht="15.75" customHeight="1" s="64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  <c r="Z625" s="63" t="n"/>
      <c r="AA625" s="63" t="n"/>
      <c r="AB625" s="63" t="n"/>
    </row>
    <row r="626" ht="15.75" customHeight="1" s="64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  <c r="Z626" s="63" t="n"/>
      <c r="AA626" s="63" t="n"/>
      <c r="AB626" s="63" t="n"/>
    </row>
    <row r="627" ht="15.75" customHeight="1" s="64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  <c r="Z627" s="63" t="n"/>
      <c r="AA627" s="63" t="n"/>
      <c r="AB627" s="63" t="n"/>
    </row>
    <row r="628" ht="15.75" customHeight="1" s="64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  <c r="Z628" s="63" t="n"/>
      <c r="AA628" s="63" t="n"/>
      <c r="AB628" s="63" t="n"/>
    </row>
    <row r="629" ht="15.75" customHeight="1" s="64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  <c r="Z629" s="63" t="n"/>
      <c r="AA629" s="63" t="n"/>
      <c r="AB629" s="63" t="n"/>
    </row>
    <row r="630" ht="15.75" customHeight="1" s="64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  <c r="Z630" s="63" t="n"/>
      <c r="AA630" s="63" t="n"/>
      <c r="AB630" s="63" t="n"/>
    </row>
    <row r="631" ht="15.75" customHeight="1" s="64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  <c r="Z631" s="63" t="n"/>
      <c r="AA631" s="63" t="n"/>
      <c r="AB631" s="63" t="n"/>
    </row>
    <row r="632" ht="15.75" customHeight="1" s="64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  <c r="Z632" s="63" t="n"/>
      <c r="AA632" s="63" t="n"/>
      <c r="AB632" s="63" t="n"/>
    </row>
    <row r="633" ht="15.75" customHeight="1" s="64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  <c r="Z633" s="63" t="n"/>
      <c r="AA633" s="63" t="n"/>
      <c r="AB633" s="63" t="n"/>
    </row>
    <row r="634" ht="15.75" customHeight="1" s="6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  <c r="Z634" s="63" t="n"/>
      <c r="AA634" s="63" t="n"/>
      <c r="AB634" s="63" t="n"/>
    </row>
    <row r="635" ht="15.75" customHeight="1" s="64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  <c r="Z635" s="63" t="n"/>
      <c r="AA635" s="63" t="n"/>
      <c r="AB635" s="63" t="n"/>
    </row>
    <row r="636" ht="15.75" customHeight="1" s="64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  <c r="Z636" s="63" t="n"/>
      <c r="AA636" s="63" t="n"/>
      <c r="AB636" s="63" t="n"/>
    </row>
    <row r="637" ht="15.75" customHeight="1" s="64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  <c r="Z637" s="63" t="n"/>
      <c r="AA637" s="63" t="n"/>
      <c r="AB637" s="63" t="n"/>
    </row>
    <row r="638" ht="15.75" customHeight="1" s="64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  <c r="Z638" s="63" t="n"/>
      <c r="AA638" s="63" t="n"/>
      <c r="AB638" s="63" t="n"/>
    </row>
    <row r="639" ht="15.75" customHeight="1" s="64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  <c r="Z639" s="63" t="n"/>
      <c r="AA639" s="63" t="n"/>
      <c r="AB639" s="63" t="n"/>
    </row>
    <row r="640" ht="15.75" customHeight="1" s="64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  <c r="Z640" s="63" t="n"/>
      <c r="AA640" s="63" t="n"/>
      <c r="AB640" s="63" t="n"/>
    </row>
    <row r="641" ht="15.75" customHeight="1" s="64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  <c r="Z641" s="63" t="n"/>
      <c r="AA641" s="63" t="n"/>
      <c r="AB641" s="63" t="n"/>
    </row>
    <row r="642" ht="15.75" customHeight="1" s="64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  <c r="Z642" s="63" t="n"/>
      <c r="AA642" s="63" t="n"/>
      <c r="AB642" s="63" t="n"/>
    </row>
    <row r="643" ht="15.75" customHeight="1" s="64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  <c r="Z643" s="63" t="n"/>
      <c r="AA643" s="63" t="n"/>
      <c r="AB643" s="63" t="n"/>
    </row>
    <row r="644" ht="15.75" customHeight="1" s="6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  <c r="Z644" s="63" t="n"/>
      <c r="AA644" s="63" t="n"/>
      <c r="AB644" s="63" t="n"/>
    </row>
    <row r="645" ht="15.75" customHeight="1" s="64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  <c r="Z645" s="63" t="n"/>
      <c r="AA645" s="63" t="n"/>
      <c r="AB645" s="63" t="n"/>
    </row>
    <row r="646" ht="15.75" customHeight="1" s="64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  <c r="Z646" s="63" t="n"/>
      <c r="AA646" s="63" t="n"/>
      <c r="AB646" s="63" t="n"/>
    </row>
    <row r="647" ht="15.75" customHeight="1" s="64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  <c r="Z647" s="63" t="n"/>
      <c r="AA647" s="63" t="n"/>
      <c r="AB647" s="63" t="n"/>
    </row>
    <row r="648" ht="15.75" customHeight="1" s="64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  <c r="Z648" s="63" t="n"/>
      <c r="AA648" s="63" t="n"/>
      <c r="AB648" s="63" t="n"/>
    </row>
    <row r="649" ht="15.75" customHeight="1" s="64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  <c r="Z649" s="63" t="n"/>
      <c r="AA649" s="63" t="n"/>
      <c r="AB649" s="63" t="n"/>
    </row>
    <row r="650" ht="15.75" customHeight="1" s="64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  <c r="Z650" s="63" t="n"/>
      <c r="AA650" s="63" t="n"/>
      <c r="AB650" s="63" t="n"/>
    </row>
    <row r="651" ht="15.75" customHeight="1" s="64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  <c r="Z651" s="63" t="n"/>
      <c r="AA651" s="63" t="n"/>
      <c r="AB651" s="63" t="n"/>
    </row>
    <row r="652" ht="15.75" customHeight="1" s="64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  <c r="Z652" s="63" t="n"/>
      <c r="AA652" s="63" t="n"/>
      <c r="AB652" s="63" t="n"/>
    </row>
    <row r="653" ht="15.75" customHeight="1" s="64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  <c r="Z653" s="63" t="n"/>
      <c r="AA653" s="63" t="n"/>
      <c r="AB653" s="63" t="n"/>
    </row>
    <row r="654" ht="15.75" customHeight="1" s="6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  <c r="Z654" s="63" t="n"/>
      <c r="AA654" s="63" t="n"/>
      <c r="AB654" s="63" t="n"/>
    </row>
    <row r="655" ht="15.75" customHeight="1" s="64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  <c r="Z655" s="63" t="n"/>
      <c r="AA655" s="63" t="n"/>
      <c r="AB655" s="63" t="n"/>
    </row>
    <row r="656" ht="15.75" customHeight="1" s="64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  <c r="Z656" s="63" t="n"/>
      <c r="AA656" s="63" t="n"/>
      <c r="AB656" s="63" t="n"/>
    </row>
    <row r="657" ht="15.75" customHeight="1" s="64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  <c r="Z657" s="63" t="n"/>
      <c r="AA657" s="63" t="n"/>
      <c r="AB657" s="63" t="n"/>
    </row>
    <row r="658" ht="15.75" customHeight="1" s="64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  <c r="Z658" s="63" t="n"/>
      <c r="AA658" s="63" t="n"/>
      <c r="AB658" s="63" t="n"/>
    </row>
    <row r="659" ht="15.75" customHeight="1" s="64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  <c r="Z659" s="63" t="n"/>
      <c r="AA659" s="63" t="n"/>
      <c r="AB659" s="63" t="n"/>
    </row>
    <row r="660" ht="15.75" customHeight="1" s="64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  <c r="Z660" s="63" t="n"/>
      <c r="AA660" s="63" t="n"/>
      <c r="AB660" s="63" t="n"/>
    </row>
    <row r="661" ht="15.75" customHeight="1" s="64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  <c r="Z661" s="63" t="n"/>
      <c r="AA661" s="63" t="n"/>
      <c r="AB661" s="63" t="n"/>
    </row>
    <row r="662" ht="15.75" customHeight="1" s="64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  <c r="Z662" s="63" t="n"/>
      <c r="AA662" s="63" t="n"/>
      <c r="AB662" s="63" t="n"/>
    </row>
    <row r="663" ht="15.75" customHeight="1" s="64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  <c r="Z663" s="63" t="n"/>
      <c r="AA663" s="63" t="n"/>
      <c r="AB663" s="63" t="n"/>
    </row>
    <row r="664" ht="15.75" customHeight="1" s="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  <c r="Z664" s="63" t="n"/>
      <c r="AA664" s="63" t="n"/>
      <c r="AB664" s="63" t="n"/>
    </row>
    <row r="665" ht="15.75" customHeight="1" s="64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  <c r="Z665" s="63" t="n"/>
      <c r="AA665" s="63" t="n"/>
      <c r="AB665" s="63" t="n"/>
    </row>
    <row r="666" ht="15.75" customHeight="1" s="64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  <c r="Z666" s="63" t="n"/>
      <c r="AA666" s="63" t="n"/>
      <c r="AB666" s="63" t="n"/>
    </row>
    <row r="667" ht="15.75" customHeight="1" s="64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  <c r="Z667" s="63" t="n"/>
      <c r="AA667" s="63" t="n"/>
      <c r="AB667" s="63" t="n"/>
    </row>
    <row r="668" ht="15.75" customHeight="1" s="64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  <c r="Z668" s="63" t="n"/>
      <c r="AA668" s="63" t="n"/>
      <c r="AB668" s="63" t="n"/>
    </row>
    <row r="669" ht="15.75" customHeight="1" s="64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  <c r="Z669" s="63" t="n"/>
      <c r="AA669" s="63" t="n"/>
      <c r="AB669" s="63" t="n"/>
    </row>
    <row r="670" ht="15.75" customHeight="1" s="64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  <c r="AA670" s="63" t="n"/>
      <c r="AB670" s="63" t="n"/>
    </row>
    <row r="671" ht="15.75" customHeight="1" s="64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  <c r="AA671" s="63" t="n"/>
      <c r="AB671" s="63" t="n"/>
    </row>
    <row r="672" ht="15.75" customHeight="1" s="64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  <c r="AA672" s="63" t="n"/>
      <c r="AB672" s="63" t="n"/>
    </row>
    <row r="673" ht="15.75" customHeight="1" s="64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  <c r="AA673" s="63" t="n"/>
      <c r="AB673" s="63" t="n"/>
    </row>
    <row r="674" ht="15.75" customHeight="1" s="6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  <c r="AA674" s="63" t="n"/>
      <c r="AB674" s="63" t="n"/>
    </row>
    <row r="675" ht="15.75" customHeight="1" s="64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  <c r="AA675" s="63" t="n"/>
      <c r="AB675" s="63" t="n"/>
    </row>
    <row r="676" ht="15.75" customHeight="1" s="64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  <c r="AA676" s="63" t="n"/>
      <c r="AB676" s="63" t="n"/>
    </row>
    <row r="677" ht="15.75" customHeight="1" s="64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  <c r="Z677" s="63" t="n"/>
      <c r="AA677" s="63" t="n"/>
      <c r="AB677" s="63" t="n"/>
    </row>
    <row r="678" ht="15.75" customHeight="1" s="64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  <c r="Z678" s="63" t="n"/>
      <c r="AA678" s="63" t="n"/>
      <c r="AB678" s="63" t="n"/>
    </row>
    <row r="679" ht="15.75" customHeight="1" s="64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  <c r="Z679" s="63" t="n"/>
      <c r="AA679" s="63" t="n"/>
      <c r="AB679" s="63" t="n"/>
    </row>
    <row r="680" ht="15.75" customHeight="1" s="64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  <c r="Z680" s="63" t="n"/>
      <c r="AA680" s="63" t="n"/>
      <c r="AB680" s="63" t="n"/>
    </row>
    <row r="681" ht="15.75" customHeight="1" s="64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  <c r="Z681" s="63" t="n"/>
      <c r="AA681" s="63" t="n"/>
      <c r="AB681" s="63" t="n"/>
    </row>
    <row r="682" ht="15.75" customHeight="1" s="64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  <c r="Z682" s="63" t="n"/>
      <c r="AA682" s="63" t="n"/>
      <c r="AB682" s="63" t="n"/>
    </row>
    <row r="683" ht="15.75" customHeight="1" s="64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  <c r="Z683" s="63" t="n"/>
      <c r="AA683" s="63" t="n"/>
      <c r="AB683" s="63" t="n"/>
    </row>
    <row r="684" ht="15.75" customHeight="1" s="6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  <c r="Z684" s="63" t="n"/>
      <c r="AA684" s="63" t="n"/>
      <c r="AB684" s="63" t="n"/>
    </row>
    <row r="685" ht="15.75" customHeight="1" s="64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  <c r="Z685" s="63" t="n"/>
      <c r="AA685" s="63" t="n"/>
      <c r="AB685" s="63" t="n"/>
    </row>
    <row r="686" ht="15.75" customHeight="1" s="64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  <c r="Z686" s="63" t="n"/>
      <c r="AA686" s="63" t="n"/>
      <c r="AB686" s="63" t="n"/>
    </row>
    <row r="687" ht="15.75" customHeight="1" s="64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  <c r="Z687" s="63" t="n"/>
      <c r="AA687" s="63" t="n"/>
      <c r="AB687" s="63" t="n"/>
    </row>
    <row r="688" ht="15.75" customHeight="1" s="64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  <c r="Z688" s="63" t="n"/>
      <c r="AA688" s="63" t="n"/>
      <c r="AB688" s="63" t="n"/>
    </row>
    <row r="689" ht="15.75" customHeight="1" s="64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  <c r="Z689" s="63" t="n"/>
      <c r="AA689" s="63" t="n"/>
      <c r="AB689" s="63" t="n"/>
    </row>
    <row r="690" ht="15.75" customHeight="1" s="64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  <c r="Z690" s="63" t="n"/>
      <c r="AA690" s="63" t="n"/>
      <c r="AB690" s="63" t="n"/>
    </row>
    <row r="691" ht="15.75" customHeight="1" s="64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  <c r="Z691" s="63" t="n"/>
      <c r="AA691" s="63" t="n"/>
      <c r="AB691" s="63" t="n"/>
    </row>
    <row r="692" ht="15.75" customHeight="1" s="64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  <c r="Z692" s="63" t="n"/>
      <c r="AA692" s="63" t="n"/>
      <c r="AB692" s="63" t="n"/>
    </row>
    <row r="693" ht="15.75" customHeight="1" s="64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  <c r="Z693" s="63" t="n"/>
      <c r="AA693" s="63" t="n"/>
      <c r="AB693" s="63" t="n"/>
    </row>
    <row r="694" ht="15.75" customHeight="1" s="6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  <c r="Z694" s="63" t="n"/>
      <c r="AA694" s="63" t="n"/>
      <c r="AB694" s="63" t="n"/>
    </row>
    <row r="695" ht="15.75" customHeight="1" s="64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  <c r="Z695" s="63" t="n"/>
      <c r="AA695" s="63" t="n"/>
      <c r="AB695" s="63" t="n"/>
    </row>
    <row r="696" ht="15.75" customHeight="1" s="64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  <c r="Z696" s="63" t="n"/>
      <c r="AA696" s="63" t="n"/>
      <c r="AB696" s="63" t="n"/>
    </row>
    <row r="697" ht="15.75" customHeight="1" s="64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  <c r="Z697" s="63" t="n"/>
      <c r="AA697" s="63" t="n"/>
      <c r="AB697" s="63" t="n"/>
    </row>
    <row r="698" ht="15.75" customHeight="1" s="64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  <c r="Z698" s="63" t="n"/>
      <c r="AA698" s="63" t="n"/>
      <c r="AB698" s="63" t="n"/>
    </row>
    <row r="699" ht="15.75" customHeight="1" s="64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  <c r="Z699" s="63" t="n"/>
      <c r="AA699" s="63" t="n"/>
      <c r="AB699" s="63" t="n"/>
    </row>
    <row r="700" ht="15.75" customHeight="1" s="64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  <c r="Z700" s="63" t="n"/>
      <c r="AA700" s="63" t="n"/>
      <c r="AB700" s="63" t="n"/>
    </row>
    <row r="701" ht="15.75" customHeight="1" s="64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  <c r="Z701" s="63" t="n"/>
      <c r="AA701" s="63" t="n"/>
      <c r="AB701" s="63" t="n"/>
    </row>
    <row r="702" ht="15.75" customHeight="1" s="64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  <c r="Z702" s="63" t="n"/>
      <c r="AA702" s="63" t="n"/>
      <c r="AB702" s="63" t="n"/>
    </row>
    <row r="703" ht="15.75" customHeight="1" s="64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  <c r="Z703" s="63" t="n"/>
      <c r="AA703" s="63" t="n"/>
      <c r="AB703" s="63" t="n"/>
    </row>
    <row r="704" ht="15.75" customHeight="1" s="6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  <c r="Z704" s="63" t="n"/>
      <c r="AA704" s="63" t="n"/>
      <c r="AB704" s="63" t="n"/>
    </row>
    <row r="705" ht="15.75" customHeight="1" s="64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  <c r="Z705" s="63" t="n"/>
      <c r="AA705" s="63" t="n"/>
      <c r="AB705" s="63" t="n"/>
    </row>
    <row r="706" ht="15.75" customHeight="1" s="64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  <c r="Z706" s="63" t="n"/>
      <c r="AA706" s="63" t="n"/>
      <c r="AB706" s="63" t="n"/>
    </row>
    <row r="707" ht="15.75" customHeight="1" s="64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  <c r="Z707" s="63" t="n"/>
      <c r="AA707" s="63" t="n"/>
      <c r="AB707" s="63" t="n"/>
    </row>
    <row r="708" ht="15.75" customHeight="1" s="64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  <c r="Z708" s="63" t="n"/>
      <c r="AA708" s="63" t="n"/>
      <c r="AB708" s="63" t="n"/>
    </row>
    <row r="709" ht="15.75" customHeight="1" s="64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  <c r="Z709" s="63" t="n"/>
      <c r="AA709" s="63" t="n"/>
      <c r="AB709" s="63" t="n"/>
    </row>
    <row r="710" ht="15.75" customHeight="1" s="64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  <c r="Z710" s="63" t="n"/>
      <c r="AA710" s="63" t="n"/>
      <c r="AB710" s="63" t="n"/>
    </row>
    <row r="711" ht="15.75" customHeight="1" s="64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  <c r="Z711" s="63" t="n"/>
      <c r="AA711" s="63" t="n"/>
      <c r="AB711" s="63" t="n"/>
    </row>
    <row r="712" ht="15.75" customHeight="1" s="64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  <c r="Z712" s="63" t="n"/>
      <c r="AA712" s="63" t="n"/>
      <c r="AB712" s="63" t="n"/>
    </row>
    <row r="713" ht="15.75" customHeight="1" s="64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  <c r="AA713" s="63" t="n"/>
      <c r="AB713" s="63" t="n"/>
    </row>
    <row r="714" ht="15.75" customHeight="1" s="6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  <c r="Z714" s="63" t="n"/>
      <c r="AA714" s="63" t="n"/>
      <c r="AB714" s="63" t="n"/>
    </row>
    <row r="715" ht="15.75" customHeight="1" s="64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  <c r="Z715" s="63" t="n"/>
      <c r="AA715" s="63" t="n"/>
      <c r="AB715" s="63" t="n"/>
    </row>
    <row r="716" ht="15.75" customHeight="1" s="64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  <c r="Z716" s="63" t="n"/>
      <c r="AA716" s="63" t="n"/>
      <c r="AB716" s="63" t="n"/>
    </row>
    <row r="717" ht="15.75" customHeight="1" s="64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  <c r="Z717" s="63" t="n"/>
      <c r="AA717" s="63" t="n"/>
      <c r="AB717" s="63" t="n"/>
    </row>
    <row r="718" ht="15.75" customHeight="1" s="64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  <c r="Z718" s="63" t="n"/>
      <c r="AA718" s="63" t="n"/>
      <c r="AB718" s="63" t="n"/>
    </row>
    <row r="719" ht="15.75" customHeight="1" s="64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  <c r="Z719" s="63" t="n"/>
      <c r="AA719" s="63" t="n"/>
      <c r="AB719" s="63" t="n"/>
    </row>
    <row r="720" ht="15.75" customHeight="1" s="64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  <c r="AA720" s="63" t="n"/>
      <c r="AB720" s="63" t="n"/>
    </row>
    <row r="721" ht="15.75" customHeight="1" s="64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  <c r="Z721" s="63" t="n"/>
      <c r="AA721" s="63" t="n"/>
      <c r="AB721" s="63" t="n"/>
    </row>
    <row r="722" ht="15.75" customHeight="1" s="64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  <c r="Z722" s="63" t="n"/>
      <c r="AA722" s="63" t="n"/>
      <c r="AB722" s="63" t="n"/>
    </row>
    <row r="723" ht="15.75" customHeight="1" s="64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  <c r="Z723" s="63" t="n"/>
      <c r="AA723" s="63" t="n"/>
      <c r="AB723" s="63" t="n"/>
    </row>
    <row r="724" ht="15.75" customHeight="1" s="6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  <c r="Z724" s="63" t="n"/>
      <c r="AA724" s="63" t="n"/>
      <c r="AB724" s="63" t="n"/>
    </row>
    <row r="725" ht="15.75" customHeight="1" s="64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  <c r="Z725" s="63" t="n"/>
      <c r="AA725" s="63" t="n"/>
      <c r="AB725" s="63" t="n"/>
    </row>
    <row r="726" ht="15.75" customHeight="1" s="64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  <c r="Z726" s="63" t="n"/>
      <c r="AA726" s="63" t="n"/>
      <c r="AB726" s="63" t="n"/>
    </row>
    <row r="727" ht="15.75" customHeight="1" s="64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  <c r="Z727" s="63" t="n"/>
      <c r="AA727" s="63" t="n"/>
      <c r="AB727" s="63" t="n"/>
    </row>
    <row r="728" ht="15.75" customHeight="1" s="64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  <c r="Z728" s="63" t="n"/>
      <c r="AA728" s="63" t="n"/>
      <c r="AB728" s="63" t="n"/>
    </row>
    <row r="729" ht="15.75" customHeight="1" s="64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  <c r="Z729" s="63" t="n"/>
      <c r="AA729" s="63" t="n"/>
      <c r="AB729" s="63" t="n"/>
    </row>
    <row r="730" ht="15.75" customHeight="1" s="64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  <c r="Z730" s="63" t="n"/>
      <c r="AA730" s="63" t="n"/>
      <c r="AB730" s="63" t="n"/>
    </row>
    <row r="731" ht="15.75" customHeight="1" s="64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  <c r="Z731" s="63" t="n"/>
      <c r="AA731" s="63" t="n"/>
      <c r="AB731" s="63" t="n"/>
    </row>
    <row r="732" ht="15.75" customHeight="1" s="64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  <c r="Z732" s="63" t="n"/>
      <c r="AA732" s="63" t="n"/>
      <c r="AB732" s="63" t="n"/>
    </row>
    <row r="733" ht="15.75" customHeight="1" s="64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  <c r="Z733" s="63" t="n"/>
      <c r="AA733" s="63" t="n"/>
      <c r="AB733" s="63" t="n"/>
    </row>
    <row r="734" ht="15.75" customHeight="1" s="6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  <c r="Z734" s="63" t="n"/>
      <c r="AA734" s="63" t="n"/>
      <c r="AB734" s="63" t="n"/>
    </row>
    <row r="735" ht="15.75" customHeight="1" s="64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  <c r="Z735" s="63" t="n"/>
      <c r="AA735" s="63" t="n"/>
      <c r="AB735" s="63" t="n"/>
    </row>
    <row r="736" ht="15.75" customHeight="1" s="64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  <c r="Z736" s="63" t="n"/>
      <c r="AA736" s="63" t="n"/>
      <c r="AB736" s="63" t="n"/>
    </row>
    <row r="737" ht="15.75" customHeight="1" s="64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  <c r="Z737" s="63" t="n"/>
      <c r="AA737" s="63" t="n"/>
      <c r="AB737" s="63" t="n"/>
    </row>
    <row r="738" ht="15.75" customHeight="1" s="64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  <c r="Z738" s="63" t="n"/>
      <c r="AA738" s="63" t="n"/>
      <c r="AB738" s="63" t="n"/>
    </row>
    <row r="739" ht="15.75" customHeight="1" s="64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  <c r="Z739" s="63" t="n"/>
      <c r="AA739" s="63" t="n"/>
      <c r="AB739" s="63" t="n"/>
    </row>
    <row r="740" ht="15.75" customHeight="1" s="64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  <c r="Z740" s="63" t="n"/>
      <c r="AA740" s="63" t="n"/>
      <c r="AB740" s="63" t="n"/>
    </row>
    <row r="741" ht="15.75" customHeight="1" s="64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  <c r="Z741" s="63" t="n"/>
      <c r="AA741" s="63" t="n"/>
      <c r="AB741" s="63" t="n"/>
    </row>
    <row r="742" ht="15.75" customHeight="1" s="64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  <c r="Z742" s="63" t="n"/>
      <c r="AA742" s="63" t="n"/>
      <c r="AB742" s="63" t="n"/>
    </row>
    <row r="743" ht="15.75" customHeight="1" s="64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  <c r="Z743" s="63" t="n"/>
      <c r="AA743" s="63" t="n"/>
      <c r="AB743" s="63" t="n"/>
    </row>
    <row r="744" ht="15.75" customHeight="1" s="6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  <c r="Z744" s="63" t="n"/>
      <c r="AA744" s="63" t="n"/>
      <c r="AB744" s="63" t="n"/>
    </row>
    <row r="745" ht="15.75" customHeight="1" s="64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  <c r="Z745" s="63" t="n"/>
      <c r="AA745" s="63" t="n"/>
      <c r="AB745" s="63" t="n"/>
    </row>
    <row r="746" ht="15.75" customHeight="1" s="64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  <c r="Z746" s="63" t="n"/>
      <c r="AA746" s="63" t="n"/>
      <c r="AB746" s="63" t="n"/>
    </row>
    <row r="747" ht="15.75" customHeight="1" s="64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  <c r="Z747" s="63" t="n"/>
      <c r="AA747" s="63" t="n"/>
      <c r="AB747" s="63" t="n"/>
    </row>
    <row r="748" ht="15.75" customHeight="1" s="64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  <c r="Z748" s="63" t="n"/>
      <c r="AA748" s="63" t="n"/>
      <c r="AB748" s="63" t="n"/>
    </row>
    <row r="749" ht="15.75" customHeight="1" s="64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  <c r="Z749" s="63" t="n"/>
      <c r="AA749" s="63" t="n"/>
      <c r="AB749" s="63" t="n"/>
    </row>
    <row r="750" ht="15.75" customHeight="1" s="64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  <c r="Z750" s="63" t="n"/>
      <c r="AA750" s="63" t="n"/>
      <c r="AB750" s="63" t="n"/>
    </row>
    <row r="751" ht="15.75" customHeight="1" s="64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  <c r="Z751" s="63" t="n"/>
      <c r="AA751" s="63" t="n"/>
      <c r="AB751" s="63" t="n"/>
    </row>
    <row r="752" ht="15.75" customHeight="1" s="64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  <c r="Z752" s="63" t="n"/>
      <c r="AA752" s="63" t="n"/>
      <c r="AB752" s="63" t="n"/>
    </row>
    <row r="753" ht="15.75" customHeight="1" s="64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  <c r="Z753" s="63" t="n"/>
      <c r="AA753" s="63" t="n"/>
      <c r="AB753" s="63" t="n"/>
    </row>
    <row r="754" ht="15.75" customHeight="1" s="6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  <c r="Z754" s="63" t="n"/>
      <c r="AA754" s="63" t="n"/>
      <c r="AB754" s="63" t="n"/>
    </row>
    <row r="755" ht="15.75" customHeight="1" s="64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  <c r="Z755" s="63" t="n"/>
      <c r="AA755" s="63" t="n"/>
      <c r="AB755" s="63" t="n"/>
    </row>
    <row r="756" ht="15.75" customHeight="1" s="64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  <c r="Z756" s="63" t="n"/>
      <c r="AA756" s="63" t="n"/>
      <c r="AB756" s="63" t="n"/>
    </row>
    <row r="757" ht="15.75" customHeight="1" s="64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  <c r="Z757" s="63" t="n"/>
      <c r="AA757" s="63" t="n"/>
      <c r="AB757" s="63" t="n"/>
    </row>
    <row r="758" ht="15.75" customHeight="1" s="64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  <c r="Z758" s="63" t="n"/>
      <c r="AA758" s="63" t="n"/>
      <c r="AB758" s="63" t="n"/>
    </row>
    <row r="759" ht="15.75" customHeight="1" s="64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  <c r="Z759" s="63" t="n"/>
      <c r="AA759" s="63" t="n"/>
      <c r="AB759" s="63" t="n"/>
    </row>
    <row r="760" ht="15.75" customHeight="1" s="64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  <c r="Z760" s="63" t="n"/>
      <c r="AA760" s="63" t="n"/>
      <c r="AB760" s="63" t="n"/>
    </row>
    <row r="761" ht="15.75" customHeight="1" s="64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  <c r="Z761" s="63" t="n"/>
      <c r="AA761" s="63" t="n"/>
      <c r="AB761" s="63" t="n"/>
    </row>
    <row r="762" ht="15.75" customHeight="1" s="64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  <c r="Z762" s="63" t="n"/>
      <c r="AA762" s="63" t="n"/>
      <c r="AB762" s="63" t="n"/>
    </row>
    <row r="763" ht="15.75" customHeight="1" s="64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  <c r="Z763" s="63" t="n"/>
      <c r="AA763" s="63" t="n"/>
      <c r="AB763" s="63" t="n"/>
    </row>
    <row r="764" ht="15.75" customHeight="1" s="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  <c r="Z764" s="63" t="n"/>
      <c r="AA764" s="63" t="n"/>
      <c r="AB764" s="63" t="n"/>
    </row>
    <row r="765" ht="15.75" customHeight="1" s="64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  <c r="Z765" s="63" t="n"/>
      <c r="AA765" s="63" t="n"/>
      <c r="AB765" s="63" t="n"/>
    </row>
    <row r="766" ht="15.75" customHeight="1" s="64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  <c r="Z766" s="63" t="n"/>
      <c r="AA766" s="63" t="n"/>
      <c r="AB766" s="63" t="n"/>
    </row>
    <row r="767" ht="15.75" customHeight="1" s="64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  <c r="Z767" s="63" t="n"/>
      <c r="AA767" s="63" t="n"/>
      <c r="AB767" s="63" t="n"/>
    </row>
    <row r="768" ht="15.75" customHeight="1" s="64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  <c r="Z768" s="63" t="n"/>
      <c r="AA768" s="63" t="n"/>
      <c r="AB768" s="63" t="n"/>
    </row>
    <row r="769" ht="15.75" customHeight="1" s="64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  <c r="Z769" s="63" t="n"/>
      <c r="AA769" s="63" t="n"/>
      <c r="AB769" s="63" t="n"/>
    </row>
    <row r="770" ht="15.75" customHeight="1" s="64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  <c r="Z770" s="63" t="n"/>
      <c r="AA770" s="63" t="n"/>
      <c r="AB770" s="63" t="n"/>
    </row>
    <row r="771" ht="15.75" customHeight="1" s="64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  <c r="Z771" s="63" t="n"/>
      <c r="AA771" s="63" t="n"/>
      <c r="AB771" s="63" t="n"/>
    </row>
    <row r="772" ht="15.75" customHeight="1" s="64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  <c r="Z772" s="63" t="n"/>
      <c r="AA772" s="63" t="n"/>
      <c r="AB772" s="63" t="n"/>
    </row>
    <row r="773" ht="15.75" customHeight="1" s="64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  <c r="Z773" s="63" t="n"/>
      <c r="AA773" s="63" t="n"/>
      <c r="AB773" s="63" t="n"/>
    </row>
    <row r="774" ht="15.75" customHeight="1" s="6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  <c r="Z774" s="63" t="n"/>
      <c r="AA774" s="63" t="n"/>
      <c r="AB774" s="63" t="n"/>
    </row>
    <row r="775" ht="15.75" customHeight="1" s="64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  <c r="Z775" s="63" t="n"/>
      <c r="AA775" s="63" t="n"/>
      <c r="AB775" s="63" t="n"/>
    </row>
    <row r="776" ht="15.75" customHeight="1" s="64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  <c r="Z776" s="63" t="n"/>
      <c r="AA776" s="63" t="n"/>
      <c r="AB776" s="63" t="n"/>
    </row>
    <row r="777" ht="15.75" customHeight="1" s="64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  <c r="Z777" s="63" t="n"/>
      <c r="AA777" s="63" t="n"/>
      <c r="AB777" s="63" t="n"/>
    </row>
    <row r="778" ht="15.75" customHeight="1" s="64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  <c r="Z778" s="63" t="n"/>
      <c r="AA778" s="63" t="n"/>
      <c r="AB778" s="63" t="n"/>
    </row>
    <row r="779" ht="15.75" customHeight="1" s="64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  <c r="Z779" s="63" t="n"/>
      <c r="AA779" s="63" t="n"/>
      <c r="AB779" s="63" t="n"/>
    </row>
    <row r="780" ht="15.75" customHeight="1" s="64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  <c r="Z780" s="63" t="n"/>
      <c r="AA780" s="63" t="n"/>
      <c r="AB780" s="63" t="n"/>
    </row>
    <row r="781" ht="15.75" customHeight="1" s="64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  <c r="Z781" s="63" t="n"/>
      <c r="AA781" s="63" t="n"/>
      <c r="AB781" s="63" t="n"/>
    </row>
    <row r="782" ht="15.75" customHeight="1" s="64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  <c r="Z782" s="63" t="n"/>
      <c r="AA782" s="63" t="n"/>
      <c r="AB782" s="63" t="n"/>
    </row>
    <row r="783" ht="15.75" customHeight="1" s="64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  <c r="Z783" s="63" t="n"/>
      <c r="AA783" s="63" t="n"/>
      <c r="AB783" s="63" t="n"/>
    </row>
    <row r="784" ht="15.75" customHeight="1" s="6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  <c r="Z784" s="63" t="n"/>
      <c r="AA784" s="63" t="n"/>
      <c r="AB784" s="63" t="n"/>
    </row>
    <row r="785" ht="15.75" customHeight="1" s="64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  <c r="Z785" s="63" t="n"/>
      <c r="AA785" s="63" t="n"/>
      <c r="AB785" s="63" t="n"/>
    </row>
    <row r="786" ht="15.75" customHeight="1" s="64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  <c r="Z786" s="63" t="n"/>
      <c r="AA786" s="63" t="n"/>
      <c r="AB786" s="63" t="n"/>
    </row>
    <row r="787" ht="15.75" customHeight="1" s="64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  <c r="Z787" s="63" t="n"/>
      <c r="AA787" s="63" t="n"/>
      <c r="AB787" s="63" t="n"/>
    </row>
    <row r="788" ht="15.75" customHeight="1" s="64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  <c r="Z788" s="63" t="n"/>
      <c r="AA788" s="63" t="n"/>
      <c r="AB788" s="63" t="n"/>
    </row>
    <row r="789" ht="15.75" customHeight="1" s="64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  <c r="Z789" s="63" t="n"/>
      <c r="AA789" s="63" t="n"/>
      <c r="AB789" s="63" t="n"/>
    </row>
    <row r="790" ht="15.75" customHeight="1" s="64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  <c r="Z790" s="63" t="n"/>
      <c r="AA790" s="63" t="n"/>
      <c r="AB790" s="63" t="n"/>
    </row>
    <row r="791" ht="15.75" customHeight="1" s="64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  <c r="Z791" s="63" t="n"/>
      <c r="AA791" s="63" t="n"/>
      <c r="AB791" s="63" t="n"/>
    </row>
    <row r="792" ht="15.75" customHeight="1" s="64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  <c r="Z792" s="63" t="n"/>
      <c r="AA792" s="63" t="n"/>
      <c r="AB792" s="63" t="n"/>
    </row>
    <row r="793" ht="15.75" customHeight="1" s="64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  <c r="Z793" s="63" t="n"/>
      <c r="AA793" s="63" t="n"/>
      <c r="AB793" s="63" t="n"/>
    </row>
    <row r="794" ht="15.75" customHeight="1" s="6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  <c r="Z794" s="63" t="n"/>
      <c r="AA794" s="63" t="n"/>
      <c r="AB794" s="63" t="n"/>
    </row>
    <row r="795" ht="15.75" customHeight="1" s="64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  <c r="Z795" s="63" t="n"/>
      <c r="AA795" s="63" t="n"/>
      <c r="AB795" s="63" t="n"/>
    </row>
    <row r="796" ht="15.75" customHeight="1" s="64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  <c r="Z796" s="63" t="n"/>
      <c r="AA796" s="63" t="n"/>
      <c r="AB796" s="63" t="n"/>
    </row>
    <row r="797" ht="15.75" customHeight="1" s="64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  <c r="Z797" s="63" t="n"/>
      <c r="AA797" s="63" t="n"/>
      <c r="AB797" s="63" t="n"/>
    </row>
    <row r="798" ht="15.75" customHeight="1" s="64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  <c r="Z798" s="63" t="n"/>
      <c r="AA798" s="63" t="n"/>
      <c r="AB798" s="63" t="n"/>
    </row>
    <row r="799" ht="15.75" customHeight="1" s="64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  <c r="Z799" s="63" t="n"/>
      <c r="AA799" s="63" t="n"/>
      <c r="AB799" s="63" t="n"/>
    </row>
    <row r="800" ht="15.75" customHeight="1" s="64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  <c r="Z800" s="63" t="n"/>
      <c r="AA800" s="63" t="n"/>
      <c r="AB800" s="63" t="n"/>
    </row>
    <row r="801" ht="15.75" customHeight="1" s="64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  <c r="Z801" s="63" t="n"/>
      <c r="AA801" s="63" t="n"/>
      <c r="AB801" s="63" t="n"/>
    </row>
    <row r="802" ht="15.75" customHeight="1" s="64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  <c r="Z802" s="63" t="n"/>
      <c r="AA802" s="63" t="n"/>
      <c r="AB802" s="63" t="n"/>
    </row>
    <row r="803" ht="15.75" customHeight="1" s="64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  <c r="Z803" s="63" t="n"/>
      <c r="AA803" s="63" t="n"/>
      <c r="AB803" s="63" t="n"/>
    </row>
    <row r="804" ht="15.75" customHeight="1" s="6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  <c r="Z804" s="63" t="n"/>
      <c r="AA804" s="63" t="n"/>
      <c r="AB804" s="63" t="n"/>
    </row>
    <row r="805" ht="15.75" customHeight="1" s="64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  <c r="Z805" s="63" t="n"/>
      <c r="AA805" s="63" t="n"/>
      <c r="AB805" s="63" t="n"/>
    </row>
    <row r="806" ht="15.75" customHeight="1" s="64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  <c r="Z806" s="63" t="n"/>
      <c r="AA806" s="63" t="n"/>
      <c r="AB806" s="63" t="n"/>
    </row>
    <row r="807" ht="15.75" customHeight="1" s="64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  <c r="Z807" s="63" t="n"/>
      <c r="AA807" s="63" t="n"/>
      <c r="AB807" s="63" t="n"/>
    </row>
    <row r="808" ht="15.75" customHeight="1" s="64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  <c r="Z808" s="63" t="n"/>
      <c r="AA808" s="63" t="n"/>
      <c r="AB808" s="63" t="n"/>
    </row>
    <row r="809" ht="15.75" customHeight="1" s="64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  <c r="Z809" s="63" t="n"/>
      <c r="AA809" s="63" t="n"/>
      <c r="AB809" s="63" t="n"/>
    </row>
    <row r="810" ht="15.75" customHeight="1" s="64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  <c r="Z810" s="63" t="n"/>
      <c r="AA810" s="63" t="n"/>
      <c r="AB810" s="63" t="n"/>
    </row>
    <row r="811" ht="15.75" customHeight="1" s="64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  <c r="Z811" s="63" t="n"/>
      <c r="AA811" s="63" t="n"/>
      <c r="AB811" s="63" t="n"/>
    </row>
    <row r="812" ht="15.75" customHeight="1" s="64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  <c r="Z812" s="63" t="n"/>
      <c r="AA812" s="63" t="n"/>
      <c r="AB812" s="63" t="n"/>
    </row>
    <row r="813" ht="15.75" customHeight="1" s="64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  <c r="Z813" s="63" t="n"/>
      <c r="AA813" s="63" t="n"/>
      <c r="AB813" s="63" t="n"/>
    </row>
    <row r="814" ht="15.75" customHeight="1" s="6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  <c r="Z814" s="63" t="n"/>
      <c r="AA814" s="63" t="n"/>
      <c r="AB814" s="63" t="n"/>
    </row>
    <row r="815" ht="15.75" customHeight="1" s="64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  <c r="Z815" s="63" t="n"/>
      <c r="AA815" s="63" t="n"/>
      <c r="AB815" s="63" t="n"/>
    </row>
    <row r="816" ht="15.75" customHeight="1" s="64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  <c r="Z816" s="63" t="n"/>
      <c r="AA816" s="63" t="n"/>
      <c r="AB816" s="63" t="n"/>
    </row>
    <row r="817" ht="15.75" customHeight="1" s="64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  <c r="Z817" s="63" t="n"/>
      <c r="AA817" s="63" t="n"/>
      <c r="AB817" s="63" t="n"/>
    </row>
    <row r="818" ht="15.75" customHeight="1" s="64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  <c r="Z818" s="63" t="n"/>
      <c r="AA818" s="63" t="n"/>
      <c r="AB818" s="63" t="n"/>
    </row>
    <row r="819" ht="15.75" customHeight="1" s="64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  <c r="Z819" s="63" t="n"/>
      <c r="AA819" s="63" t="n"/>
      <c r="AB819" s="63" t="n"/>
    </row>
    <row r="820" ht="15.75" customHeight="1" s="64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  <c r="Z820" s="63" t="n"/>
      <c r="AA820" s="63" t="n"/>
      <c r="AB820" s="63" t="n"/>
    </row>
    <row r="821" ht="15.75" customHeight="1" s="64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  <c r="Z821" s="63" t="n"/>
      <c r="AA821" s="63" t="n"/>
      <c r="AB821" s="63" t="n"/>
    </row>
    <row r="822" ht="15.75" customHeight="1" s="64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  <c r="Z822" s="63" t="n"/>
      <c r="AA822" s="63" t="n"/>
      <c r="AB822" s="63" t="n"/>
    </row>
    <row r="823" ht="15.75" customHeight="1" s="64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  <c r="Z823" s="63" t="n"/>
      <c r="AA823" s="63" t="n"/>
      <c r="AB823" s="63" t="n"/>
    </row>
    <row r="824" ht="15.75" customHeight="1" s="6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  <c r="Z824" s="63" t="n"/>
      <c r="AA824" s="63" t="n"/>
      <c r="AB824" s="63" t="n"/>
    </row>
    <row r="825" ht="15.75" customHeight="1" s="64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  <c r="Z825" s="63" t="n"/>
      <c r="AA825" s="63" t="n"/>
      <c r="AB825" s="63" t="n"/>
    </row>
    <row r="826" ht="15.75" customHeight="1" s="64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  <c r="Z826" s="63" t="n"/>
      <c r="AA826" s="63" t="n"/>
      <c r="AB826" s="63" t="n"/>
    </row>
    <row r="827" ht="15.75" customHeight="1" s="64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  <c r="Z827" s="63" t="n"/>
      <c r="AA827" s="63" t="n"/>
      <c r="AB827" s="63" t="n"/>
    </row>
    <row r="828" ht="15.75" customHeight="1" s="64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  <c r="Z828" s="63" t="n"/>
      <c r="AA828" s="63" t="n"/>
      <c r="AB828" s="63" t="n"/>
    </row>
    <row r="829" ht="15.75" customHeight="1" s="64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  <c r="Z829" s="63" t="n"/>
      <c r="AA829" s="63" t="n"/>
      <c r="AB829" s="63" t="n"/>
    </row>
    <row r="830" ht="15.75" customHeight="1" s="64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  <c r="Z830" s="63" t="n"/>
      <c r="AA830" s="63" t="n"/>
      <c r="AB830" s="63" t="n"/>
    </row>
    <row r="831" ht="15.75" customHeight="1" s="64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  <c r="Z831" s="63" t="n"/>
      <c r="AA831" s="63" t="n"/>
      <c r="AB831" s="63" t="n"/>
    </row>
    <row r="832" ht="15.75" customHeight="1" s="64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  <c r="Z832" s="63" t="n"/>
      <c r="AA832" s="63" t="n"/>
      <c r="AB832" s="63" t="n"/>
    </row>
    <row r="833" ht="15.75" customHeight="1" s="64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  <c r="Z833" s="63" t="n"/>
      <c r="AA833" s="63" t="n"/>
      <c r="AB833" s="63" t="n"/>
    </row>
    <row r="834" ht="15.75" customHeight="1" s="6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  <c r="Z834" s="63" t="n"/>
      <c r="AA834" s="63" t="n"/>
      <c r="AB834" s="63" t="n"/>
    </row>
    <row r="835" ht="15.75" customHeight="1" s="64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  <c r="Z835" s="63" t="n"/>
      <c r="AA835" s="63" t="n"/>
      <c r="AB835" s="63" t="n"/>
    </row>
    <row r="836" ht="15.75" customHeight="1" s="64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  <c r="Z836" s="63" t="n"/>
      <c r="AA836" s="63" t="n"/>
      <c r="AB836" s="63" t="n"/>
    </row>
    <row r="837" ht="15.75" customHeight="1" s="64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  <c r="Z837" s="63" t="n"/>
      <c r="AA837" s="63" t="n"/>
      <c r="AB837" s="63" t="n"/>
    </row>
    <row r="838" ht="15.75" customHeight="1" s="64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  <c r="Z838" s="63" t="n"/>
      <c r="AA838" s="63" t="n"/>
      <c r="AB838" s="63" t="n"/>
    </row>
    <row r="839" ht="15.75" customHeight="1" s="64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  <c r="Z839" s="63" t="n"/>
      <c r="AA839" s="63" t="n"/>
      <c r="AB839" s="63" t="n"/>
    </row>
    <row r="840" ht="15.75" customHeight="1" s="64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  <c r="Z840" s="63" t="n"/>
      <c r="AA840" s="63" t="n"/>
      <c r="AB840" s="63" t="n"/>
    </row>
    <row r="841" ht="15.75" customHeight="1" s="64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  <c r="Z841" s="63" t="n"/>
      <c r="AA841" s="63" t="n"/>
      <c r="AB841" s="63" t="n"/>
    </row>
    <row r="842" ht="15.75" customHeight="1" s="64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  <c r="Z842" s="63" t="n"/>
      <c r="AA842" s="63" t="n"/>
      <c r="AB842" s="63" t="n"/>
    </row>
    <row r="843" ht="15.75" customHeight="1" s="64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  <c r="Z843" s="63" t="n"/>
      <c r="AA843" s="63" t="n"/>
      <c r="AB843" s="63" t="n"/>
    </row>
    <row r="844" ht="15.75" customHeight="1" s="6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  <c r="Z844" s="63" t="n"/>
      <c r="AA844" s="63" t="n"/>
      <c r="AB844" s="63" t="n"/>
    </row>
    <row r="845" ht="15.75" customHeight="1" s="64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  <c r="Z845" s="63" t="n"/>
      <c r="AA845" s="63" t="n"/>
      <c r="AB845" s="63" t="n"/>
    </row>
    <row r="846" ht="15.75" customHeight="1" s="64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  <c r="Z846" s="63" t="n"/>
      <c r="AA846" s="63" t="n"/>
      <c r="AB846" s="63" t="n"/>
    </row>
    <row r="847" ht="15.75" customHeight="1" s="64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  <c r="Z847" s="63" t="n"/>
      <c r="AA847" s="63" t="n"/>
      <c r="AB847" s="63" t="n"/>
    </row>
    <row r="848" ht="15.75" customHeight="1" s="64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  <c r="Z848" s="63" t="n"/>
      <c r="AA848" s="63" t="n"/>
      <c r="AB848" s="63" t="n"/>
    </row>
    <row r="849" ht="15.75" customHeight="1" s="64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  <c r="Z849" s="63" t="n"/>
      <c r="AA849" s="63" t="n"/>
      <c r="AB849" s="63" t="n"/>
    </row>
    <row r="850" ht="15.75" customHeight="1" s="64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  <c r="Z850" s="63" t="n"/>
      <c r="AA850" s="63" t="n"/>
      <c r="AB850" s="63" t="n"/>
    </row>
    <row r="851" ht="15.75" customHeight="1" s="64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  <c r="Z851" s="63" t="n"/>
      <c r="AA851" s="63" t="n"/>
      <c r="AB851" s="63" t="n"/>
    </row>
    <row r="852" ht="15.75" customHeight="1" s="64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  <c r="Z852" s="63" t="n"/>
      <c r="AA852" s="63" t="n"/>
      <c r="AB852" s="63" t="n"/>
    </row>
    <row r="853" ht="15.75" customHeight="1" s="64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  <c r="Z853" s="63" t="n"/>
      <c r="AA853" s="63" t="n"/>
      <c r="AB853" s="63" t="n"/>
    </row>
    <row r="854" ht="15.75" customHeight="1" s="6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  <c r="Z854" s="63" t="n"/>
      <c r="AA854" s="63" t="n"/>
      <c r="AB854" s="63" t="n"/>
    </row>
    <row r="855" ht="15.75" customHeight="1" s="64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  <c r="Z855" s="63" t="n"/>
      <c r="AA855" s="63" t="n"/>
      <c r="AB855" s="63" t="n"/>
    </row>
    <row r="856" ht="15.75" customHeight="1" s="64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  <c r="Z856" s="63" t="n"/>
      <c r="AA856" s="63" t="n"/>
      <c r="AB856" s="63" t="n"/>
    </row>
    <row r="857" ht="15.75" customHeight="1" s="64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  <c r="Z857" s="63" t="n"/>
      <c r="AA857" s="63" t="n"/>
      <c r="AB857" s="63" t="n"/>
    </row>
    <row r="858" ht="15.75" customHeight="1" s="64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  <c r="Z858" s="63" t="n"/>
      <c r="AA858" s="63" t="n"/>
      <c r="AB858" s="63" t="n"/>
    </row>
    <row r="859" ht="15.75" customHeight="1" s="64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  <c r="Z859" s="63" t="n"/>
      <c r="AA859" s="63" t="n"/>
      <c r="AB859" s="63" t="n"/>
    </row>
    <row r="860" ht="15.75" customHeight="1" s="64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  <c r="Z860" s="63" t="n"/>
      <c r="AA860" s="63" t="n"/>
      <c r="AB860" s="63" t="n"/>
    </row>
    <row r="861" ht="15.75" customHeight="1" s="64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  <c r="Z861" s="63" t="n"/>
      <c r="AA861" s="63" t="n"/>
      <c r="AB861" s="63" t="n"/>
    </row>
    <row r="862" ht="15.75" customHeight="1" s="64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  <c r="Z862" s="63" t="n"/>
      <c r="AA862" s="63" t="n"/>
      <c r="AB862" s="63" t="n"/>
    </row>
    <row r="863" ht="15.75" customHeight="1" s="64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  <c r="Z863" s="63" t="n"/>
      <c r="AA863" s="63" t="n"/>
      <c r="AB863" s="63" t="n"/>
    </row>
    <row r="864" ht="15.75" customHeight="1" s="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  <c r="Z864" s="63" t="n"/>
      <c r="AA864" s="63" t="n"/>
      <c r="AB864" s="63" t="n"/>
    </row>
    <row r="865" ht="15.75" customHeight="1" s="64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  <c r="Z865" s="63" t="n"/>
      <c r="AA865" s="63" t="n"/>
      <c r="AB865" s="63" t="n"/>
    </row>
    <row r="866" ht="15.75" customHeight="1" s="64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  <c r="Z866" s="63" t="n"/>
      <c r="AA866" s="63" t="n"/>
      <c r="AB866" s="63" t="n"/>
    </row>
    <row r="867" ht="15.75" customHeight="1" s="64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  <c r="Z867" s="63" t="n"/>
      <c r="AA867" s="63" t="n"/>
      <c r="AB867" s="63" t="n"/>
    </row>
    <row r="868" ht="15.75" customHeight="1" s="64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  <c r="Z868" s="63" t="n"/>
      <c r="AA868" s="63" t="n"/>
      <c r="AB868" s="63" t="n"/>
    </row>
    <row r="869" ht="15.75" customHeight="1" s="64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  <c r="Z869" s="63" t="n"/>
      <c r="AA869" s="63" t="n"/>
      <c r="AB869" s="63" t="n"/>
    </row>
    <row r="870" ht="15.75" customHeight="1" s="64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  <c r="Z870" s="63" t="n"/>
      <c r="AA870" s="63" t="n"/>
      <c r="AB870" s="63" t="n"/>
    </row>
    <row r="871" ht="15.75" customHeight="1" s="64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  <c r="Z871" s="63" t="n"/>
      <c r="AA871" s="63" t="n"/>
      <c r="AB871" s="63" t="n"/>
    </row>
    <row r="872" ht="15.75" customHeight="1" s="64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  <c r="Z872" s="63" t="n"/>
      <c r="AA872" s="63" t="n"/>
      <c r="AB872" s="63" t="n"/>
    </row>
    <row r="873" ht="15.75" customHeight="1" s="64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  <c r="Z873" s="63" t="n"/>
      <c r="AA873" s="63" t="n"/>
      <c r="AB873" s="63" t="n"/>
    </row>
    <row r="874" ht="15.75" customHeight="1" s="6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  <c r="Z874" s="63" t="n"/>
      <c r="AA874" s="63" t="n"/>
      <c r="AB874" s="63" t="n"/>
    </row>
    <row r="875" ht="15.75" customHeight="1" s="64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  <c r="Z875" s="63" t="n"/>
      <c r="AA875" s="63" t="n"/>
      <c r="AB875" s="63" t="n"/>
    </row>
    <row r="876" ht="15.75" customHeight="1" s="64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  <c r="Z876" s="63" t="n"/>
      <c r="AA876" s="63" t="n"/>
      <c r="AB876" s="63" t="n"/>
    </row>
    <row r="877" ht="15.75" customHeight="1" s="64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  <c r="Z877" s="63" t="n"/>
      <c r="AA877" s="63" t="n"/>
      <c r="AB877" s="63" t="n"/>
    </row>
    <row r="878" ht="15.75" customHeight="1" s="64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  <c r="Z878" s="63" t="n"/>
      <c r="AA878" s="63" t="n"/>
      <c r="AB878" s="63" t="n"/>
    </row>
    <row r="879" ht="15.75" customHeight="1" s="64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  <c r="Z879" s="63" t="n"/>
      <c r="AA879" s="63" t="n"/>
      <c r="AB879" s="63" t="n"/>
    </row>
    <row r="880" ht="15.75" customHeight="1" s="64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  <c r="Z880" s="63" t="n"/>
      <c r="AA880" s="63" t="n"/>
      <c r="AB880" s="63" t="n"/>
    </row>
    <row r="881" ht="15.75" customHeight="1" s="64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  <c r="Z881" s="63" t="n"/>
      <c r="AA881" s="63" t="n"/>
      <c r="AB881" s="63" t="n"/>
    </row>
    <row r="882" ht="15.75" customHeight="1" s="64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  <c r="Z882" s="63" t="n"/>
      <c r="AA882" s="63" t="n"/>
      <c r="AB882" s="63" t="n"/>
    </row>
    <row r="883" ht="15.75" customHeight="1" s="64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  <c r="Z883" s="63" t="n"/>
      <c r="AA883" s="63" t="n"/>
      <c r="AB883" s="63" t="n"/>
    </row>
    <row r="884" ht="15.75" customHeight="1" s="6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  <c r="Z884" s="63" t="n"/>
      <c r="AA884" s="63" t="n"/>
      <c r="AB884" s="63" t="n"/>
    </row>
    <row r="885" ht="15.75" customHeight="1" s="64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  <c r="Z885" s="63" t="n"/>
      <c r="AA885" s="63" t="n"/>
      <c r="AB885" s="63" t="n"/>
    </row>
    <row r="886" ht="15.75" customHeight="1" s="64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  <c r="Z886" s="63" t="n"/>
      <c r="AA886" s="63" t="n"/>
      <c r="AB886" s="63" t="n"/>
    </row>
    <row r="887" ht="15.75" customHeight="1" s="64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  <c r="Z887" s="63" t="n"/>
      <c r="AA887" s="63" t="n"/>
      <c r="AB887" s="63" t="n"/>
    </row>
    <row r="888" ht="15.75" customHeight="1" s="64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  <c r="Z888" s="63" t="n"/>
      <c r="AA888" s="63" t="n"/>
      <c r="AB888" s="63" t="n"/>
    </row>
    <row r="889" ht="15.75" customHeight="1" s="64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  <c r="Z889" s="63" t="n"/>
      <c r="AA889" s="63" t="n"/>
      <c r="AB889" s="63" t="n"/>
    </row>
    <row r="890" ht="15.75" customHeight="1" s="64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  <c r="Z890" s="63" t="n"/>
      <c r="AA890" s="63" t="n"/>
      <c r="AB890" s="63" t="n"/>
    </row>
    <row r="891" ht="15.75" customHeight="1" s="64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  <c r="Z891" s="63" t="n"/>
      <c r="AA891" s="63" t="n"/>
      <c r="AB891" s="63" t="n"/>
    </row>
    <row r="892" ht="15.75" customHeight="1" s="64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  <c r="Z892" s="63" t="n"/>
      <c r="AA892" s="63" t="n"/>
      <c r="AB892" s="63" t="n"/>
    </row>
    <row r="893" ht="15.75" customHeight="1" s="64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  <c r="Z893" s="63" t="n"/>
      <c r="AA893" s="63" t="n"/>
      <c r="AB893" s="63" t="n"/>
    </row>
    <row r="894" ht="15.75" customHeight="1" s="6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  <c r="Z894" s="63" t="n"/>
      <c r="AA894" s="63" t="n"/>
      <c r="AB894" s="63" t="n"/>
    </row>
    <row r="895" ht="15.75" customHeight="1" s="64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  <c r="Z895" s="63" t="n"/>
      <c r="AA895" s="63" t="n"/>
      <c r="AB895" s="63" t="n"/>
    </row>
    <row r="896" ht="15.75" customHeight="1" s="64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  <c r="Z896" s="63" t="n"/>
      <c r="AA896" s="63" t="n"/>
      <c r="AB896" s="63" t="n"/>
    </row>
    <row r="897" ht="15.75" customHeight="1" s="64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  <c r="Z897" s="63" t="n"/>
      <c r="AA897" s="63" t="n"/>
      <c r="AB897" s="63" t="n"/>
    </row>
    <row r="898" ht="15.75" customHeight="1" s="64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  <c r="Z898" s="63" t="n"/>
      <c r="AA898" s="63" t="n"/>
      <c r="AB898" s="63" t="n"/>
    </row>
    <row r="899" ht="15.75" customHeight="1" s="64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  <c r="Z899" s="63" t="n"/>
      <c r="AA899" s="63" t="n"/>
      <c r="AB899" s="63" t="n"/>
    </row>
    <row r="900" ht="15.75" customHeight="1" s="64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  <c r="Z900" s="63" t="n"/>
      <c r="AA900" s="63" t="n"/>
      <c r="AB900" s="63" t="n"/>
    </row>
    <row r="901" ht="15.75" customHeight="1" s="64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  <c r="Z901" s="63" t="n"/>
      <c r="AA901" s="63" t="n"/>
      <c r="AB901" s="63" t="n"/>
    </row>
    <row r="902" ht="15.75" customHeight="1" s="64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  <c r="Z902" s="63" t="n"/>
      <c r="AA902" s="63" t="n"/>
      <c r="AB902" s="63" t="n"/>
    </row>
    <row r="903" ht="15.75" customHeight="1" s="64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  <c r="Z903" s="63" t="n"/>
      <c r="AA903" s="63" t="n"/>
      <c r="AB903" s="63" t="n"/>
    </row>
    <row r="904" ht="15.75" customHeight="1" s="6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  <c r="Z904" s="63" t="n"/>
      <c r="AA904" s="63" t="n"/>
      <c r="AB904" s="63" t="n"/>
    </row>
    <row r="905" ht="15.75" customHeight="1" s="64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  <c r="Z905" s="63" t="n"/>
      <c r="AA905" s="63" t="n"/>
      <c r="AB905" s="63" t="n"/>
    </row>
    <row r="906" ht="15.75" customHeight="1" s="64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  <c r="Z906" s="63" t="n"/>
      <c r="AA906" s="63" t="n"/>
      <c r="AB906" s="63" t="n"/>
    </row>
    <row r="907" ht="15.75" customHeight="1" s="64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  <c r="Z907" s="63" t="n"/>
      <c r="AA907" s="63" t="n"/>
      <c r="AB907" s="63" t="n"/>
    </row>
    <row r="908" ht="15.75" customHeight="1" s="64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  <c r="Z908" s="63" t="n"/>
      <c r="AA908" s="63" t="n"/>
      <c r="AB908" s="63" t="n"/>
    </row>
    <row r="909" ht="15.75" customHeight="1" s="64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  <c r="Z909" s="63" t="n"/>
      <c r="AA909" s="63" t="n"/>
      <c r="AB909" s="63" t="n"/>
    </row>
    <row r="910" ht="15.75" customHeight="1" s="64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  <c r="Z910" s="63" t="n"/>
      <c r="AA910" s="63" t="n"/>
      <c r="AB910" s="63" t="n"/>
    </row>
    <row r="911" ht="15.75" customHeight="1" s="64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  <c r="Z911" s="63" t="n"/>
      <c r="AA911" s="63" t="n"/>
      <c r="AB911" s="63" t="n"/>
    </row>
    <row r="912" ht="15.75" customHeight="1" s="64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  <c r="Z912" s="63" t="n"/>
      <c r="AA912" s="63" t="n"/>
      <c r="AB912" s="63" t="n"/>
    </row>
    <row r="913" ht="15.75" customHeight="1" s="64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  <c r="Z913" s="63" t="n"/>
      <c r="AA913" s="63" t="n"/>
      <c r="AB913" s="63" t="n"/>
    </row>
    <row r="914" ht="15.75" customHeight="1" s="6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  <c r="Z914" s="63" t="n"/>
      <c r="AA914" s="63" t="n"/>
      <c r="AB914" s="63" t="n"/>
    </row>
    <row r="915" ht="15.75" customHeight="1" s="64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  <c r="Z915" s="63" t="n"/>
      <c r="AA915" s="63" t="n"/>
      <c r="AB915" s="63" t="n"/>
    </row>
    <row r="916" ht="15.75" customHeight="1" s="64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  <c r="Z916" s="63" t="n"/>
      <c r="AA916" s="63" t="n"/>
      <c r="AB916" s="63" t="n"/>
    </row>
    <row r="917" ht="15.75" customHeight="1" s="64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  <c r="Z917" s="63" t="n"/>
      <c r="AA917" s="63" t="n"/>
      <c r="AB917" s="63" t="n"/>
    </row>
    <row r="918" ht="15.75" customHeight="1" s="64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  <c r="Z918" s="63" t="n"/>
      <c r="AA918" s="63" t="n"/>
      <c r="AB918" s="63" t="n"/>
    </row>
    <row r="919" ht="15.75" customHeight="1" s="64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  <c r="Z919" s="63" t="n"/>
      <c r="AA919" s="63" t="n"/>
      <c r="AB919" s="63" t="n"/>
    </row>
    <row r="920" ht="15.75" customHeight="1" s="64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  <c r="Z920" s="63" t="n"/>
      <c r="AA920" s="63" t="n"/>
      <c r="AB920" s="63" t="n"/>
    </row>
    <row r="921" ht="15.75" customHeight="1" s="64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  <c r="Z921" s="63" t="n"/>
      <c r="AA921" s="63" t="n"/>
      <c r="AB921" s="63" t="n"/>
    </row>
    <row r="922" ht="15.75" customHeight="1" s="64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  <c r="Z922" s="63" t="n"/>
      <c r="AA922" s="63" t="n"/>
      <c r="AB922" s="63" t="n"/>
    </row>
    <row r="923" ht="15.75" customHeight="1" s="64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  <c r="Z923" s="63" t="n"/>
      <c r="AA923" s="63" t="n"/>
      <c r="AB923" s="63" t="n"/>
    </row>
    <row r="924" ht="15.75" customHeight="1" s="6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  <c r="Z924" s="63" t="n"/>
      <c r="AA924" s="63" t="n"/>
      <c r="AB924" s="63" t="n"/>
    </row>
    <row r="925" ht="15.75" customHeight="1" s="64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  <c r="Z925" s="63" t="n"/>
      <c r="AA925" s="63" t="n"/>
      <c r="AB925" s="63" t="n"/>
    </row>
    <row r="926" ht="15.75" customHeight="1" s="64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  <c r="Z926" s="63" t="n"/>
      <c r="AA926" s="63" t="n"/>
      <c r="AB926" s="63" t="n"/>
    </row>
    <row r="927" ht="15.75" customHeight="1" s="64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  <c r="Z927" s="63" t="n"/>
      <c r="AA927" s="63" t="n"/>
      <c r="AB927" s="63" t="n"/>
    </row>
    <row r="928" ht="15.75" customHeight="1" s="64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  <c r="Z928" s="63" t="n"/>
      <c r="AA928" s="63" t="n"/>
      <c r="AB928" s="63" t="n"/>
    </row>
    <row r="929" ht="15.75" customHeight="1" s="64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  <c r="Z929" s="63" t="n"/>
      <c r="AA929" s="63" t="n"/>
      <c r="AB929" s="63" t="n"/>
    </row>
    <row r="930" ht="15.75" customHeight="1" s="64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  <c r="Z930" s="63" t="n"/>
      <c r="AA930" s="63" t="n"/>
      <c r="AB930" s="63" t="n"/>
    </row>
    <row r="931" ht="15.75" customHeight="1" s="64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  <c r="Z931" s="63" t="n"/>
      <c r="AA931" s="63" t="n"/>
      <c r="AB931" s="63" t="n"/>
    </row>
    <row r="932" ht="15.75" customHeight="1" s="64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  <c r="Z932" s="63" t="n"/>
      <c r="AA932" s="63" t="n"/>
      <c r="AB932" s="63" t="n"/>
    </row>
    <row r="933" ht="15.75" customHeight="1" s="64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  <c r="Z933" s="63" t="n"/>
      <c r="AA933" s="63" t="n"/>
      <c r="AB933" s="63" t="n"/>
    </row>
    <row r="934" ht="15.75" customHeight="1" s="6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  <c r="Z934" s="63" t="n"/>
      <c r="AA934" s="63" t="n"/>
      <c r="AB934" s="63" t="n"/>
    </row>
    <row r="935" ht="15.75" customHeight="1" s="64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  <c r="Z935" s="63" t="n"/>
      <c r="AA935" s="63" t="n"/>
      <c r="AB935" s="63" t="n"/>
    </row>
    <row r="936" ht="15.75" customHeight="1" s="64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  <c r="Z936" s="63" t="n"/>
      <c r="AA936" s="63" t="n"/>
      <c r="AB936" s="63" t="n"/>
    </row>
    <row r="937" ht="15.75" customHeight="1" s="64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  <c r="Z937" s="63" t="n"/>
      <c r="AA937" s="63" t="n"/>
      <c r="AB937" s="63" t="n"/>
    </row>
    <row r="938" ht="15.75" customHeight="1" s="64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  <c r="Z938" s="63" t="n"/>
      <c r="AA938" s="63" t="n"/>
      <c r="AB938" s="63" t="n"/>
    </row>
    <row r="939" ht="15.75" customHeight="1" s="64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  <c r="Z939" s="63" t="n"/>
      <c r="AA939" s="63" t="n"/>
      <c r="AB939" s="63" t="n"/>
    </row>
    <row r="940" ht="15.75" customHeight="1" s="64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  <c r="Z940" s="63" t="n"/>
      <c r="AA940" s="63" t="n"/>
      <c r="AB940" s="63" t="n"/>
    </row>
    <row r="941" ht="15.75" customHeight="1" s="64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  <c r="Z941" s="63" t="n"/>
      <c r="AA941" s="63" t="n"/>
      <c r="AB941" s="63" t="n"/>
    </row>
    <row r="942" ht="15.75" customHeight="1" s="64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  <c r="Z942" s="63" t="n"/>
      <c r="AA942" s="63" t="n"/>
      <c r="AB942" s="63" t="n"/>
    </row>
    <row r="943" ht="15.75" customHeight="1" s="64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  <c r="Z943" s="63" t="n"/>
      <c r="AA943" s="63" t="n"/>
      <c r="AB943" s="63" t="n"/>
    </row>
    <row r="944" ht="15.75" customHeight="1" s="6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  <c r="Z944" s="63" t="n"/>
      <c r="AA944" s="63" t="n"/>
      <c r="AB944" s="63" t="n"/>
    </row>
    <row r="945" ht="15.75" customHeight="1" s="64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  <c r="Z945" s="63" t="n"/>
      <c r="AA945" s="63" t="n"/>
      <c r="AB945" s="63" t="n"/>
    </row>
    <row r="946" ht="15.75" customHeight="1" s="64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  <c r="Z946" s="63" t="n"/>
      <c r="AA946" s="63" t="n"/>
      <c r="AB946" s="63" t="n"/>
    </row>
    <row r="947" ht="15.75" customHeight="1" s="64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  <c r="Z947" s="63" t="n"/>
      <c r="AA947" s="63" t="n"/>
      <c r="AB947" s="63" t="n"/>
    </row>
    <row r="948" ht="15.75" customHeight="1" s="64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  <c r="Z948" s="63" t="n"/>
      <c r="AA948" s="63" t="n"/>
      <c r="AB948" s="63" t="n"/>
    </row>
    <row r="949" ht="15.75" customHeight="1" s="64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  <c r="Z949" s="63" t="n"/>
      <c r="AA949" s="63" t="n"/>
      <c r="AB949" s="63" t="n"/>
    </row>
    <row r="950" ht="15.75" customHeight="1" s="64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  <c r="Z950" s="63" t="n"/>
      <c r="AA950" s="63" t="n"/>
      <c r="AB950" s="63" t="n"/>
    </row>
    <row r="951" ht="15.75" customHeight="1" s="64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  <c r="Z951" s="63" t="n"/>
      <c r="AA951" s="63" t="n"/>
      <c r="AB951" s="63" t="n"/>
    </row>
    <row r="952" ht="15.75" customHeight="1" s="64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  <c r="Z952" s="63" t="n"/>
      <c r="AA952" s="63" t="n"/>
      <c r="AB952" s="63" t="n"/>
    </row>
    <row r="953" ht="15.75" customHeight="1" s="64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  <c r="Z953" s="63" t="n"/>
      <c r="AA953" s="63" t="n"/>
      <c r="AB953" s="63" t="n"/>
    </row>
    <row r="954" ht="15.75" customHeight="1" s="6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  <c r="Z954" s="63" t="n"/>
      <c r="AA954" s="63" t="n"/>
      <c r="AB954" s="63" t="n"/>
    </row>
    <row r="955" ht="15.75" customHeight="1" s="64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  <c r="Z955" s="63" t="n"/>
      <c r="AA955" s="63" t="n"/>
      <c r="AB955" s="63" t="n"/>
    </row>
    <row r="956" ht="15.75" customHeight="1" s="64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  <c r="Z956" s="63" t="n"/>
      <c r="AA956" s="63" t="n"/>
      <c r="AB956" s="63" t="n"/>
    </row>
    <row r="957" ht="15.75" customHeight="1" s="64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  <c r="Z957" s="63" t="n"/>
      <c r="AA957" s="63" t="n"/>
      <c r="AB957" s="63" t="n"/>
    </row>
    <row r="958" ht="15.75" customHeight="1" s="64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  <c r="Z958" s="63" t="n"/>
      <c r="AA958" s="63" t="n"/>
      <c r="AB958" s="63" t="n"/>
    </row>
    <row r="959" ht="15.75" customHeight="1" s="64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  <c r="Z959" s="63" t="n"/>
      <c r="AA959" s="63" t="n"/>
      <c r="AB959" s="63" t="n"/>
    </row>
    <row r="960" ht="15.75" customHeight="1" s="64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  <c r="Z960" s="63" t="n"/>
      <c r="AA960" s="63" t="n"/>
      <c r="AB960" s="63" t="n"/>
    </row>
    <row r="961" ht="15.75" customHeight="1" s="64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  <c r="Z961" s="63" t="n"/>
      <c r="AA961" s="63" t="n"/>
      <c r="AB961" s="63" t="n"/>
    </row>
    <row r="962" ht="15.75" customHeight="1" s="64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  <c r="Z962" s="63" t="n"/>
      <c r="AA962" s="63" t="n"/>
      <c r="AB962" s="63" t="n"/>
    </row>
    <row r="963" ht="15.75" customHeight="1" s="64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  <c r="Z963" s="63" t="n"/>
      <c r="AA963" s="63" t="n"/>
      <c r="AB963" s="63" t="n"/>
    </row>
    <row r="964" ht="15.75" customHeight="1" s="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  <c r="Z964" s="63" t="n"/>
      <c r="AA964" s="63" t="n"/>
      <c r="AB964" s="63" t="n"/>
    </row>
    <row r="965" ht="15.75" customHeight="1" s="64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  <c r="Z965" s="63" t="n"/>
      <c r="AA965" s="63" t="n"/>
      <c r="AB965" s="63" t="n"/>
    </row>
    <row r="966" ht="15.75" customHeight="1" s="64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  <c r="Z966" s="63" t="n"/>
      <c r="AA966" s="63" t="n"/>
      <c r="AB966" s="63" t="n"/>
    </row>
    <row r="967" ht="15.75" customHeight="1" s="64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  <c r="Z967" s="63" t="n"/>
      <c r="AA967" s="63" t="n"/>
      <c r="AB967" s="63" t="n"/>
    </row>
    <row r="968" ht="15.75" customHeight="1" s="64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  <c r="Z968" s="63" t="n"/>
      <c r="AA968" s="63" t="n"/>
      <c r="AB968" s="63" t="n"/>
    </row>
    <row r="969" ht="15.75" customHeight="1" s="64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  <c r="Z969" s="63" t="n"/>
      <c r="AA969" s="63" t="n"/>
      <c r="AB969" s="63" t="n"/>
    </row>
    <row r="970" ht="15.75" customHeight="1" s="64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  <c r="Z970" s="63" t="n"/>
      <c r="AA970" s="63" t="n"/>
      <c r="AB970" s="63" t="n"/>
    </row>
    <row r="971" ht="15.75" customHeight="1" s="64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  <c r="Z971" s="63" t="n"/>
      <c r="AA971" s="63" t="n"/>
      <c r="AB971" s="63" t="n"/>
    </row>
    <row r="972" ht="15.75" customHeight="1" s="64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  <c r="Z972" s="63" t="n"/>
      <c r="AA972" s="63" t="n"/>
      <c r="AB972" s="63" t="n"/>
    </row>
    <row r="973" ht="15.75" customHeight="1" s="64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  <c r="Z973" s="63" t="n"/>
      <c r="AA973" s="63" t="n"/>
      <c r="AB973" s="63" t="n"/>
    </row>
    <row r="974" ht="15.75" customHeight="1" s="6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  <c r="Z974" s="63" t="n"/>
      <c r="AA974" s="63" t="n"/>
      <c r="AB974" s="63" t="n"/>
    </row>
    <row r="975" ht="15.75" customHeight="1" s="64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  <c r="Z975" s="63" t="n"/>
      <c r="AA975" s="63" t="n"/>
      <c r="AB975" s="63" t="n"/>
    </row>
    <row r="976" ht="15.75" customHeight="1" s="64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  <c r="Z976" s="63" t="n"/>
      <c r="AA976" s="63" t="n"/>
      <c r="AB976" s="63" t="n"/>
    </row>
    <row r="977" ht="15.75" customHeight="1" s="64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  <c r="Z977" s="63" t="n"/>
      <c r="AA977" s="63" t="n"/>
      <c r="AB977" s="63" t="n"/>
    </row>
    <row r="978" ht="15.75" customHeight="1" s="64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  <c r="Z978" s="63" t="n"/>
      <c r="AA978" s="63" t="n"/>
      <c r="AB978" s="63" t="n"/>
    </row>
    <row r="979" ht="15.75" customHeight="1" s="64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  <c r="Z979" s="63" t="n"/>
      <c r="AA979" s="63" t="n"/>
      <c r="AB979" s="63" t="n"/>
    </row>
    <row r="980" ht="15.75" customHeight="1" s="64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  <c r="Z980" s="63" t="n"/>
      <c r="AA980" s="63" t="n"/>
      <c r="AB980" s="63" t="n"/>
    </row>
    <row r="981" ht="15.75" customHeight="1" s="64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  <c r="Z981" s="63" t="n"/>
      <c r="AA981" s="63" t="n"/>
      <c r="AB981" s="63" t="n"/>
    </row>
    <row r="982" ht="15.75" customHeight="1" s="64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  <c r="Z982" s="63" t="n"/>
      <c r="AA982" s="63" t="n"/>
      <c r="AB982" s="63" t="n"/>
    </row>
    <row r="983" ht="15.75" customHeight="1" s="64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  <c r="Z983" s="63" t="n"/>
      <c r="AA983" s="63" t="n"/>
      <c r="AB983" s="63" t="n"/>
    </row>
    <row r="984" ht="15.75" customHeight="1" s="6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  <c r="Z984" s="63" t="n"/>
      <c r="AA984" s="63" t="n"/>
      <c r="AB984" s="63" t="n"/>
    </row>
    <row r="985" ht="15.75" customHeight="1" s="64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  <c r="Z985" s="63" t="n"/>
      <c r="AA985" s="63" t="n"/>
      <c r="AB985" s="63" t="n"/>
    </row>
    <row r="986" ht="15.75" customHeight="1" s="64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  <c r="Z986" s="63" t="n"/>
      <c r="AA986" s="63" t="n"/>
      <c r="AB986" s="63" t="n"/>
    </row>
    <row r="987" ht="15.75" customHeight="1" s="64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  <c r="Z987" s="63" t="n"/>
      <c r="AA987" s="63" t="n"/>
      <c r="AB987" s="63" t="n"/>
    </row>
    <row r="988" ht="15.75" customHeight="1" s="64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  <c r="Z988" s="63" t="n"/>
      <c r="AA988" s="63" t="n"/>
      <c r="AB988" s="63" t="n"/>
    </row>
    <row r="989" ht="15.75" customHeight="1" s="64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  <c r="Z989" s="63" t="n"/>
      <c r="AA989" s="63" t="n"/>
      <c r="AB989" s="63" t="n"/>
    </row>
    <row r="990" ht="15.75" customHeight="1" s="64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  <c r="Z990" s="63" t="n"/>
      <c r="AA990" s="63" t="n"/>
      <c r="AB990" s="63" t="n"/>
    </row>
    <row r="991" ht="15.75" customHeight="1" s="64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  <c r="Z991" s="63" t="n"/>
      <c r="AA991" s="63" t="n"/>
      <c r="AB991" s="63" t="n"/>
    </row>
    <row r="992" ht="15.75" customHeight="1" s="64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  <c r="Z992" s="63" t="n"/>
      <c r="AA992" s="63" t="n"/>
      <c r="AB992" s="63" t="n"/>
    </row>
    <row r="993" ht="15.75" customHeight="1" s="64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  <c r="Z993" s="63" t="n"/>
      <c r="AA993" s="63" t="n"/>
      <c r="AB993" s="63" t="n"/>
    </row>
    <row r="994" ht="15.75" customHeight="1" s="6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  <c r="Z994" s="63" t="n"/>
      <c r="AA994" s="63" t="n"/>
      <c r="AB994" s="63" t="n"/>
    </row>
    <row r="995" ht="15.75" customHeight="1" s="64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  <c r="Z995" s="63" t="n"/>
      <c r="AA995" s="63" t="n"/>
      <c r="AB995" s="63" t="n"/>
    </row>
    <row r="996" ht="15.75" customHeight="1" s="64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  <c r="Z996" s="63" t="n"/>
      <c r="AA996" s="63" t="n"/>
      <c r="AB996" s="63" t="n"/>
    </row>
    <row r="997" ht="15.75" customHeight="1" s="64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  <c r="Z997" s="63" t="n"/>
      <c r="AA997" s="63" t="n"/>
      <c r="AB997" s="63" t="n"/>
    </row>
    <row r="998" ht="15.75" customHeight="1" s="64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  <c r="Z998" s="63" t="n"/>
      <c r="AA998" s="63" t="n"/>
      <c r="AB998" s="63" t="n"/>
    </row>
    <row r="999" ht="15.75" customHeight="1" s="64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  <c r="Z999" s="63" t="n"/>
      <c r="AA999" s="63" t="n"/>
      <c r="AB999" s="63" t="n"/>
    </row>
    <row r="1000" ht="15.75" customHeight="1" s="64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  <c r="Z1000" s="63" t="n"/>
      <c r="AA1000" s="63" t="n"/>
      <c r="AB1000" s="63" t="n"/>
    </row>
    <row r="1001" ht="15.75" customHeight="1" s="64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  <c r="Z1001" s="63" t="n"/>
      <c r="AA1001" s="63" t="n"/>
      <c r="AB1001" s="63" t="n"/>
    </row>
    <row r="1002" ht="15.75" customHeight="1" s="64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  <c r="Z1002" s="63" t="n"/>
      <c r="AA1002" s="63" t="n"/>
      <c r="AB1002" s="63" t="n"/>
    </row>
    <row r="1003" ht="15.75" customHeight="1" s="64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  <c r="Z1003" s="63" t="n"/>
      <c r="AA1003" s="63" t="n"/>
      <c r="AB1003" s="63" t="n"/>
    </row>
    <row r="1004" ht="15.75" customHeight="1" s="6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  <c r="Z1004" s="63" t="n"/>
      <c r="AA1004" s="63" t="n"/>
      <c r="AB1004" s="63" t="n"/>
    </row>
    <row r="1005" ht="15.75" customHeight="1" s="64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  <c r="Z1005" s="63" t="n"/>
      <c r="AA1005" s="63" t="n"/>
      <c r="AB1005" s="63" t="n"/>
    </row>
    <row r="1006" ht="15.75" customHeight="1" s="64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  <c r="Z1006" s="63" t="n"/>
      <c r="AA1006" s="63" t="n"/>
      <c r="AB1006" s="63" t="n"/>
    </row>
  </sheetData>
  <mergeCells count="25">
    <mergeCell ref="D18:G18"/>
    <mergeCell ref="D4:J4"/>
    <mergeCell ref="D3:J3"/>
    <mergeCell ref="K17:N17"/>
    <mergeCell ref="D8:J8"/>
    <mergeCell ref="C14:D14"/>
    <mergeCell ref="B22:C22"/>
    <mergeCell ref="H17:J17"/>
    <mergeCell ref="K19:N19"/>
    <mergeCell ref="D5:J5"/>
    <mergeCell ref="B10:D10"/>
    <mergeCell ref="K18:N18"/>
    <mergeCell ref="H19:J19"/>
    <mergeCell ref="D20:G20"/>
    <mergeCell ref="D19:G19"/>
    <mergeCell ref="B16:N16"/>
    <mergeCell ref="B29:C29"/>
    <mergeCell ref="H18:J18"/>
    <mergeCell ref="C11:D11"/>
    <mergeCell ref="D6:J6"/>
    <mergeCell ref="K20:N20"/>
    <mergeCell ref="H20:J20"/>
    <mergeCell ref="D17:G17"/>
    <mergeCell ref="D7:J7"/>
    <mergeCell ref="C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4.43359375" defaultRowHeight="15" zeroHeight="0" outlineLevelRow="0"/>
  <cols>
    <col width="11" customWidth="1" style="63" min="1" max="1"/>
    <col width="7" customWidth="1" style="63" min="2" max="2"/>
    <col width="18" customWidth="1" style="63" min="3" max="3"/>
    <col width="40" customWidth="1" style="63" min="4" max="4"/>
    <col width="22" customWidth="1" style="63" min="5" max="9"/>
    <col width="14" customWidth="1" style="63" min="10" max="26"/>
  </cols>
  <sheetData>
    <row r="1" ht="31.5" customHeight="1" s="64">
      <c r="A1" s="86" t="inlineStr">
        <is>
          <t>職能類別</t>
        </is>
      </c>
      <c r="B1" s="86" t="inlineStr">
        <is>
          <t>代碼</t>
        </is>
      </c>
      <c r="C1" s="86" t="inlineStr">
        <is>
          <t>職能項目</t>
        </is>
      </c>
      <c r="D1" s="86" t="inlineStr">
        <is>
          <t>職能定義</t>
        </is>
      </c>
      <c r="E1" s="87" t="inlineStr">
        <is>
          <t>L1 基礎</t>
        </is>
      </c>
      <c r="F1" s="87" t="inlineStr">
        <is>
          <t>L2 執行</t>
        </is>
      </c>
      <c r="G1" s="87" t="inlineStr">
        <is>
          <t>L3 熟練</t>
        </is>
      </c>
      <c r="H1" s="87" t="inlineStr">
        <is>
          <t>L4 精通</t>
        </is>
      </c>
      <c r="I1" s="87" t="inlineStr">
        <is>
          <t>L5 專家</t>
        </is>
      </c>
      <c r="J1" s="86" t="inlineStr">
        <is>
          <t>適用產品</t>
        </is>
      </c>
      <c r="K1" s="86" t="inlineStr">
        <is>
          <t>適用職能別</t>
        </is>
      </c>
    </row>
    <row r="2" ht="48" customHeight="1" s="64">
      <c r="A2" s="88" t="inlineStr">
        <is>
          <t>核心職能</t>
        </is>
      </c>
      <c r="B2" s="89" t="inlineStr">
        <is>
          <t>C01</t>
        </is>
      </c>
      <c r="C2" s="90" t="inlineStr">
        <is>
          <t>誠信正直</t>
        </is>
      </c>
      <c r="D2" s="91" t="inlineStr">
        <is>
          <t>遵守法規與公司規範，言行一致、信守承諾，維護組織信譽。</t>
        </is>
      </c>
      <c r="E2" s="92" t="inlineStr">
        <is>
          <t>在指導下能理解並執行基本要求</t>
        </is>
      </c>
      <c r="F2" s="92" t="inlineStr">
        <is>
          <t>能獨立執行一般性工作，偶需協助</t>
        </is>
      </c>
      <c r="G2" s="92" t="inlineStr">
        <is>
          <t>能獨立處理複雜狀況並確保成果品質</t>
        </is>
      </c>
      <c r="H2" s="92" t="inlineStr">
        <is>
          <t>能指導他人並優化做法，為單位內標竿</t>
        </is>
      </c>
      <c r="I2" s="92" t="inlineStr">
        <is>
          <t>能建立制度或方法論，影響全組織</t>
        </is>
      </c>
      <c r="J2" s="90" t="inlineStr">
        <is>
          <t>全部</t>
        </is>
      </c>
      <c r="K2" s="90" t="inlineStr">
        <is>
          <t>全部</t>
        </is>
      </c>
    </row>
    <row r="3" ht="48" customHeight="1" s="64">
      <c r="A3" s="88" t="inlineStr">
        <is>
          <t>核心職能</t>
        </is>
      </c>
      <c r="B3" s="89" t="inlineStr">
        <is>
          <t>C02</t>
        </is>
      </c>
      <c r="C3" s="90" t="inlineStr">
        <is>
          <t>顧客導向</t>
        </is>
      </c>
      <c r="D3" s="91" t="inlineStr">
        <is>
          <t>了解內外部顧客需求，主動提供有價值的服務與解決方案。</t>
        </is>
      </c>
      <c r="E3" s="92" t="inlineStr">
        <is>
          <t>在指導下能理解並執行基本要求</t>
        </is>
      </c>
      <c r="F3" s="92" t="inlineStr">
        <is>
          <t>能獨立執行一般性工作，偶需協助</t>
        </is>
      </c>
      <c r="G3" s="92" t="inlineStr">
        <is>
          <t>能獨立處理複雜狀況並確保成果品質</t>
        </is>
      </c>
      <c r="H3" s="92" t="inlineStr">
        <is>
          <t>能指導他人並優化做法，為單位內標竿</t>
        </is>
      </c>
      <c r="I3" s="92" t="inlineStr">
        <is>
          <t>能建立制度或方法論，影響全組織</t>
        </is>
      </c>
      <c r="J3" s="90" t="inlineStr">
        <is>
          <t>全部</t>
        </is>
      </c>
      <c r="K3" s="90" t="inlineStr">
        <is>
          <t>全部</t>
        </is>
      </c>
    </row>
    <row r="4" ht="48" customHeight="1" s="64">
      <c r="A4" s="88" t="inlineStr">
        <is>
          <t>核心職能</t>
        </is>
      </c>
      <c r="B4" s="89" t="inlineStr">
        <is>
          <t>C03</t>
        </is>
      </c>
      <c r="C4" s="90" t="inlineStr">
        <is>
          <t>團隊合作</t>
        </is>
      </c>
      <c r="D4" s="91" t="inlineStr">
        <is>
          <t>跨部門協作、分享資訊與資源，共同達成團隊目標。</t>
        </is>
      </c>
      <c r="E4" s="92" t="inlineStr">
        <is>
          <t>在指導下能理解並執行基本要求</t>
        </is>
      </c>
      <c r="F4" s="92" t="inlineStr">
        <is>
          <t>能獨立執行一般性工作，偶需協助</t>
        </is>
      </c>
      <c r="G4" s="92" t="inlineStr">
        <is>
          <t>能獨立處理複雜狀況並確保成果品質</t>
        </is>
      </c>
      <c r="H4" s="92" t="inlineStr">
        <is>
          <t>能指導他人並優化做法，為單位內標竿</t>
        </is>
      </c>
      <c r="I4" s="92" t="inlineStr">
        <is>
          <t>能建立制度或方法論，影響全組織</t>
        </is>
      </c>
      <c r="J4" s="90" t="inlineStr">
        <is>
          <t>全部</t>
        </is>
      </c>
      <c r="K4" s="90" t="inlineStr">
        <is>
          <t>全部</t>
        </is>
      </c>
    </row>
    <row r="5" ht="48" customHeight="1" s="64">
      <c r="A5" s="88" t="inlineStr">
        <is>
          <t>核心職能</t>
        </is>
      </c>
      <c r="B5" s="89" t="inlineStr">
        <is>
          <t>C04</t>
        </is>
      </c>
      <c r="C5" s="90" t="inlineStr">
        <is>
          <t>持續學習</t>
        </is>
      </c>
      <c r="D5" s="91" t="inlineStr">
        <is>
          <t>主動學習新知與技能，並將所學應用於工作改善。</t>
        </is>
      </c>
      <c r="E5" s="92" t="inlineStr">
        <is>
          <t>在指導下能理解並執行基本要求</t>
        </is>
      </c>
      <c r="F5" s="92" t="inlineStr">
        <is>
          <t>能獨立執行一般性工作，偶需協助</t>
        </is>
      </c>
      <c r="G5" s="92" t="inlineStr">
        <is>
          <t>能獨立處理複雜狀況並確保成果品質</t>
        </is>
      </c>
      <c r="H5" s="92" t="inlineStr">
        <is>
          <t>能指導他人並優化做法，為單位內標竿</t>
        </is>
      </c>
      <c r="I5" s="92" t="inlineStr">
        <is>
          <t>能建立制度或方法論，影響全組織</t>
        </is>
      </c>
      <c r="J5" s="90" t="inlineStr">
        <is>
          <t>全部</t>
        </is>
      </c>
      <c r="K5" s="90" t="inlineStr">
        <is>
          <t>全部</t>
        </is>
      </c>
    </row>
    <row r="6" ht="48" customHeight="1" s="64">
      <c r="A6" s="88" t="inlineStr">
        <is>
          <t>核心職能</t>
        </is>
      </c>
      <c r="B6" s="89" t="inlineStr">
        <is>
          <t>C05</t>
        </is>
      </c>
      <c r="C6" s="90" t="inlineStr">
        <is>
          <t>創新改善</t>
        </is>
      </c>
      <c r="D6" s="91" t="inlineStr">
        <is>
          <t>挑戰現況、提出新做法，持續優化工作流程與成果。</t>
        </is>
      </c>
      <c r="E6" s="92" t="inlineStr">
        <is>
          <t>在指導下能理解並執行基本要求</t>
        </is>
      </c>
      <c r="F6" s="92" t="inlineStr">
        <is>
          <t>能獨立執行一般性工作，偶需協助</t>
        </is>
      </c>
      <c r="G6" s="92" t="inlineStr">
        <is>
          <t>能獨立處理複雜狀況並確保成果品質</t>
        </is>
      </c>
      <c r="H6" s="92" t="inlineStr">
        <is>
          <t>能指導他人並優化做法，為單位內標竿</t>
        </is>
      </c>
      <c r="I6" s="92" t="inlineStr">
        <is>
          <t>能建立制度或方法論，影響全組織</t>
        </is>
      </c>
      <c r="J6" s="90" t="inlineStr">
        <is>
          <t>全部</t>
        </is>
      </c>
      <c r="K6" s="90" t="inlineStr">
        <is>
          <t>全部</t>
        </is>
      </c>
    </row>
    <row r="7" ht="48" customHeight="1" s="64">
      <c r="A7" s="93" t="inlineStr">
        <is>
          <t>管理職能</t>
        </is>
      </c>
      <c r="B7" s="94" t="inlineStr">
        <is>
          <t>M01</t>
        </is>
      </c>
      <c r="C7" s="90" t="inlineStr">
        <is>
          <t>領導統御</t>
        </is>
      </c>
      <c r="D7" s="91" t="inlineStr">
        <is>
          <t>設定方向、激勵部屬，帶領團隊達成組織目標。</t>
        </is>
      </c>
      <c r="E7" s="92" t="inlineStr">
        <is>
          <t>在指導下能理解並執行基本要求</t>
        </is>
      </c>
      <c r="F7" s="92" t="inlineStr">
        <is>
          <t>能獨立執行一般性工作，偶需協助</t>
        </is>
      </c>
      <c r="G7" s="92" t="inlineStr">
        <is>
          <t>能獨立處理複雜狀況並確保成果品質</t>
        </is>
      </c>
      <c r="H7" s="92" t="inlineStr">
        <is>
          <t>能指導他人並優化做法，為單位內標竿</t>
        </is>
      </c>
      <c r="I7" s="92" t="inlineStr">
        <is>
          <t>能建立制度或方法論，影響全組織</t>
        </is>
      </c>
      <c r="J7" s="90" t="inlineStr">
        <is>
          <t>全部</t>
        </is>
      </c>
      <c r="K7" s="90" t="inlineStr">
        <is>
          <t>全部</t>
        </is>
      </c>
    </row>
    <row r="8" ht="48" customHeight="1" s="64">
      <c r="A8" s="93" t="inlineStr">
        <is>
          <t>管理職能</t>
        </is>
      </c>
      <c r="B8" s="94" t="inlineStr">
        <is>
          <t>M02</t>
        </is>
      </c>
      <c r="C8" s="90" t="inlineStr">
        <is>
          <t>決策判斷</t>
        </is>
      </c>
      <c r="D8" s="91" t="inlineStr">
        <is>
          <t>蒐集與分析資訊，在時限內做出合宜決策並承擔責任。</t>
        </is>
      </c>
      <c r="E8" s="92" t="inlineStr">
        <is>
          <t>在指導下能理解並執行基本要求</t>
        </is>
      </c>
      <c r="F8" s="92" t="inlineStr">
        <is>
          <t>能獨立執行一般性工作，偶需協助</t>
        </is>
      </c>
      <c r="G8" s="92" t="inlineStr">
        <is>
          <t>能獨立處理複雜狀況並確保成果品質</t>
        </is>
      </c>
      <c r="H8" s="92" t="inlineStr">
        <is>
          <t>能指導他人並優化做法，為單位內標竿</t>
        </is>
      </c>
      <c r="I8" s="92" t="inlineStr">
        <is>
          <t>能建立制度或方法論，影響全組織</t>
        </is>
      </c>
      <c r="J8" s="90" t="inlineStr">
        <is>
          <t>全部</t>
        </is>
      </c>
      <c r="K8" s="90" t="inlineStr">
        <is>
          <t>全部</t>
        </is>
      </c>
    </row>
    <row r="9" ht="48" customHeight="1" s="64">
      <c r="A9" s="93" t="inlineStr">
        <is>
          <t>管理職能</t>
        </is>
      </c>
      <c r="B9" s="94" t="inlineStr">
        <is>
          <t>M03</t>
        </is>
      </c>
      <c r="C9" s="90" t="inlineStr">
        <is>
          <t>目標管理</t>
        </is>
      </c>
      <c r="D9" s="91" t="inlineStr">
        <is>
          <t>將組織目標展開為可衡量的計畫，追蹤進度並適時調整。</t>
        </is>
      </c>
      <c r="E9" s="92" t="inlineStr">
        <is>
          <t>在指導下能理解並執行基本要求</t>
        </is>
      </c>
      <c r="F9" s="92" t="inlineStr">
        <is>
          <t>能獨立執行一般性工作，偶需協助</t>
        </is>
      </c>
      <c r="G9" s="92" t="inlineStr">
        <is>
          <t>能獨立處理複雜狀況並確保成果品質</t>
        </is>
      </c>
      <c r="H9" s="92" t="inlineStr">
        <is>
          <t>能指導他人並優化做法，為單位內標竿</t>
        </is>
      </c>
      <c r="I9" s="92" t="inlineStr">
        <is>
          <t>能建立制度或方法論，影響全組織</t>
        </is>
      </c>
      <c r="J9" s="90" t="inlineStr">
        <is>
          <t>全部</t>
        </is>
      </c>
      <c r="K9" s="90" t="inlineStr">
        <is>
          <t>全部</t>
        </is>
      </c>
    </row>
    <row r="10" ht="48" customHeight="1" s="64">
      <c r="A10" s="93" t="inlineStr">
        <is>
          <t>管理職能</t>
        </is>
      </c>
      <c r="B10" s="94" t="inlineStr">
        <is>
          <t>M04</t>
        </is>
      </c>
      <c r="C10" s="90" t="inlineStr">
        <is>
          <t>人才培育</t>
        </is>
      </c>
      <c r="D10" s="91" t="inlineStr">
        <is>
          <t>識別部屬發展需求，透過指導、授權與回饋提升其能力。</t>
        </is>
      </c>
      <c r="E10" s="92" t="inlineStr">
        <is>
          <t>在指導下能理解並執行基本要求</t>
        </is>
      </c>
      <c r="F10" s="92" t="inlineStr">
        <is>
          <t>能獨立執行一般性工作，偶需協助</t>
        </is>
      </c>
      <c r="G10" s="92" t="inlineStr">
        <is>
          <t>能獨立處理複雜狀況並確保成果品質</t>
        </is>
      </c>
      <c r="H10" s="92" t="inlineStr">
        <is>
          <t>能指導他人並優化做法，為單位內標竿</t>
        </is>
      </c>
      <c r="I10" s="92" t="inlineStr">
        <is>
          <t>能建立制度或方法論，影響全組織</t>
        </is>
      </c>
      <c r="J10" s="90" t="inlineStr">
        <is>
          <t>全部</t>
        </is>
      </c>
      <c r="K10" s="90" t="inlineStr">
        <is>
          <t>全部</t>
        </is>
      </c>
    </row>
    <row r="11" ht="48" customHeight="1" s="64">
      <c r="A11" s="93" t="inlineStr">
        <is>
          <t>管理職能</t>
        </is>
      </c>
      <c r="B11" s="94" t="inlineStr">
        <is>
          <t>M05</t>
        </is>
      </c>
      <c r="C11" s="90" t="inlineStr">
        <is>
          <t>溝通協調</t>
        </is>
      </c>
      <c r="D11" s="91" t="inlineStr">
        <is>
          <t>清楚傳達訊息、整合不同意見，化解衝突並促成共識。</t>
        </is>
      </c>
      <c r="E11" s="92" t="inlineStr">
        <is>
          <t>在指導下能理解並執行基本要求</t>
        </is>
      </c>
      <c r="F11" s="92" t="inlineStr">
        <is>
          <t>能獨立執行一般性工作，偶需協助</t>
        </is>
      </c>
      <c r="G11" s="92" t="inlineStr">
        <is>
          <t>能獨立處理複雜狀況並確保成果品質</t>
        </is>
      </c>
      <c r="H11" s="92" t="inlineStr">
        <is>
          <t>能指導他人並優化做法，為單位內標竿</t>
        </is>
      </c>
      <c r="I11" s="92" t="inlineStr">
        <is>
          <t>能建立制度或方法論，影響全組織</t>
        </is>
      </c>
      <c r="J11" s="90" t="inlineStr">
        <is>
          <t>全部</t>
        </is>
      </c>
      <c r="K11" s="90" t="inlineStr">
        <is>
          <t>全部</t>
        </is>
      </c>
    </row>
    <row r="12" ht="48" customHeight="1" s="64">
      <c r="A12" s="95" t="inlineStr">
        <is>
          <t>專業職能</t>
        </is>
      </c>
      <c r="B12" s="94" t="inlineStr">
        <is>
          <t>P01</t>
        </is>
      </c>
      <c r="C12" s="90" t="inlineStr">
        <is>
          <t>專業知識</t>
        </is>
      </c>
      <c r="D12" s="91" t="inlineStr">
        <is>
          <t>具備擔任職務所需的領域知識、法規與標準。</t>
        </is>
      </c>
      <c r="E12" s="92" t="inlineStr">
        <is>
          <t>在指導下能理解並執行基本要求</t>
        </is>
      </c>
      <c r="F12" s="92" t="inlineStr">
        <is>
          <t>能獨立執行一般性工作，偶需協助</t>
        </is>
      </c>
      <c r="G12" s="92" t="inlineStr">
        <is>
          <t>能獨立處理複雜狀況並確保成果品質</t>
        </is>
      </c>
      <c r="H12" s="92" t="inlineStr">
        <is>
          <t>能指導他人並優化做法，為單位內標竿</t>
        </is>
      </c>
      <c r="I12" s="92" t="inlineStr">
        <is>
          <t>能建立制度或方法論，影響全組織</t>
        </is>
      </c>
      <c r="J12" s="90" t="inlineStr">
        <is>
          <t>全部</t>
        </is>
      </c>
      <c r="K12" s="90" t="inlineStr">
        <is>
          <t>全部</t>
        </is>
      </c>
    </row>
    <row r="13" ht="48" customHeight="1" s="64">
      <c r="A13" s="95" t="inlineStr">
        <is>
          <t>專業職能</t>
        </is>
      </c>
      <c r="B13" s="94" t="inlineStr">
        <is>
          <t>P02</t>
        </is>
      </c>
      <c r="C13" s="90" t="inlineStr">
        <is>
          <t>專業技術／工具應用</t>
        </is>
      </c>
      <c r="D13" s="91" t="inlineStr">
        <is>
          <t>熟練運用職務所需的技術、設備、系統或工具。</t>
        </is>
      </c>
      <c r="E13" s="92" t="inlineStr">
        <is>
          <t>在指導下能理解並執行基本要求</t>
        </is>
      </c>
      <c r="F13" s="92" t="inlineStr">
        <is>
          <t>能獨立執行一般性工作，偶需協助</t>
        </is>
      </c>
      <c r="G13" s="92" t="inlineStr">
        <is>
          <t>能獨立處理複雜狀況並確保成果品質</t>
        </is>
      </c>
      <c r="H13" s="92" t="inlineStr">
        <is>
          <t>能指導他人並優化做法，為單位內標竿</t>
        </is>
      </c>
      <c r="I13" s="92" t="inlineStr">
        <is>
          <t>能建立制度或方法論，影響全組織</t>
        </is>
      </c>
      <c r="J13" s="90" t="inlineStr">
        <is>
          <t>全部</t>
        </is>
      </c>
      <c r="K13" s="90" t="inlineStr">
        <is>
          <t>全部</t>
        </is>
      </c>
    </row>
    <row r="14" ht="48" customHeight="1" s="64">
      <c r="A14" s="95" t="inlineStr">
        <is>
          <t>專業職能</t>
        </is>
      </c>
      <c r="B14" s="94" t="inlineStr">
        <is>
          <t>P03</t>
        </is>
      </c>
      <c r="C14" s="90" t="inlineStr">
        <is>
          <t>問題分析與解決</t>
        </is>
      </c>
      <c r="D14" s="91" t="inlineStr">
        <is>
          <t>界定問題、找出根因，提出並落實有效對策。</t>
        </is>
      </c>
      <c r="E14" s="92" t="inlineStr">
        <is>
          <t>在指導下能理解並執行基本要求</t>
        </is>
      </c>
      <c r="F14" s="92" t="inlineStr">
        <is>
          <t>能獨立執行一般性工作，偶需協助</t>
        </is>
      </c>
      <c r="G14" s="92" t="inlineStr">
        <is>
          <t>能獨立處理複雜狀況並確保成果品質</t>
        </is>
      </c>
      <c r="H14" s="92" t="inlineStr">
        <is>
          <t>能指導他人並優化做法，為單位內標竿</t>
        </is>
      </c>
      <c r="I14" s="92" t="inlineStr">
        <is>
          <t>能建立制度或方法論，影響全組織</t>
        </is>
      </c>
      <c r="J14" s="90" t="inlineStr">
        <is>
          <t>全部</t>
        </is>
      </c>
      <c r="K14" s="90" t="inlineStr">
        <is>
          <t>全部</t>
        </is>
      </c>
    </row>
    <row r="15" ht="48" customHeight="1" s="64">
      <c r="A15" s="95" t="inlineStr">
        <is>
          <t>專業職能</t>
        </is>
      </c>
      <c r="B15" s="94" t="inlineStr">
        <is>
          <t>P04</t>
        </is>
      </c>
      <c r="C15" s="90" t="inlineStr">
        <is>
          <t>品質與流程管理</t>
        </is>
      </c>
      <c r="D15" s="91" t="inlineStr">
        <is>
          <t>依標準作業程序執行工作，確保品質並持續改善流程。</t>
        </is>
      </c>
      <c r="E15" s="92" t="inlineStr">
        <is>
          <t>在指導下能理解並執行基本要求</t>
        </is>
      </c>
      <c r="F15" s="92" t="inlineStr">
        <is>
          <t>能獨立執行一般性工作，偶需協助</t>
        </is>
      </c>
      <c r="G15" s="92" t="inlineStr">
        <is>
          <t>能獨立處理複雜狀況並確保成果品質</t>
        </is>
      </c>
      <c r="H15" s="92" t="inlineStr">
        <is>
          <t>能指導他人並優化做法，為單位內標竿</t>
        </is>
      </c>
      <c r="I15" s="92" t="inlineStr">
        <is>
          <t>能建立制度或方法論，影響全組織</t>
        </is>
      </c>
      <c r="J15" s="90" t="inlineStr">
        <is>
          <t>全部</t>
        </is>
      </c>
      <c r="K15" s="90" t="inlineStr">
        <is>
          <t>全部</t>
        </is>
      </c>
    </row>
    <row r="16" ht="48" customHeight="1" s="64">
      <c r="A16" s="95" t="inlineStr">
        <is>
          <t>專業職能</t>
        </is>
      </c>
      <c r="B16" s="94" t="inlineStr">
        <is>
          <t>P05</t>
        </is>
      </c>
      <c r="C16" s="90" t="inlineStr">
        <is>
          <t>數位與資訊應用</t>
        </is>
      </c>
      <c r="D16" s="91" t="inlineStr">
        <is>
          <t>運用數位工具與資料分析提升工作效率與決策品質。</t>
        </is>
      </c>
      <c r="E16" s="92" t="inlineStr">
        <is>
          <t>在指導下能理解並執行基本要求</t>
        </is>
      </c>
      <c r="F16" s="92" t="inlineStr">
        <is>
          <t>能獨立執行一般性工作，偶需協助</t>
        </is>
      </c>
      <c r="G16" s="92" t="inlineStr">
        <is>
          <t>能獨立處理複雜狀況並確保成果品質</t>
        </is>
      </c>
      <c r="H16" s="92" t="inlineStr">
        <is>
          <t>能指導他人並優化做法，為單位內標竿</t>
        </is>
      </c>
      <c r="I16" s="92" t="inlineStr">
        <is>
          <t>能建立制度或方法論，影響全組織</t>
        </is>
      </c>
      <c r="J16" s="90" t="inlineStr">
        <is>
          <t>全部</t>
        </is>
      </c>
      <c r="K16" s="90" t="inlineStr">
        <is>
          <t>全部</t>
        </is>
      </c>
    </row>
    <row r="17" ht="63.75" customHeight="1" s="64">
      <c r="A17" s="95" t="inlineStr">
        <is>
          <t>專業職能</t>
        </is>
      </c>
      <c r="B17" s="94" t="inlineStr">
        <is>
          <t>P06</t>
        </is>
      </c>
      <c r="C17" s="90" t="inlineStr">
        <is>
          <t>活動營運企劃</t>
        </is>
      </c>
      <c r="D17" s="91" t="inlineStr">
        <is>
          <t>規劃並執行遊戲內外活動（節慶、儲值、回流），以提升活躍、留存與營收。</t>
        </is>
      </c>
      <c r="E17" s="92" t="inlineStr">
        <is>
          <t>能依既有活動模板協助上架與設定</t>
        </is>
      </c>
      <c r="F17" s="92" t="inlineStr">
        <is>
          <t>能獨立完成一般檔期活動的規劃與上線</t>
        </is>
      </c>
      <c r="G17" s="92" t="inlineStr">
        <is>
          <t>能依數據設計活動節奏與獎勵，並達成檔期目標</t>
        </is>
      </c>
      <c r="H17" s="92" t="inlineStr">
        <is>
          <t>能規劃全年活動排程並指導他人優化活動設計</t>
        </is>
      </c>
      <c r="I17" s="92" t="inlineStr">
        <is>
          <t>能建立活動營運方法論與成效評估制度</t>
        </is>
      </c>
      <c r="J17" s="90" t="inlineStr">
        <is>
          <t>全部</t>
        </is>
      </c>
      <c r="K17" s="90" t="inlineStr">
        <is>
          <t>企劃、營運</t>
        </is>
      </c>
    </row>
    <row r="18" ht="63.75" customHeight="1" s="64">
      <c r="A18" s="95" t="inlineStr">
        <is>
          <t>專業職能</t>
        </is>
      </c>
      <c r="B18" s="94" t="inlineStr">
        <is>
          <t>P07</t>
        </is>
      </c>
      <c r="C18" s="90" t="inlineStr">
        <is>
          <t>數據分析與營運指標</t>
        </is>
      </c>
      <c r="D18" s="91" t="inlineStr">
        <is>
          <t>掌握 DAU、留存、ARPPU、付費率、LTV 等指標，運用數據找出問題並提出對策。</t>
        </is>
      </c>
      <c r="E18" s="92" t="inlineStr">
        <is>
          <t>能讀懂日報與基本營運指標</t>
        </is>
      </c>
      <c r="F18" s="92" t="inlineStr">
        <is>
          <t>能獨立撈取資料並整理週報、月報</t>
        </is>
      </c>
      <c r="G18" s="92" t="inlineStr">
        <is>
          <t>能分析指標變化的原因並提出具體改善建議</t>
        </is>
      </c>
      <c r="H18" s="92" t="inlineStr">
        <is>
          <t>能建立分析模型（分群、漏斗、LTV）並指導他人</t>
        </is>
      </c>
      <c r="I18" s="92" t="inlineStr">
        <is>
          <t>能建立數據指標體系與決策機制，影響產品方向</t>
        </is>
      </c>
      <c r="J18" s="90" t="inlineStr">
        <is>
          <t>全部</t>
        </is>
      </c>
      <c r="K18" s="90" t="inlineStr">
        <is>
          <t>企劃、營運、數據</t>
        </is>
      </c>
    </row>
    <row r="19" ht="63.75" customHeight="1" s="64">
      <c r="A19" s="95" t="inlineStr">
        <is>
          <t>專業職能</t>
        </is>
      </c>
      <c r="B19" s="94" t="inlineStr">
        <is>
          <t>P08</t>
        </is>
      </c>
      <c r="C19" s="90" t="inlineStr">
        <is>
          <t>推廣投放與社群行銷</t>
        </is>
      </c>
      <c r="D19" s="91" t="inlineStr">
        <is>
          <t>運用廣告投放、ASO、KOL 與社群經營，以合理成本獲取並維繫玩家。</t>
        </is>
      </c>
      <c r="E19" s="92" t="inlineStr">
        <is>
          <t>能協助發布社群貼文與素材上架</t>
        </is>
      </c>
      <c r="F19" s="92" t="inlineStr">
        <is>
          <t>能獨立經營社群並執行一般投放</t>
        </is>
      </c>
      <c r="G19" s="92" t="inlineStr">
        <is>
          <t>能依 CPI、ROAS 優化投放素材與渠道組合</t>
        </is>
      </c>
      <c r="H19" s="92" t="inlineStr">
        <is>
          <t>能規劃整體推廣策略與預算分配並指導他人</t>
        </is>
      </c>
      <c r="I19" s="92" t="inlineStr">
        <is>
          <t>能建立推廣成效評估制度與品牌經營策略</t>
        </is>
      </c>
      <c r="J19" s="90" t="inlineStr">
        <is>
          <t>全部</t>
        </is>
      </c>
      <c r="K19" s="90" t="inlineStr">
        <is>
          <t>企劃、營運</t>
        </is>
      </c>
    </row>
    <row r="20" ht="63.75" customHeight="1" s="64">
      <c r="A20" s="95" t="inlineStr">
        <is>
          <t>專業職能</t>
        </is>
      </c>
      <c r="B20" s="94" t="inlineStr">
        <is>
          <t>P09</t>
        </is>
      </c>
      <c r="C20" s="90" t="inlineStr">
        <is>
          <t>牌局玩法與機率設計</t>
        </is>
      </c>
      <c r="D20" s="91" t="inlineStr">
        <is>
          <t>設計棋牌玩法規則、牌型機率與場次配置，確保遊戲公平、平衡且具吸引力。</t>
        </is>
      </c>
      <c r="E20" s="92" t="inlineStr">
        <is>
          <t>能理解各棋牌玩法規則與基本牌型機率</t>
        </is>
      </c>
      <c r="F20" s="92" t="inlineStr">
        <is>
          <t>能依規格完成場次、底注與規則設定</t>
        </is>
      </c>
      <c r="G20" s="92" t="inlineStr">
        <is>
          <t>能設計新玩法或調整機率，並驗證其平衡性</t>
        </is>
      </c>
      <c r="H20" s="92" t="inlineStr">
        <is>
          <t>能建立機率驗證方式並指導他人設計玩法</t>
        </is>
      </c>
      <c r="I20" s="92" t="inlineStr">
        <is>
          <t>能建立棋牌玩法與機率設計規範，作為公司標準</t>
        </is>
      </c>
      <c r="J20" s="90" t="inlineStr">
        <is>
          <t>鬥陣歡樂城</t>
        </is>
      </c>
      <c r="K20" s="90" t="inlineStr">
        <is>
          <t>企劃、技術、測試</t>
        </is>
      </c>
    </row>
    <row r="21" ht="63.75" customHeight="1" s="64">
      <c r="A21" s="95" t="inlineStr">
        <is>
          <t>專業職能</t>
        </is>
      </c>
      <c r="B21" s="94" t="inlineStr">
        <is>
          <t>P10</t>
        </is>
      </c>
      <c r="C21" s="90" t="inlineStr">
        <is>
          <t>棋牌合規與風控</t>
        </is>
      </c>
      <c r="D21" s="91" t="inlineStr">
        <is>
          <t>掌握棋牌相關法規（虛擬幣兌換、機率公告、防賭博疑慮），並偵測與防範外掛、對打洗分、盜刷。</t>
        </is>
      </c>
      <c r="E21" s="92" t="inlineStr">
        <is>
          <t>能說明公司的合規紅線與基本風控規則</t>
        </is>
      </c>
      <c r="F21" s="92" t="inlineStr">
        <is>
          <t>能依規則辨識並通報可疑帳號或交易</t>
        </is>
      </c>
      <c r="G21" s="92" t="inlineStr">
        <is>
          <t>能分析異常行為並處置，確保營運合規</t>
        </is>
      </c>
      <c r="H21" s="92" t="inlineStr">
        <is>
          <t>能設計風控規則與合規檢核流程並指導他人</t>
        </is>
      </c>
      <c r="I21" s="92" t="inlineStr">
        <is>
          <t>能建立公司合規與風控制度，回應主管機關要求</t>
        </is>
      </c>
      <c r="J21" s="90" t="inlineStr">
        <is>
          <t>鬥陣歡樂城</t>
        </is>
      </c>
      <c r="K21" s="90" t="inlineStr">
        <is>
          <t>營運、企劃、技術、客服</t>
        </is>
      </c>
    </row>
    <row r="22" ht="63.75" customHeight="1" s="64">
      <c r="A22" s="95" t="inlineStr">
        <is>
          <t>專業職能</t>
        </is>
      </c>
      <c r="B22" s="94" t="inlineStr">
        <is>
          <t>P11</t>
        </is>
      </c>
      <c r="C22" s="90" t="inlineStr">
        <is>
          <t>養成數值與經濟系統設計</t>
        </is>
      </c>
      <c r="D22" s="91" t="inlineStr">
        <is>
          <t>設計寵物成長、道具產出與消耗的數值，維持遊戲內經濟平衡與長期付費動機。</t>
        </is>
      </c>
      <c r="E22" s="92" t="inlineStr">
        <is>
          <t>能理解養成系統與數值表的基本結構</t>
        </is>
      </c>
      <c r="F22" s="92" t="inlineStr">
        <is>
          <t>能依需求調整既有數值並完成配置</t>
        </is>
      </c>
      <c r="G22" s="92" t="inlineStr">
        <is>
          <t>能設計新養成線並預估其對經濟系統的影響</t>
        </is>
      </c>
      <c r="H22" s="92" t="inlineStr">
        <is>
          <t>能建立數值模型並指導他人進行平衡調整</t>
        </is>
      </c>
      <c r="I22" s="92" t="inlineStr">
        <is>
          <t>能建立經濟系統設計規範，主導整體數值架構</t>
        </is>
      </c>
      <c r="J22" s="90" t="inlineStr">
        <is>
          <t>寵物遊戲</t>
        </is>
      </c>
      <c r="K22" s="90" t="inlineStr">
        <is>
          <t>企劃</t>
        </is>
      </c>
    </row>
    <row r="23" ht="63.75" customHeight="1" s="64">
      <c r="A23" s="95" t="inlineStr">
        <is>
          <t>專業職能</t>
        </is>
      </c>
      <c r="B23" s="94" t="inlineStr">
        <is>
          <t>P12</t>
        </is>
      </c>
      <c r="C23" s="90" t="inlineStr">
        <is>
          <t>寵物內容與社群經營</t>
        </is>
      </c>
      <c r="D23" s="91" t="inlineStr">
        <is>
          <t>規劃寵物角色、收集內容與玩家社群互動，提升玩家情感投入與口碑。</t>
        </is>
      </c>
      <c r="E23" s="92" t="inlineStr">
        <is>
          <t>能了解現有寵物內容與玩家社群概況</t>
        </is>
      </c>
      <c r="F23" s="92" t="inlineStr">
        <is>
          <t>能獨立規劃一般新寵物或社群活動</t>
        </is>
      </c>
      <c r="G23" s="92" t="inlineStr">
        <is>
          <t>能依玩家回饋設計具話題性的內容並帶動社群</t>
        </is>
      </c>
      <c r="H23" s="92" t="inlineStr">
        <is>
          <t>能規劃內容版本藍圖並指導他人經營社群</t>
        </is>
      </c>
      <c r="I23" s="92" t="inlineStr">
        <is>
          <t>能建立 IP 與社群經營策略，形成品牌影響力</t>
        </is>
      </c>
      <c r="J23" s="90" t="inlineStr">
        <is>
          <t>寵物遊戲</t>
        </is>
      </c>
      <c r="K23" s="90" t="inlineStr">
        <is>
          <t>企劃、營運、美術</t>
        </is>
      </c>
    </row>
    <row r="24" ht="63.75" customHeight="1" s="64">
      <c r="A24" s="95" t="inlineStr">
        <is>
          <t>專業職能</t>
        </is>
      </c>
      <c r="B24" s="94" t="inlineStr">
        <is>
          <t>P13</t>
        </is>
      </c>
      <c r="C24" s="90" t="inlineStr">
        <is>
          <t>遊戲美術製作與風格適配</t>
        </is>
      </c>
      <c r="D24" s="91" t="inlineStr">
        <is>
          <t>依產品風格（棋牌、寵物）完成 UI、角色、場景與動態特效等美術資源。</t>
        </is>
      </c>
      <c r="E24" s="92" t="inlineStr">
        <is>
          <t>能依規格與參考圖完成基本美術資源</t>
        </is>
      </c>
      <c r="F24" s="92" t="inlineStr">
        <is>
          <t>能獨立完成一般美術需求並符合產品風格</t>
        </is>
      </c>
      <c r="G24" s="92" t="inlineStr">
        <is>
          <t>能兼顧兩款產品風格，並確保品質與效能</t>
        </is>
      </c>
      <c r="H24" s="92" t="inlineStr">
        <is>
          <t>能制定美術規範與資源流程並指導他人</t>
        </is>
      </c>
      <c r="I24" s="92" t="inlineStr">
        <is>
          <t>能建立公司美術風格體系與製作標準</t>
        </is>
      </c>
      <c r="J24" s="90" t="inlineStr">
        <is>
          <t>全部</t>
        </is>
      </c>
      <c r="K24" s="90" t="inlineStr">
        <is>
          <t>美術</t>
        </is>
      </c>
    </row>
    <row r="25" ht="63.75" customHeight="1" s="64">
      <c r="A25" s="95" t="inlineStr">
        <is>
          <t>專業職能</t>
        </is>
      </c>
      <c r="B25" s="94" t="inlineStr">
        <is>
          <t>P14</t>
        </is>
      </c>
      <c r="C25" s="90" t="inlineStr">
        <is>
          <t>遊戲開發與金流串接</t>
        </is>
      </c>
      <c r="D25" s="91" t="inlineStr">
        <is>
          <t>運用遊戲引擎與前後端技術開發功能，並完成金流、帳號與第三方服務串接。</t>
        </is>
      </c>
      <c r="E25" s="92" t="inlineStr">
        <is>
          <t>能在指導下完成簡單功能或修正錯誤</t>
        </is>
      </c>
      <c r="F25" s="92" t="inlineStr">
        <is>
          <t>能獨立完成一般功能開發與串接</t>
        </is>
      </c>
      <c r="G25" s="92" t="inlineStr">
        <is>
          <t>能處理高併發、效能與金流安全等複雜問題</t>
        </is>
      </c>
      <c r="H25" s="92" t="inlineStr">
        <is>
          <t>能設計系統架構並審查程式碼、指導他人</t>
        </is>
      </c>
      <c r="I25" s="92" t="inlineStr">
        <is>
          <t>能建立技術架構與開發規範，支撐多產品發展</t>
        </is>
      </c>
      <c r="J25" s="90" t="inlineStr">
        <is>
          <t>全部</t>
        </is>
      </c>
      <c r="K25" s="90" t="inlineStr">
        <is>
          <t>技術</t>
        </is>
      </c>
    </row>
    <row r="26" ht="63.75" customHeight="1" s="64">
      <c r="A26" s="95" t="inlineStr">
        <is>
          <t>專業職能</t>
        </is>
      </c>
      <c r="B26" s="94" t="inlineStr">
        <is>
          <t>P15</t>
        </is>
      </c>
      <c r="C26" s="90" t="inlineStr">
        <is>
          <t>遊戲測試與版本品質把關</t>
        </is>
      </c>
      <c r="D26" s="91" t="inlineStr">
        <is>
          <t>設計測試案例，執行功能、相容性、壓力與數值驗證，確保版本穩定上線。</t>
        </is>
      </c>
      <c r="E26" s="92" t="inlineStr">
        <is>
          <t>能依測試案例執行測試並回報問題</t>
        </is>
      </c>
      <c r="F26" s="92" t="inlineStr">
        <is>
          <t>能獨立撰寫測試案例並完成版本測試</t>
        </is>
      </c>
      <c r="G26" s="92" t="inlineStr">
        <is>
          <t>能規劃完整測試策略並驗證機率與數值正確性</t>
        </is>
      </c>
      <c r="H26" s="92" t="inlineStr">
        <is>
          <t>能導入自動化測試並指導他人提升測試效率</t>
        </is>
      </c>
      <c r="I26" s="92" t="inlineStr">
        <is>
          <t>能建立品質保證制度與上線把關標準</t>
        </is>
      </c>
      <c r="J26" s="90" t="inlineStr">
        <is>
          <t>全部</t>
        </is>
      </c>
      <c r="K26" s="90" t="inlineStr">
        <is>
          <t>測試</t>
        </is>
      </c>
    </row>
    <row r="27" ht="63.75" customHeight="1" s="64">
      <c r="A27" s="95" t="inlineStr">
        <is>
          <t>專業職能</t>
        </is>
      </c>
      <c r="B27" s="94" t="inlineStr">
        <is>
          <t>P16</t>
        </is>
      </c>
      <c r="C27" s="90" t="inlineStr">
        <is>
          <t>玩家客服與客訴處理</t>
        </is>
      </c>
      <c r="D27" s="91" t="inlineStr">
        <is>
          <t>即時、專業地回應玩家問題與客訴，並將玩家回饋整理回報給產品團隊。</t>
        </is>
      </c>
      <c r="E27" s="92" t="inlineStr">
        <is>
          <t>能依 FAQ 與話術回覆一般問題</t>
        </is>
      </c>
      <c r="F27" s="92" t="inlineStr">
        <is>
          <t>能獨立處理一般客訴並在時效內結案</t>
        </is>
      </c>
      <c r="G27" s="92" t="inlineStr">
        <is>
          <t>能處理高衝突或複雜客訴，並分析回饋提供產品改善</t>
        </is>
      </c>
      <c r="H27" s="92" t="inlineStr">
        <is>
          <t>能優化客服流程與話術並指導他人</t>
        </is>
      </c>
      <c r="I27" s="92" t="inlineStr">
        <is>
          <t>能建立多產品客服制度與服務標準（SLA）</t>
        </is>
      </c>
      <c r="J27" s="90" t="inlineStr">
        <is>
          <t>全部</t>
        </is>
      </c>
      <c r="K27" s="90" t="inlineStr">
        <is>
          <t>客服</t>
        </is>
      </c>
    </row>
    <row r="28" ht="63.75" customHeight="1" s="64">
      <c r="A28" s="95" t="inlineStr">
        <is>
          <t>專業職能</t>
        </is>
      </c>
      <c r="B28" s="94" t="inlineStr">
        <is>
          <t>P17</t>
        </is>
      </c>
      <c r="C28" s="90" t="inlineStr">
        <is>
          <t>儲值爭議與帳務協查</t>
        </is>
      </c>
      <c r="D28" s="91" t="inlineStr">
        <is>
          <t>處理儲值未到帳、退款、盜刷等爭議，並與金流商及財務部協同查核。</t>
        </is>
      </c>
      <c r="E28" s="92" t="inlineStr">
        <is>
          <t>能依流程受理儲值問題並轉交相關單位</t>
        </is>
      </c>
      <c r="F28" s="92" t="inlineStr">
        <is>
          <t>能獨立查核一般儲值紀錄並回覆玩家</t>
        </is>
      </c>
      <c r="G28" s="92" t="inlineStr">
        <is>
          <t>能處理退款、盜刷等複雜爭議並與金流商協調</t>
        </is>
      </c>
      <c r="H28" s="92" t="inlineStr">
        <is>
          <t>能優化協查流程並指導他人</t>
        </is>
      </c>
      <c r="I28" s="92" t="inlineStr">
        <is>
          <t>能建立儲值爭議處理制度與風險控管機制</t>
        </is>
      </c>
      <c r="J28" s="90" t="inlineStr">
        <is>
          <t>全部</t>
        </is>
      </c>
      <c r="K28" s="90" t="inlineStr">
        <is>
          <t>客服、財務</t>
        </is>
      </c>
    </row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3359375" defaultRowHeight="15" zeroHeight="0" outlineLevelRow="0"/>
  <cols>
    <col width="20" customWidth="1" style="63" min="1" max="1"/>
    <col width="13" customWidth="1" style="63" min="2" max="6"/>
    <col width="8.710000000000001" customWidth="1" style="63" min="7" max="26"/>
  </cols>
  <sheetData>
    <row r="1" ht="31.5" customHeight="1" s="64">
      <c r="A1" s="96" t="inlineStr">
        <is>
          <t>職能項目</t>
        </is>
      </c>
      <c r="B1" s="96" t="inlineStr">
        <is>
          <t>經理/副理</t>
        </is>
      </c>
      <c r="C1" s="96" t="inlineStr">
        <is>
          <t>部門主管</t>
        </is>
      </c>
      <c r="D1" s="97" t="inlineStr">
        <is>
          <t>(專家)</t>
        </is>
      </c>
      <c r="E1" s="97" t="inlineStr">
        <is>
          <t>(進階)</t>
        </is>
      </c>
      <c r="F1" s="97" t="inlineStr">
        <is>
          <t>(基礎)</t>
        </is>
      </c>
    </row>
    <row r="2" ht="15" customHeight="1" s="64">
      <c r="A2" s="98">
        <f>'1.職能辭典'!C2</f>
        <v/>
      </c>
      <c r="B2" s="99" t="n">
        <v>4</v>
      </c>
      <c r="C2" s="100" t="n">
        <v>4</v>
      </c>
      <c r="D2" s="100" t="n">
        <v>3</v>
      </c>
      <c r="E2" s="100" t="n">
        <v>3</v>
      </c>
      <c r="F2" s="101" t="n">
        <v>3</v>
      </c>
    </row>
    <row r="3" ht="15" customHeight="1" s="64">
      <c r="A3" s="102">
        <f>'1.職能辭典'!C3</f>
        <v/>
      </c>
      <c r="B3" s="103" t="n">
        <v>4</v>
      </c>
      <c r="C3" s="89" t="n">
        <v>3</v>
      </c>
      <c r="D3" s="89" t="n">
        <v>3</v>
      </c>
      <c r="E3" s="89" t="n">
        <v>3</v>
      </c>
      <c r="F3" s="104" t="n">
        <v>2</v>
      </c>
    </row>
    <row r="4" ht="15" customHeight="1" s="64">
      <c r="A4" s="102">
        <f>'1.職能辭典'!C4</f>
        <v/>
      </c>
      <c r="B4" s="103" t="n">
        <v>4</v>
      </c>
      <c r="C4" s="89" t="n">
        <v>3</v>
      </c>
      <c r="D4" s="89" t="n">
        <v>3</v>
      </c>
      <c r="E4" s="89" t="n">
        <v>3</v>
      </c>
      <c r="F4" s="104" t="n">
        <v>3</v>
      </c>
    </row>
    <row r="5" ht="15" customHeight="1" s="64">
      <c r="A5" s="102">
        <f>'1.職能辭典'!C5</f>
        <v/>
      </c>
      <c r="B5" s="103" t="n">
        <v>4</v>
      </c>
      <c r="C5" s="89" t="n">
        <v>3</v>
      </c>
      <c r="D5" s="89" t="n">
        <v>3</v>
      </c>
      <c r="E5" s="89" t="n">
        <v>3</v>
      </c>
      <c r="F5" s="104" t="n">
        <v>2</v>
      </c>
    </row>
    <row r="6" ht="15" customHeight="1" s="64">
      <c r="A6" s="105">
        <f>'1.職能辭典'!C6</f>
        <v/>
      </c>
      <c r="B6" s="106" t="n">
        <v>4</v>
      </c>
      <c r="C6" s="107" t="n">
        <v>3</v>
      </c>
      <c r="D6" s="107" t="n">
        <v>3</v>
      </c>
      <c r="E6" s="107" t="n">
        <v>2</v>
      </c>
      <c r="F6" s="108" t="n">
        <v>2</v>
      </c>
    </row>
    <row r="7" ht="15" customHeight="1" s="64">
      <c r="A7" s="109">
        <f>'1.職能辭典'!C7</f>
        <v/>
      </c>
      <c r="B7" s="99" t="n">
        <v>4</v>
      </c>
      <c r="C7" s="100" t="n">
        <v>3</v>
      </c>
      <c r="D7" s="100" t="n">
        <v>0</v>
      </c>
      <c r="E7" s="100" t="n">
        <v>0</v>
      </c>
      <c r="F7" s="101" t="n">
        <v>0</v>
      </c>
    </row>
    <row r="8" ht="15" customHeight="1" s="64">
      <c r="A8" s="110">
        <f>'1.職能辭典'!C8</f>
        <v/>
      </c>
      <c r="B8" s="103" t="n">
        <v>4</v>
      </c>
      <c r="C8" s="89" t="n">
        <v>3</v>
      </c>
      <c r="D8" s="89" t="n">
        <v>2</v>
      </c>
      <c r="E8" s="89" t="n">
        <v>0</v>
      </c>
      <c r="F8" s="104" t="n">
        <v>0</v>
      </c>
    </row>
    <row r="9" ht="15" customHeight="1" s="64">
      <c r="A9" s="110">
        <f>'1.職能辭典'!C9</f>
        <v/>
      </c>
      <c r="B9" s="103" t="n">
        <v>4</v>
      </c>
      <c r="C9" s="89" t="n">
        <v>3</v>
      </c>
      <c r="D9" s="89" t="n">
        <v>2</v>
      </c>
      <c r="E9" s="89" t="n">
        <v>0</v>
      </c>
      <c r="F9" s="104" t="n">
        <v>0</v>
      </c>
    </row>
    <row r="10" ht="15" customHeight="1" s="64">
      <c r="A10" s="110">
        <f>'1.職能辭典'!C10</f>
        <v/>
      </c>
      <c r="B10" s="103" t="n">
        <v>4</v>
      </c>
      <c r="C10" s="89" t="n">
        <v>3</v>
      </c>
      <c r="D10" s="89" t="n">
        <v>2</v>
      </c>
      <c r="E10" s="89" t="n">
        <v>0</v>
      </c>
      <c r="F10" s="104" t="n">
        <v>0</v>
      </c>
    </row>
    <row r="11" ht="15" customHeight="1" s="64">
      <c r="A11" s="111">
        <f>'1.職能辭典'!C11</f>
        <v/>
      </c>
      <c r="B11" s="106" t="n">
        <v>4</v>
      </c>
      <c r="C11" s="107" t="n">
        <v>3</v>
      </c>
      <c r="D11" s="107" t="n">
        <v>3</v>
      </c>
      <c r="E11" s="107" t="n">
        <v>2</v>
      </c>
      <c r="F11" s="108" t="n">
        <v>2</v>
      </c>
    </row>
    <row r="12" ht="15" customHeight="1" s="64">
      <c r="A12" s="112">
        <f>'1.職能辭典'!C12</f>
        <v/>
      </c>
      <c r="B12" s="99" t="n">
        <v>4</v>
      </c>
      <c r="C12" s="100" t="n">
        <v>4</v>
      </c>
      <c r="D12" s="100" t="n">
        <v>4</v>
      </c>
      <c r="E12" s="100" t="n">
        <v>3</v>
      </c>
      <c r="F12" s="101" t="n">
        <v>2</v>
      </c>
    </row>
    <row r="13" ht="15" customHeight="1" s="64">
      <c r="A13" s="113">
        <f>'1.職能辭典'!C13</f>
        <v/>
      </c>
      <c r="B13" s="103" t="n">
        <v>3</v>
      </c>
      <c r="C13" s="89" t="n">
        <v>3</v>
      </c>
      <c r="D13" s="89" t="n">
        <v>4</v>
      </c>
      <c r="E13" s="89" t="n">
        <v>3</v>
      </c>
      <c r="F13" s="104" t="n">
        <v>2</v>
      </c>
    </row>
    <row r="14" ht="15" customHeight="1" s="64">
      <c r="A14" s="113">
        <f>'1.職能辭典'!C14</f>
        <v/>
      </c>
      <c r="B14" s="103" t="n">
        <v>4</v>
      </c>
      <c r="C14" s="89" t="n">
        <v>3</v>
      </c>
      <c r="D14" s="89" t="n">
        <v>3</v>
      </c>
      <c r="E14" s="89" t="n">
        <v>3</v>
      </c>
      <c r="F14" s="104" t="n">
        <v>2</v>
      </c>
    </row>
    <row r="15" ht="15" customHeight="1" s="64">
      <c r="A15" s="113">
        <f>'1.職能辭典'!C15</f>
        <v/>
      </c>
      <c r="B15" s="103" t="n">
        <v>4</v>
      </c>
      <c r="C15" s="89" t="n">
        <v>3</v>
      </c>
      <c r="D15" s="89" t="n">
        <v>3</v>
      </c>
      <c r="E15" s="89" t="n">
        <v>3</v>
      </c>
      <c r="F15" s="104" t="n">
        <v>2</v>
      </c>
    </row>
    <row r="16" ht="15" customHeight="1" s="64">
      <c r="A16" s="114">
        <f>'1.職能辭典'!C16</f>
        <v/>
      </c>
      <c r="B16" s="106" t="n">
        <v>3</v>
      </c>
      <c r="C16" s="107" t="n">
        <v>3</v>
      </c>
      <c r="D16" s="107" t="n">
        <v>3</v>
      </c>
      <c r="E16" s="107" t="n">
        <v>2</v>
      </c>
      <c r="F16" s="108" t="n">
        <v>2</v>
      </c>
    </row>
    <row r="17" ht="15" customHeight="1" s="64">
      <c r="A17" s="114" t="inlineStr">
        <is>
          <t>活動營運企劃</t>
        </is>
      </c>
      <c r="B17" s="106" t="n">
        <v>3</v>
      </c>
      <c r="C17" s="107" t="n">
        <v>4</v>
      </c>
      <c r="D17" s="107" t="n">
        <v>4</v>
      </c>
      <c r="E17" s="107" t="n">
        <v>3</v>
      </c>
      <c r="F17" s="108" t="n">
        <v>2</v>
      </c>
    </row>
    <row r="18" ht="15" customHeight="1" s="64">
      <c r="A18" s="114" t="inlineStr">
        <is>
          <t>數據分析與營運指標</t>
        </is>
      </c>
      <c r="B18" s="106" t="n">
        <v>3</v>
      </c>
      <c r="C18" s="107" t="n">
        <v>4</v>
      </c>
      <c r="D18" s="107" t="n">
        <v>4</v>
      </c>
      <c r="E18" s="107" t="n">
        <v>3</v>
      </c>
      <c r="F18" s="108" t="n">
        <v>2</v>
      </c>
    </row>
    <row r="19" ht="15" customHeight="1" s="64">
      <c r="A19" s="114" t="inlineStr">
        <is>
          <t>推廣投放與社群行銷</t>
        </is>
      </c>
      <c r="B19" s="106" t="n">
        <v>3</v>
      </c>
      <c r="C19" s="107" t="n">
        <v>4</v>
      </c>
      <c r="D19" s="107" t="n">
        <v>4</v>
      </c>
      <c r="E19" s="107" t="n">
        <v>3</v>
      </c>
      <c r="F19" s="108" t="n">
        <v>2</v>
      </c>
    </row>
    <row r="20" ht="15" customHeight="1" s="64">
      <c r="A20" s="114" t="inlineStr">
        <is>
          <t>牌局玩法與機率設計</t>
        </is>
      </c>
      <c r="B20" s="106" t="n">
        <v>3</v>
      </c>
      <c r="C20" s="107" t="n">
        <v>4</v>
      </c>
      <c r="D20" s="107" t="n">
        <v>4</v>
      </c>
      <c r="E20" s="107" t="n">
        <v>3</v>
      </c>
      <c r="F20" s="108" t="n">
        <v>2</v>
      </c>
    </row>
    <row r="21" ht="15.75" customHeight="1" s="64">
      <c r="A21" s="114" t="inlineStr">
        <is>
          <t>棋牌合規與風控</t>
        </is>
      </c>
      <c r="B21" s="106" t="n">
        <v>3</v>
      </c>
      <c r="C21" s="107" t="n">
        <v>4</v>
      </c>
      <c r="D21" s="107" t="n">
        <v>4</v>
      </c>
      <c r="E21" s="107" t="n">
        <v>3</v>
      </c>
      <c r="F21" s="108" t="n">
        <v>2</v>
      </c>
    </row>
    <row r="22" ht="15.75" customHeight="1" s="64">
      <c r="A22" s="114" t="inlineStr">
        <is>
          <t>養成數值與經濟系統設計</t>
        </is>
      </c>
      <c r="B22" s="106" t="n">
        <v>3</v>
      </c>
      <c r="C22" s="107" t="n">
        <v>4</v>
      </c>
      <c r="D22" s="107" t="n">
        <v>4</v>
      </c>
      <c r="E22" s="107" t="n">
        <v>3</v>
      </c>
      <c r="F22" s="108" t="n">
        <v>2</v>
      </c>
    </row>
    <row r="23" ht="15.75" customHeight="1" s="64">
      <c r="A23" s="114" t="inlineStr">
        <is>
          <t>寵物內容與社群經營</t>
        </is>
      </c>
      <c r="B23" s="106" t="n">
        <v>3</v>
      </c>
      <c r="C23" s="107" t="n">
        <v>4</v>
      </c>
      <c r="D23" s="107" t="n">
        <v>4</v>
      </c>
      <c r="E23" s="107" t="n">
        <v>3</v>
      </c>
      <c r="F23" s="108" t="n">
        <v>2</v>
      </c>
    </row>
    <row r="24" ht="15.75" customHeight="1" s="64">
      <c r="A24" s="114" t="inlineStr">
        <is>
          <t>遊戲美術製作與風格適配</t>
        </is>
      </c>
      <c r="B24" s="106" t="n">
        <v>3</v>
      </c>
      <c r="C24" s="107" t="n">
        <v>4</v>
      </c>
      <c r="D24" s="107" t="n">
        <v>4</v>
      </c>
      <c r="E24" s="107" t="n">
        <v>3</v>
      </c>
      <c r="F24" s="108" t="n">
        <v>2</v>
      </c>
    </row>
    <row r="25" ht="15.75" customHeight="1" s="64">
      <c r="A25" s="114" t="inlineStr">
        <is>
          <t>遊戲開發與金流串接</t>
        </is>
      </c>
      <c r="B25" s="106" t="n">
        <v>3</v>
      </c>
      <c r="C25" s="107" t="n">
        <v>4</v>
      </c>
      <c r="D25" s="107" t="n">
        <v>4</v>
      </c>
      <c r="E25" s="107" t="n">
        <v>3</v>
      </c>
      <c r="F25" s="108" t="n">
        <v>2</v>
      </c>
    </row>
    <row r="26" ht="15.75" customHeight="1" s="64">
      <c r="A26" s="114" t="inlineStr">
        <is>
          <t>遊戲測試與版本品質把關</t>
        </is>
      </c>
      <c r="B26" s="106" t="n">
        <v>3</v>
      </c>
      <c r="C26" s="107" t="n">
        <v>4</v>
      </c>
      <c r="D26" s="107" t="n">
        <v>4</v>
      </c>
      <c r="E26" s="107" t="n">
        <v>3</v>
      </c>
      <c r="F26" s="108" t="n">
        <v>2</v>
      </c>
    </row>
    <row r="27" ht="15.75" customHeight="1" s="64">
      <c r="A27" s="114" t="inlineStr">
        <is>
          <t>玩家客服與客訴處理</t>
        </is>
      </c>
      <c r="B27" s="106" t="n">
        <v>3</v>
      </c>
      <c r="C27" s="107" t="n">
        <v>4</v>
      </c>
      <c r="D27" s="107" t="n">
        <v>4</v>
      </c>
      <c r="E27" s="107" t="n">
        <v>3</v>
      </c>
      <c r="F27" s="108" t="n">
        <v>2</v>
      </c>
    </row>
    <row r="28" ht="15.75" customHeight="1" s="64">
      <c r="A28" s="114" t="inlineStr">
        <is>
          <t>儲值爭議與帳務協查</t>
        </is>
      </c>
      <c r="B28" s="106" t="n">
        <v>3</v>
      </c>
      <c r="C28" s="107" t="n">
        <v>4</v>
      </c>
      <c r="D28" s="107" t="n">
        <v>4</v>
      </c>
      <c r="E28" s="107" t="n">
        <v>3</v>
      </c>
      <c r="F28" s="108" t="n">
        <v>2</v>
      </c>
    </row>
    <row r="29" ht="15.75" customHeight="1" s="64"/>
    <row r="30" ht="15.75" customHeight="1" s="64">
      <c r="A30" s="115" t="inlineStr">
        <is>
          <t>說明：數值為該職稱對各職能的「要求等級」（1–5），0＝不適用。職稱可增刪欄位（需同步調整員工名單的職稱下拉選單）。</t>
        </is>
      </c>
    </row>
    <row r="31" ht="15.75" customHeight="1" s="64">
      <c r="A31" s="115" t="inlineStr">
        <is>
          <t>產品線職能（P06–P17）另依「1.職能辭典」的適用產品與適用職能別判斷；不適用者在個人職能盤點自動顯示「不適用」。</t>
        </is>
      </c>
    </row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dataValidations count="1">
    <dataValidation sqref="B2:F28" showDropDown="0" showInputMessage="1" showErrorMessage="1" allowBlank="1" prompt="請輸入 0–5" type="decimal" errorStyle="stop" operator="between">
      <formula1>0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baseColWidth="8" defaultColWidth="14.43359375" defaultRowHeight="15" zeroHeight="0" outlineLevelRow="0"/>
  <cols>
    <col width="12" customWidth="1" style="63" min="1" max="2"/>
    <col width="29.14" customWidth="1" style="63" min="3" max="3"/>
    <col width="14" customWidth="1" style="63" min="4" max="4"/>
    <col width="13" customWidth="1" style="63" min="5" max="5"/>
    <col width="12" customWidth="1" style="63" min="6" max="6"/>
    <col width="14" customWidth="1" style="63" min="7" max="26"/>
    <col width="50" customWidth="1" style="64" min="10" max="10"/>
    <col width="55" customWidth="1" style="64" min="11" max="11"/>
  </cols>
  <sheetData>
    <row r="1" ht="31.5" customHeight="1" s="64">
      <c r="A1" s="86" t="inlineStr">
        <is>
          <t>員工編號</t>
        </is>
      </c>
      <c r="B1" s="86" t="inlineStr">
        <is>
          <t>姓名</t>
        </is>
      </c>
      <c r="C1" s="86" t="inlineStr">
        <is>
          <t>部門</t>
        </is>
      </c>
      <c r="D1" s="86" t="inlineStr">
        <is>
          <t>職稱</t>
        </is>
      </c>
      <c r="E1" s="86" t="inlineStr">
        <is>
          <t>到職日</t>
        </is>
      </c>
      <c r="F1" s="86" t="inlineStr">
        <is>
          <t>直屬主管</t>
        </is>
      </c>
      <c r="G1" s="86" t="inlineStr">
        <is>
          <t>盤點期間</t>
        </is>
      </c>
      <c r="H1" s="86" t="inlineStr">
        <is>
          <t>負責產品</t>
        </is>
      </c>
      <c r="I1" s="86" t="inlineStr">
        <is>
          <t>職能別</t>
        </is>
      </c>
      <c r="J1" s="125" t="inlineStr">
        <is>
          <t>管理職能 (Management Track)</t>
        </is>
      </c>
      <c r="K1" s="126" t="inlineStr">
        <is>
          <t>技術與專業職能 (Technical Track)</t>
        </is>
      </c>
    </row>
    <row r="2" ht="15" customHeight="1" s="64">
      <c r="A2" s="94" t="inlineStr">
        <is>
          <t>A001</t>
        </is>
      </c>
      <c r="B2" s="88" t="inlineStr">
        <is>
          <t>吳怡慶</t>
        </is>
      </c>
      <c r="C2" s="88" t="inlineStr">
        <is>
          <t>總經理室</t>
        </is>
      </c>
      <c r="D2" s="88" t="inlineStr">
        <is>
          <t>經理/副理</t>
        </is>
      </c>
      <c r="E2" s="116" t="n">
        <v>43221</v>
      </c>
      <c r="F2" s="94" t="inlineStr">
        <is>
          <t>-</t>
        </is>
      </c>
      <c r="G2" s="88" t="n"/>
      <c r="H2" s="88" t="inlineStr">
        <is>
          <t>公司共用</t>
        </is>
      </c>
      <c r="I2" s="88" t="inlineStr">
        <is>
          <t>經營</t>
        </is>
      </c>
      <c r="J2" s="127" t="inlineStr">
        <is>
          <t>企業整體戰略決策與發展願景制定 (M01/M02)；
年度資本預算 (CAPEX/OPEX) 與經營目標考核 (M03)；
最高營運裁決、法律委任與董事會治理；
重大風險控管與最終簽核核決權</t>
        </is>
      </c>
      <c r="K2" s="127" t="inlineStr">
        <is>
          <t>棋牌與互聯網平台商業模式設計；
股權與組織治理架構規劃；
跨領域策略投資與商務生態構建；
高階經營分析與績效指標 (KPI) 體系</t>
        </is>
      </c>
    </row>
    <row r="3" ht="15" customHeight="1" s="64">
      <c r="A3" s="94" t="inlineStr">
        <is>
          <t>B026</t>
        </is>
      </c>
      <c r="B3" s="88" t="inlineStr">
        <is>
          <t>廖倫豪</t>
        </is>
      </c>
      <c r="C3" s="88" t="inlineStr">
        <is>
          <t>副總經理室</t>
        </is>
      </c>
      <c r="D3" s="88" t="inlineStr">
        <is>
          <t>經理/副理</t>
        </is>
      </c>
      <c r="E3" s="116" t="n">
        <v>45786</v>
      </c>
      <c r="F3" s="88" t="inlineStr">
        <is>
          <t>吳怡慶</t>
        </is>
      </c>
      <c r="G3" s="88" t="n"/>
      <c r="H3" s="88" t="inlineStr">
        <is>
          <t>兩款共用</t>
        </is>
      </c>
      <c r="I3" s="88" t="inlineStr">
        <is>
          <t>技術</t>
        </is>
      </c>
      <c r="J3" s="127" t="inlineStr">
        <is>
          <t>跨部門研發與營運資源統籌排程 (M01/M03)；
管理部 (人資/財務) 簽核案件事前審核 (副總經理審簽)；
企業內控制度、SoD 牽制與四眼原則主導 (M02)；
研發部跨組績效考評與高階技術導師 (M04/M05)</t>
        </is>
      </c>
      <c r="K3" s="127" t="inlineStr">
        <is>
          <t>企業架構 (EA)、雲原生多雲容器 (GKE/K8s) 與 FinOps；
高併發微服務 API-first、CSPRNG 隨機算法公正性認證；
大數據中台、即時 BI 看板與 AI 工作流落地；
ISO 27001 / ISO 42001 (AIMS) 主任稽核員資安治理</t>
        </is>
      </c>
    </row>
    <row r="4" ht="29.85" customHeight="1" s="64">
      <c r="A4" s="94" t="inlineStr">
        <is>
          <t>A002</t>
        </is>
      </c>
      <c r="B4" s="88" t="inlineStr">
        <is>
          <t>陳建州</t>
        </is>
      </c>
      <c r="C4" s="88" t="inlineStr">
        <is>
          <t>管理部／人資總務組</t>
        </is>
      </c>
      <c r="D4" s="88" t="inlineStr">
        <is>
          <t>部門主管</t>
        </is>
      </c>
      <c r="E4" s="116" t="n">
        <v>43221</v>
      </c>
      <c r="F4" s="88" t="inlineStr">
        <is>
          <t>吳怡慶</t>
        </is>
      </c>
      <c r="G4" s="88" t="n"/>
      <c r="H4" s="88" t="inlineStr">
        <is>
          <t>鬥陣歡樂城（代理人）</t>
        </is>
      </c>
      <c r="I4" s="88" t="inlineStr">
        <is>
          <t>企劃、營運、管理</t>
        </is>
      </c>
      <c r="J4" s="127" t="inlineStr">
        <is>
          <t>人資與總務組整體運作指揮與工作督導 (M01/M03)；
勞資爭議預防、薪酬福利與績效考核制度管理 (M02)；
全公司行政採購合約審查與辦公環境治理 (M02)；
副總經理審簽案件事前審核與行政呈核 (M05)</t>
        </is>
      </c>
      <c r="K4" s="127" t="inlineStr">
        <is>
          <t>勞基法規、勞健保申報與人力資源法遵；
固定資產全生命週期管制與盤點稽核機制；
行政採購詢比議價標準規範與供應商評鑑；
鬥陣歡樂城營運支援與行政資源即時調配</t>
        </is>
      </c>
    </row>
    <row r="5" ht="15" customHeight="1" s="64">
      <c r="A5" s="94" t="inlineStr">
        <is>
          <t>A003</t>
        </is>
      </c>
      <c r="B5" s="88" t="inlineStr">
        <is>
          <t>王慈汶</t>
        </is>
      </c>
      <c r="C5" s="88" t="inlineStr">
        <is>
          <t>財務部</t>
        </is>
      </c>
      <c r="D5" s="88" t="inlineStr">
        <is>
          <t>部門主管</t>
        </is>
      </c>
      <c r="E5" s="116" t="n">
        <v>43262</v>
      </c>
      <c r="F5" s="88" t="inlineStr">
        <is>
          <t>吳怡慶</t>
        </is>
      </c>
      <c r="G5" s="88" t="n"/>
      <c r="H5" s="88" t="inlineStr">
        <is>
          <t>公司共用</t>
        </is>
      </c>
      <c r="I5" s="88" t="inlineStr">
        <is>
          <t>財務</t>
        </is>
      </c>
      <c r="J5" s="127" t="inlineStr">
        <is>
          <t>財務部全面工作領導、預算編制與資金調度 (M01/M03)；內部財務牽制 (SoD)、防弊四眼審核與放行 (M02)；副總經理審簽案件之財務憑證完整性審查 (M05)；部門同仁傳票複核、稅務申報與專業輔導 (M04)</t>
        </is>
      </c>
      <c r="K5" s="127" t="inlineStr">
        <is>
          <t>企業會計準則 (EAS/IFRS 15) 收入認列 (房卡合約負債)；
財務三表 (資產負債表/損益表/現金流量表) 編製與分析；
銀行融資對接、資金池調度與外匯風險控管；
營業稅、營所稅與各類所得扣繳申報實務</t>
        </is>
      </c>
    </row>
    <row r="6" ht="15" customHeight="1" s="64">
      <c r="A6" s="94" t="inlineStr">
        <is>
          <t>A011</t>
        </is>
      </c>
      <c r="B6" s="88" t="inlineStr">
        <is>
          <t>魏淑禎</t>
        </is>
      </c>
      <c r="C6" s="88" t="inlineStr">
        <is>
          <t>技術部／美術組</t>
        </is>
      </c>
      <c r="D6" s="88" t="inlineStr">
        <is>
          <t>部門主管</t>
        </is>
      </c>
      <c r="E6" s="116" t="n">
        <v>43739</v>
      </c>
      <c r="F6" s="88" t="inlineStr">
        <is>
          <t>廖倫豪</t>
        </is>
      </c>
      <c r="G6" s="88" t="n"/>
      <c r="H6" s="88" t="inlineStr">
        <is>
          <t>兩款共用</t>
        </is>
      </c>
      <c r="I6" s="88" t="inlineStr">
        <is>
          <t>美術</t>
        </is>
      </c>
      <c r="J6" s="127" t="inlineStr">
        <is>
          <t>美術組專案排程規劃、派工與資源負載調配 (M03)；
外包美術團隊詢比議價審核與嚴格驗收管制 (M02)；
美術團隊風格適配指導與人才梯度培育 (M04)；
美術組與企劃、技術組之需求規格對齊 (M05)</t>
        </is>
      </c>
      <c r="K6" s="127" t="inlineStr">
        <is>
          <t>台味茶館、客棧紅木桌、宣紙印章國風視覺標準定義；
遊戲 UI/UX 系統規範手冊 (Design System) 制定；
原創角色形象塑造 (如熊貓大俠「潘達」) 與立繪；
外包交付分層源檔 (PSD/FBX/Spine) 像素級驗收</t>
        </is>
      </c>
    </row>
    <row r="7" ht="15" customHeight="1" s="64">
      <c r="A7" s="94" t="inlineStr">
        <is>
          <t>A012</t>
        </is>
      </c>
      <c r="B7" s="88" t="inlineStr">
        <is>
          <t>潘羿彰</t>
        </is>
      </c>
      <c r="C7" s="88" t="inlineStr">
        <is>
          <t>技術部／美術組</t>
        </is>
      </c>
      <c r="D7" s="94" t="inlineStr">
        <is>
          <t>(進階)</t>
        </is>
      </c>
      <c r="E7" s="116" t="n">
        <v>43739</v>
      </c>
      <c r="F7" s="88" t="inlineStr">
        <is>
          <t>魏淑禎</t>
        </is>
      </c>
      <c r="G7" s="88" t="n"/>
      <c r="H7" s="88" t="inlineStr">
        <is>
          <t>兩款共用</t>
        </is>
      </c>
      <c r="I7" s="88" t="inlineStr">
        <is>
          <t>主管代理人</t>
        </is>
      </c>
      <c r="J7" s="127" t="inlineStr">
        <is>
          <t>資深美術模組化資產交接與管理；
動效與特效資源交付進度把關；
協助初階美術進行動畫分層與性能規範校正</t>
        </is>
      </c>
      <c r="K7" s="127" t="inlineStr">
        <is>
          <t>Spine 2D 骨骼動畫綁定、動態權重與骨架優化；
棋牌與寵物遊戲視覺特效 (VFX) 粒子系統設計；
角色動態表情包與打牌動作流暢度調校；
高解析度角色立繪與戰鬥特效製作</t>
        </is>
      </c>
    </row>
    <row r="8" ht="15" customHeight="1" s="64">
      <c r="A8" s="94" t="inlineStr">
        <is>
          <t>A022</t>
        </is>
      </c>
      <c r="B8" s="88" t="inlineStr">
        <is>
          <t>趙柏凱</t>
        </is>
      </c>
      <c r="C8" s="88" t="inlineStr">
        <is>
          <t>技術部／開發組</t>
        </is>
      </c>
      <c r="D8" s="88" t="inlineStr">
        <is>
          <t>部門主管</t>
        </is>
      </c>
      <c r="E8" s="116" t="n">
        <v>43935</v>
      </c>
      <c r="F8" s="88" t="inlineStr">
        <is>
          <t>廖倫豪</t>
        </is>
      </c>
      <c r="G8" s="88" t="n"/>
      <c r="H8" s="88" t="inlineStr">
        <is>
          <t>兩款共用</t>
        </is>
      </c>
      <c r="I8" s="88" t="inlineStr">
        <is>
          <t>技術</t>
        </is>
      </c>
      <c r="J8" s="127" t="inlineStr">
        <is>
          <t>技術組工程師任務派工與 Sprint 週期進度管理 (M03)；
GitLab 代碼審查 (Code Review) 制度建立與落地 (M02)；
初中階工程師技術培訓與梯隊培育 (M04)；
技術組與企劃、測試、維運之跨組協調溝通 (M05)</t>
        </is>
      </c>
      <c r="K8" s="127" t="inlineStr">
        <is>
          <t>棋牌遊戲核心引擎架構與狀態機 (FSM) 設計；
WebSocket 高併發通訊協定與分散式長連線維護；
後端架構 (C++ / Go / Node.js) 與高效能運算；
資料庫連線池調優、防外掛數據封包加密</t>
        </is>
      </c>
    </row>
    <row r="9" ht="15" customHeight="1" s="64">
      <c r="A9" s="94" t="inlineStr">
        <is>
          <t>A033</t>
        </is>
      </c>
      <c r="B9" s="88" t="inlineStr">
        <is>
          <t>曾翊庭</t>
        </is>
      </c>
      <c r="C9" s="88" t="inlineStr">
        <is>
          <t>企劃暨營運推廣</t>
        </is>
      </c>
      <c r="D9" s="94" t="inlineStr">
        <is>
          <t>(進階)</t>
        </is>
      </c>
      <c r="E9" s="116" t="n">
        <v>44244</v>
      </c>
      <c r="F9" s="88" t="inlineStr">
        <is>
          <t>張哲豪</t>
        </is>
      </c>
      <c r="G9" s="88" t="n"/>
      <c r="H9" s="88" t="inlineStr">
        <is>
          <t>寵物遊戲（代理人 ． 兼任測試組）</t>
        </is>
      </c>
      <c r="I9" s="88" t="inlineStr">
        <is>
          <t>代理人</t>
        </is>
      </c>
      <c r="J9" s="127" t="inlineStr">
        <is>
          <t>企劃部正職；寵物遊戲營運活動上線排程進度追蹤；兼任研發部測試組之交叉驗收協同；社群玩家熱點需求彙總與企劃提案</t>
        </is>
      </c>
      <c r="K9" s="127" t="inlineStr">
        <is>
          <t>寵物養成數值配置與關卡數值調整；日常營運活動參數上架與驗證測試；兼任跨平台功能驗收與使用者體驗 (UX) 測試；營運數據日報產出與異常數值波動排查</t>
        </is>
      </c>
    </row>
    <row r="10" ht="15" customHeight="1" s="64">
      <c r="A10" s="94" t="inlineStr">
        <is>
          <t>A049</t>
        </is>
      </c>
      <c r="B10" s="88" t="inlineStr">
        <is>
          <t>凃睿修</t>
        </is>
      </c>
      <c r="C10" s="88" t="inlineStr">
        <is>
          <t>技術部／測試組</t>
        </is>
      </c>
      <c r="D10" s="88" t="inlineStr">
        <is>
          <t>部門主管</t>
        </is>
      </c>
      <c r="E10" s="116" t="n">
        <v>44629</v>
      </c>
      <c r="F10" s="88" t="inlineStr">
        <is>
          <t>廖倫豪</t>
        </is>
      </c>
      <c r="G10" s="88" t="n"/>
      <c r="H10" s="88" t="inlineStr">
        <is>
          <t>兩款共用</t>
        </is>
      </c>
      <c r="I10" s="88" t="inlineStr">
        <is>
          <t>測試</t>
        </is>
      </c>
      <c r="J10" s="127" t="inlineStr">
        <is>
          <t>測試組測試計畫 (Test Plan) 擬定與時程規劃 (M03)；
發版品質守門人 (Quality Gate)，Blocker 歸零審定 (M02)；
缺陷管理流程 (Bug Lifecycle) 規範與落實；
跨組對齊技術、企劃之問題重現與驗收標準 (M05)</t>
        </is>
      </c>
      <c r="K10" s="127" t="inlineStr">
        <is>
          <t>棋牌核心麻將算番、碰槓胡牌局邏輯邊界測試；
跨平台 (iOS/Android/模擬器) 相容性與壓力負載測試；
弱網模擬 (Packet Loss/Delay) 與斷線重連健全性驗證；
Jira/TestRail 測試用例矩陣編寫與自動化腳本應用</t>
        </is>
      </c>
    </row>
    <row r="11" ht="15" customHeight="1" s="64">
      <c r="A11" s="94" t="inlineStr">
        <is>
          <t>A051</t>
        </is>
      </c>
      <c r="B11" s="88" t="inlineStr">
        <is>
          <t>林秉韶</t>
        </is>
      </c>
      <c r="C11" s="88" t="inlineStr">
        <is>
          <t>技術部／開發組</t>
        </is>
      </c>
      <c r="D11" s="94" t="inlineStr">
        <is>
          <t>(進階)</t>
        </is>
      </c>
      <c r="E11" s="116" t="n">
        <v>44648</v>
      </c>
      <c r="F11" s="88" t="inlineStr">
        <is>
          <t>趙柏凱</t>
        </is>
      </c>
      <c r="G11" s="88" t="n"/>
      <c r="H11" s="88" t="inlineStr">
        <is>
          <t>兩款共用</t>
        </is>
      </c>
      <c r="I11" s="88" t="inlineStr">
        <is>
          <t>主管代理人</t>
        </is>
      </c>
      <c r="J11" s="127" t="inlineStr">
        <is>
          <t>前端模組化交付時程掌控與自主管理；
跨平台客戶端發版檢查清單 (Checklist) 落實；
協助初階工程師釐清前端渲染與邏輯異常</t>
        </is>
      </c>
      <c r="K11" s="127" t="inlineStr">
        <is>
          <t>Cocos Creator / Unity 前端跨平台開發；
iOS / Android / WebGL 多端渲染與適配調優；
客戶端熱更新 (Hot Update) 機制與資源加載優化；
WebSocket 前端重連、斷線續玩與即時對弈平滑化</t>
        </is>
      </c>
    </row>
    <row r="12" ht="15" customHeight="1" s="64">
      <c r="A12" s="94" t="inlineStr">
        <is>
          <t>A057</t>
        </is>
      </c>
      <c r="B12" s="88" t="inlineStr">
        <is>
          <t>陳俞任</t>
        </is>
      </c>
      <c r="C12" s="88" t="inlineStr">
        <is>
          <t>技術部／美術組</t>
        </is>
      </c>
      <c r="D12" s="94" t="inlineStr">
        <is>
          <t>(進階)</t>
        </is>
      </c>
      <c r="E12" s="116" t="n">
        <v>44684</v>
      </c>
      <c r="F12" s="88" t="inlineStr">
        <is>
          <t>魏淑禎</t>
        </is>
      </c>
      <c r="G12" s="88" t="n"/>
      <c r="H12" s="88" t="inlineStr">
        <is>
          <t>兩款共用</t>
        </is>
      </c>
      <c r="I12" s="88" t="inlineStr">
        <is>
          <t>美術</t>
        </is>
      </c>
      <c r="J12" s="127" t="inlineStr">
        <is>
          <t>介面 UI 模組規範化管理與版本同步；
美術資源命名規範檢查與產出追蹤；
與前端工程師對齊 UI 標註與切圖資產</t>
        </is>
      </c>
      <c r="K12" s="127" t="inlineStr">
        <is>
          <t>遊戲主介面、彈窗、選單 UI/UX 全套視覺設計；
多螢幕長寬比 (16:9 / 20:9 / 平板) 介面適配切圖；
棋牌牌桌、卡牌牌面、籌碼等元件高精度刻畫；
向量圖標 (Icon) 與動態按鈕回饋設計</t>
        </is>
      </c>
    </row>
    <row r="13" ht="15" customHeight="1" s="64">
      <c r="A13" s="94" t="inlineStr">
        <is>
          <t>A060</t>
        </is>
      </c>
      <c r="B13" s="88" t="inlineStr">
        <is>
          <t>張哲豪</t>
        </is>
      </c>
      <c r="C13" s="88" t="inlineStr">
        <is>
          <t>企劃暨營運推廣</t>
        </is>
      </c>
      <c r="D13" s="88" t="inlineStr">
        <is>
          <t>部門主管</t>
        </is>
      </c>
      <c r="E13" s="116" t="n">
        <v>44805</v>
      </c>
      <c r="F13" s="88" t="inlineStr">
        <is>
          <t>廖倫豪</t>
        </is>
      </c>
      <c r="G13" s="88" t="n"/>
      <c r="H13" s="88" t="inlineStr">
        <is>
          <t>寵物遊戲</t>
        </is>
      </c>
      <c r="I13" s="88" t="inlineStr">
        <is>
          <t>企劃、營運</t>
        </is>
      </c>
      <c r="J13" s="127" t="inlineStr">
        <is>
          <t>寵物養成遊戲產品路線圖 (Roadmap) 規劃與掌控 (M01/M03)；
寵物產品線跨職能 (研發/美術/營運) 敏捷協調 (M05)；
活動檔期排程審定與營收預測目標達成管控 (M02)；
企劃部人才培育與遊戲數值平衡性審核 (M04)</t>
        </is>
      </c>
      <c r="K13" s="127" t="inlineStr">
        <is>
          <t>寵物養成核心玩法循環 (Core Loop) 設計；
遊戲經濟系統平衡與數值模型設計 (Excel VBA/Python)；
營運付費活動策劃與留存指標 (DAU/ARPPU/LTV) 分析；
企劃需求規格書 (GDD) 與功能流程圖撰寫</t>
        </is>
      </c>
    </row>
    <row r="14" ht="15" customHeight="1" s="64">
      <c r="A14" s="94" t="inlineStr">
        <is>
          <t>A066</t>
        </is>
      </c>
      <c r="B14" s="88" t="inlineStr">
        <is>
          <t>鄭元翔</t>
        </is>
      </c>
      <c r="C14" s="88" t="inlineStr">
        <is>
          <t>技術部／資訊維運組</t>
        </is>
      </c>
      <c r="D14" s="94" t="inlineStr">
        <is>
          <t>部門主管</t>
        </is>
      </c>
      <c r="E14" s="116" t="n">
        <v>44993</v>
      </c>
      <c r="F14" s="88" t="inlineStr">
        <is>
          <t>趙柏凱</t>
        </is>
      </c>
      <c r="G14" s="88" t="n"/>
      <c r="H14" s="88" t="inlineStr">
        <is>
          <t>兩款共用、新遊戲平台底層</t>
        </is>
      </c>
      <c r="I14" s="88" t="inlineStr">
        <is>
          <t>技術、數據、新遊戲平台底層</t>
        </is>
      </c>
      <c r="J14" s="127" t="inlineStr">
        <is>
          <t>資訊維運、雲端基礎設施與數據資產管理 (M01/M03)；
全公司資安事件應變指揮與權限審計 (M02)；
維運組工作排程與新遊戲平台架構期程掌控；
跨組系統資源與網路頻寬協調 (M05)</t>
        </is>
      </c>
      <c r="K14" s="127" t="inlineStr">
        <is>
          <t>新遊戲平台底層架構設計與分散式服務叢集；
Linux 系統高可用 (HA/DR)、網路負載平衡與防火牆；
大數據分析 (Big Data)、ETL 數據管線與 BI 營運看板；
網路安全防護、弱點掃描 (SAST/DAST) 與權限管制</t>
        </is>
      </c>
    </row>
    <row r="15" ht="15" customHeight="1" s="64">
      <c r="A15" s="94" t="inlineStr">
        <is>
          <t>A068</t>
        </is>
      </c>
      <c r="B15" s="88" t="inlineStr">
        <is>
          <t>張丞佑</t>
        </is>
      </c>
      <c r="C15" s="88" t="inlineStr">
        <is>
          <t>技術部／美術組</t>
        </is>
      </c>
      <c r="D15" s="94" t="inlineStr">
        <is>
          <t>(基礎)</t>
        </is>
      </c>
      <c r="E15" s="116" t="n">
        <v>45352</v>
      </c>
      <c r="F15" s="88" t="inlineStr">
        <is>
          <t>魏淑禎</t>
        </is>
      </c>
      <c r="G15" s="88" t="n"/>
      <c r="H15" s="88" t="inlineStr">
        <is>
          <t>兩款共用</t>
        </is>
      </c>
      <c r="I15" s="88" t="inlineStr">
        <is>
          <t>美術</t>
        </is>
      </c>
      <c r="J15" s="127" t="inlineStr">
        <is>
          <t>個人美術製作工時自主回報與進度對齊；
素材庫分類與存檔歸檔自主管理；
依主管反饋即時微調修改與交付</t>
        </is>
      </c>
      <c r="K15" s="127" t="inlineStr">
        <is>
          <t>遊戲道具、外觀小物件與社群圖素繪製；
基礎 2D 插畫與行銷宣傳長條圖排版；
既有原畫之分層切圖、去背與色調調整；
宣傳 Banner 與活動預告素材排版製作</t>
        </is>
      </c>
    </row>
    <row r="16" ht="29.85" customHeight="1" s="64">
      <c r="A16" s="94" t="inlineStr">
        <is>
          <t>A071</t>
        </is>
      </c>
      <c r="B16" s="88" t="inlineStr">
        <is>
          <t>謝欣燁</t>
        </is>
      </c>
      <c r="C16" s="88" t="inlineStr">
        <is>
          <t>客服部</t>
        </is>
      </c>
      <c r="D16" s="88" t="inlineStr">
        <is>
          <t>部門主管</t>
        </is>
      </c>
      <c r="E16" s="116" t="n">
        <v>45572</v>
      </c>
      <c r="F16" s="88" t="inlineStr">
        <is>
          <t>廖倫豪</t>
        </is>
      </c>
      <c r="G16" s="88" t="n"/>
      <c r="H16" s="88" t="inlineStr">
        <is>
          <t>鬥陣歡樂城</t>
        </is>
      </c>
      <c r="I16" s="88" t="inlineStr">
        <is>
          <t>企劃、營運、客服</t>
        </is>
      </c>
      <c r="J16" s="127" t="inlineStr">
        <is>
          <t>客服團隊 24/7 輪班調度與值勤品質檢核 (M01/M03)；
重大客訴爭議與合規危機處理升級機制建立 (M02)；
鬥陣歡樂城產品線跨部門營運協同與排程回饋 (M05)；
客服新進人員 SOP 培訓與知識庫沉澱 (M04)</t>
        </is>
      </c>
      <c r="K16" s="127" t="inlineStr">
        <is>
          <t>棋牌平台玩家社群生態營運與公會治理；
客訴事件根本原因 (RCA) 歸納與改善建議提案；
同 IP / 同 GPS 夥牌作弊與異常勝率數據審核仲裁；
客服 CRM 系統管理、滿意度指標與 SLA 時效分析</t>
        </is>
      </c>
    </row>
    <row r="17" ht="15" customHeight="1" s="64">
      <c r="A17" s="94" t="inlineStr">
        <is>
          <t>A076</t>
        </is>
      </c>
      <c r="B17" s="88" t="inlineStr">
        <is>
          <t>楊芮郗</t>
        </is>
      </c>
      <c r="C17" s="88" t="inlineStr">
        <is>
          <t>管理部／人資總務組</t>
        </is>
      </c>
      <c r="D17" s="94" t="inlineStr">
        <is>
          <t>(進階)</t>
        </is>
      </c>
      <c r="E17" s="116" t="n">
        <v>45762</v>
      </c>
      <c r="F17" s="88" t="inlineStr">
        <is>
          <t>陳建州</t>
        </is>
      </c>
      <c r="G17" s="88" t="n"/>
      <c r="H17" s="88" t="inlineStr">
        <is>
          <t>公司共用</t>
        </is>
      </c>
      <c r="I17" s="88" t="inlineStr">
        <is>
          <t>主管代理人</t>
        </is>
      </c>
      <c r="J17" s="127" t="inlineStr">
        <is>
          <t>人資總務組主管業務職務代理與日常行政協調；跨部門行政庶務追蹤與外部物業窗口對接；總務採購進度與交期控管、考勤異常即時跟催</t>
        </is>
      </c>
      <c r="K17" s="127" t="inlineStr">
        <is>
          <t>人資考勤假勤審核與出缺勤作業代理；員工出工證明申辦、勞健保作業代理支援；庶務用品比價採購、辦公耗材安全庫存盤點；辦公環境維護修繕對接與行政費用請款報核</t>
        </is>
      </c>
    </row>
    <row r="18" ht="15" customHeight="1" s="64">
      <c r="A18" s="94" t="inlineStr">
        <is>
          <t>A081</t>
        </is>
      </c>
      <c r="B18" s="88" t="inlineStr">
        <is>
          <t>張晉杰</t>
        </is>
      </c>
      <c r="C18" s="88" t="inlineStr">
        <is>
          <t>客服部</t>
        </is>
      </c>
      <c r="D18" s="94" t="inlineStr">
        <is>
          <t>(基礎)</t>
        </is>
      </c>
      <c r="E18" s="116" t="n">
        <v>45943</v>
      </c>
      <c r="F18" s="88" t="inlineStr">
        <is>
          <t>謝欣燁</t>
        </is>
      </c>
      <c r="G18" s="88" t="n"/>
      <c r="H18" s="88" t="inlineStr">
        <is>
          <t>兩款共用</t>
        </is>
      </c>
      <c r="I18" s="88" t="inlineStr">
        <is>
          <t>主管代理人</t>
        </is>
      </c>
      <c r="J18" s="127" t="inlineStr">
        <is>
          <t>輪值班表出勤準時性與工作紀律自主管理；
緊急系統故障或伺服器卡頓第一時間向上提報；
服務應答合規性與服務禮儀遵循</t>
        </is>
      </c>
      <c r="K18" s="127" t="inlineStr">
        <is>
          <t>在線即時文字客服應答與情緒安撫技巧；
玩家儲值問題、房卡入帳延遲排查與處理；
牌局異常斷線投訴登記與日誌追溯協助；
標準應對話術庫 (FAQ) 熟練運用與反饋</t>
        </is>
      </c>
    </row>
    <row r="19" ht="15" customHeight="1" s="64">
      <c r="A19" s="94" t="inlineStr">
        <is>
          <t>A082</t>
        </is>
      </c>
      <c r="B19" s="88" t="inlineStr">
        <is>
          <t>游玉霜</t>
        </is>
      </c>
      <c r="C19" s="88" t="inlineStr">
        <is>
          <t>財務部</t>
        </is>
      </c>
      <c r="D19" s="94" t="inlineStr">
        <is>
          <t>(基礎)</t>
        </is>
      </c>
      <c r="E19" s="116" t="n">
        <v>46048</v>
      </c>
      <c r="F19" s="88" t="inlineStr">
        <is>
          <t>王慈汶</t>
        </is>
      </c>
      <c r="G19" s="88" t="n"/>
      <c r="H19" s="88" t="inlineStr">
        <is>
          <t>公司共用</t>
        </is>
      </c>
      <c r="I19" s="88" t="inlineStr">
        <is>
          <t>主管代理人</t>
        </is>
      </c>
      <c r="J19" s="127" t="inlineStr">
        <is>
          <t>日常出納作業付款時效自律與憑證核對；
庫存零用金日常保管與帳實相符查驗；
出納作業遵守 SoD 牽制，不碰審核記帳</t>
        </is>
      </c>
      <c r="K19" s="127" t="inlineStr">
        <is>
          <t>網銀付款批次上傳、出納匯款與支票開立；
日常傳票開立與原始憑證審核整理；
銀行存款日計表編製與銀行調節表核對；
金流平台與代理商進卡款項逐筆入帳核銷</t>
        </is>
      </c>
    </row>
    <row r="20" ht="15" customHeight="1" s="64">
      <c r="A20" s="94" t="inlineStr">
        <is>
          <t>A084</t>
        </is>
      </c>
      <c r="B20" s="88" t="inlineStr">
        <is>
          <t>賴盈築</t>
        </is>
      </c>
      <c r="C20" s="88" t="inlineStr">
        <is>
          <t>財務部</t>
        </is>
      </c>
      <c r="D20" s="94" t="inlineStr">
        <is>
          <t>(進階)</t>
        </is>
      </c>
      <c r="E20" s="116" t="n">
        <v>46111</v>
      </c>
      <c r="F20" s="88" t="inlineStr">
        <is>
          <t>王慈汶</t>
        </is>
      </c>
      <c r="G20" s="88" t="n"/>
      <c r="H20" s="88" t="inlineStr">
        <is>
          <t>公司共用</t>
        </is>
      </c>
      <c r="I20" s="88" t="inlineStr">
        <is>
          <t>財務</t>
        </is>
      </c>
      <c r="J20" s="127" t="inlineStr">
        <is>
          <t>稅務申報時限排程管理與外部會計師對接；
月結帳務結算時效掌控與異常傳票查核；
協助初階會計傳票審查與入帳指導</t>
        </is>
      </c>
      <c r="K20" s="127" t="inlineStr">
        <is>
          <t>雙月份營業稅 (401 申報書) 與各類扣繳申報；
房卡預售款合約負債攤提與月度營收結轉會計處理；
薪資計算、加班費核算與勞健保代扣繳申報；
固定資產折舊攤提與無形資產會計處理</t>
        </is>
      </c>
    </row>
    <row r="21" ht="15" customHeight="1" s="64">
      <c r="A21" s="94" t="inlineStr">
        <is>
          <t>A086</t>
        </is>
      </c>
      <c r="B21" s="88" t="inlineStr">
        <is>
          <t>耿舜儀</t>
        </is>
      </c>
      <c r="C21" s="88" t="inlineStr">
        <is>
          <t>客服部</t>
        </is>
      </c>
      <c r="D21" s="94" t="inlineStr">
        <is>
          <t>(基礎)</t>
        </is>
      </c>
      <c r="E21" s="116" t="n">
        <v>46174</v>
      </c>
      <c r="F21" s="88" t="inlineStr">
        <is>
          <t>謝欣燁</t>
        </is>
      </c>
      <c r="G21" s="88" t="n"/>
      <c r="H21" s="88" t="inlineStr">
        <is>
          <t>兩款共用</t>
        </is>
      </c>
      <c r="I21" s="88" t="inlineStr">
        <is>
          <t>客服</t>
        </is>
      </c>
      <c r="J21" s="127" t="inlineStr">
        <is>
          <t>班次輪替事項完整交接與待辦追蹤；
個人工單處理時效與結案率自主達標；
配合節慶活動高併發期間之彈性支援</t>
        </is>
      </c>
      <c r="K21" s="127" t="inlineStr">
        <is>
          <t>客訴工單系統分類、派發與進度回溯；
代理商與俱樂部會長常見商務諮詢解答；
可疑作弊帳號與違規暱稱通報登記；
玩家反饋意見分類標記與週度摘要匯總</t>
        </is>
      </c>
    </row>
    <row r="22" ht="15.75" customHeight="1" s="64">
      <c r="A22" s="94" t="inlineStr">
        <is>
          <t>A087</t>
        </is>
      </c>
      <c r="B22" s="88" t="inlineStr">
        <is>
          <t>印厚承</t>
        </is>
      </c>
      <c r="C22" s="88" t="inlineStr">
        <is>
          <t>管理部／人資總務組</t>
        </is>
      </c>
      <c r="D22" s="94" t="inlineStr">
        <is>
          <t>(進階)</t>
        </is>
      </c>
      <c r="E22" s="116" t="n">
        <v>46174</v>
      </c>
      <c r="F22" s="88" t="inlineStr">
        <is>
          <t>陳建州</t>
        </is>
      </c>
      <c r="G22" s="88" t="n"/>
      <c r="H22" s="88" t="inlineStr">
        <is>
          <t>公司共用</t>
        </is>
      </c>
      <c r="I22" s="88" t="inlineStr">
        <is>
          <t>管理</t>
        </is>
      </c>
      <c r="J22" s="127" t="inlineStr">
        <is>
          <t>固定資產年度盤點計畫排程與協調推進；
法規合約檔案庫建檔與移交管理；
總務行政 SOP 流程優化與表單歸檔</t>
        </is>
      </c>
      <c r="K22" s="127" t="inlineStr">
        <is>
          <t>採購合約審查、非資訊與資訊設備資產標籤化；
供應商合格名冊管理與定期考核評鑑；
總務資產報廢、移轉與折舊殘值核算對帳；
行政檔案電子化歸檔與調閱保密管制</t>
        </is>
      </c>
    </row>
    <row r="23" ht="15.75" customHeight="1" s="64">
      <c r="A23" s="94" t="inlineStr">
        <is>
          <t>A088</t>
        </is>
      </c>
      <c r="B23" s="88" t="inlineStr">
        <is>
          <t>王韻庭</t>
        </is>
      </c>
      <c r="C23" s="88" t="inlineStr">
        <is>
          <t>管理部／人資總務組</t>
        </is>
      </c>
      <c r="D23" s="94" t="inlineStr">
        <is>
          <t>(基礎)</t>
        </is>
      </c>
      <c r="E23" s="116" t="n">
        <v>46175</v>
      </c>
      <c r="F23" s="88" t="inlineStr">
        <is>
          <t>陳建州</t>
        </is>
      </c>
      <c r="G23" s="88" t="n"/>
      <c r="H23" s="88" t="inlineStr">
        <is>
          <t>公司共用</t>
        </is>
      </c>
      <c r="I23" s="88" t="inlineStr">
        <is>
          <t>管理</t>
        </is>
      </c>
      <c r="J23" s="127" t="inlineStr">
        <is>
          <t>前台接待標準作業程序落實與環境巡檢；
訪客進出登記保密合約簽署落實；
會議室排程衝突協調與行政支援</t>
        </is>
      </c>
      <c r="K23" s="127" t="inlineStr">
        <is>
          <t>公司總機電話接聽與專業轉接；
國內外郵件、快遞包裹簽收與分發；
訪客門禁卡發放與會議接待服務；
一般日常行政文書處理與出納零用金輔助</t>
        </is>
      </c>
    </row>
    <row r="24" ht="15.75" customHeight="1" s="64">
      <c r="A24" s="94" t="inlineStr">
        <is>
          <t>A090</t>
        </is>
      </c>
      <c r="B24" s="88" t="inlineStr">
        <is>
          <t>吳玟儀</t>
        </is>
      </c>
      <c r="C24" s="88" t="inlineStr">
        <is>
          <t>客服部</t>
        </is>
      </c>
      <c r="D24" s="94" t="inlineStr">
        <is>
          <t>(基礎)</t>
        </is>
      </c>
      <c r="E24" s="116" t="n">
        <v>46259</v>
      </c>
      <c r="F24" s="88" t="inlineStr">
        <is>
          <t>謝欣燁</t>
        </is>
      </c>
      <c r="G24" s="88" t="n"/>
      <c r="H24" s="88" t="inlineStr">
        <is>
          <t>兩款共用</t>
        </is>
      </c>
      <c r="I24" s="88" t="inlineStr">
        <is>
          <t>客服</t>
        </is>
      </c>
      <c r="J24" s="127" t="inlineStr">
        <is>
          <t>客服排班值勤與工作交接紀律遵循；
VIP 玩家重要意見迅速呈報主管；
客服服務規範與話術手冊定期學習</t>
        </is>
      </c>
      <c r="K24" s="127" t="inlineStr">
        <is>
          <t>社群媒體 (FB / LINE 官方帳號) 留言維護與互動；
休閒寵物遊戲玩家問題導引與反饋蒐集；
帳號綁定、換機重登與驗證碼疑難排解；
每日客服諮詢案件分類統計報表填報</t>
        </is>
      </c>
    </row>
    <row r="25" ht="15.75" customHeight="1" s="64">
      <c r="A25" s="94" t="inlineStr">
        <is>
          <t>B029</t>
        </is>
      </c>
      <c r="B25" s="88" t="inlineStr">
        <is>
          <t>林琮緯</t>
        </is>
      </c>
      <c r="C25" s="88" t="inlineStr">
        <is>
          <t>技術部／資訊維運組</t>
        </is>
      </c>
      <c r="D25" s="94" t="inlineStr">
        <is>
          <t>(基礎)</t>
        </is>
      </c>
      <c r="E25" s="116" t="n">
        <v>45964</v>
      </c>
      <c r="F25" s="88" t="inlineStr">
        <is>
          <t>趙柏凱</t>
        </is>
      </c>
      <c r="G25" s="88" t="n"/>
      <c r="H25" s="88" t="inlineStr">
        <is>
          <t>兩款共用、新遊戲平台底層代理人</t>
        </is>
      </c>
      <c r="I25" s="88" t="inlineStr">
        <is>
          <t>主管代理人</t>
        </is>
      </c>
      <c r="J25" s="127" t="inlineStr">
        <is>
          <t>新遊戲平台底層部署進度對齊與跨組同步；
CI/CD 自動化建置流水線發布品質規範遵守；
維運事故與生產環境警報第一時間通報</t>
        </is>
      </c>
      <c r="K25" s="127" t="inlineStr">
        <is>
          <t>新遊戲平台底層基礎設施與 API 服務建置；
Kubernetes 容器化編排、Helm Charts 部署維護；
GitLab CI/CD 自動化發布管線建置；
兼任技術組後端開發、SAST 靜態弱點修復</t>
        </is>
      </c>
    </row>
    <row r="26" ht="15.75" customHeight="1" s="64">
      <c r="A26" s="94" t="inlineStr">
        <is>
          <t>B030</t>
        </is>
      </c>
      <c r="B26" s="88" t="inlineStr">
        <is>
          <t>蕭智瑜</t>
        </is>
      </c>
      <c r="C26" s="88" t="inlineStr">
        <is>
          <t>技術部／測試組</t>
        </is>
      </c>
      <c r="D26" s="94" t="inlineStr">
        <is>
          <t>(基礎)</t>
        </is>
      </c>
      <c r="E26" s="116" t="n">
        <v>46307</v>
      </c>
      <c r="F26" s="88" t="inlineStr">
        <is>
          <t>凃睿修</t>
        </is>
      </c>
      <c r="G26" s="88" t="n"/>
      <c r="H26" s="88" t="inlineStr">
        <is>
          <t>兩款共用</t>
        </is>
      </c>
      <c r="I26" s="88" t="inlineStr">
        <is>
          <t>主管代理人</t>
        </is>
      </c>
      <c r="J26" s="127" t="inlineStr">
        <is>
          <t>測試執行進度日報提交與缺陷回報；
測試用例 (Test Cases) 覆蓋率自主確認；
與研發工程師進行缺陷重現步驟溝通</t>
        </is>
      </c>
      <c r="K26" s="127" t="inlineStr">
        <is>
          <t>多端客戶端黑箱功能測試與 UI 走查；
各型號實機回歸測試 (Regression Testing)；
遊戲充值、房卡扣減流程驗證與數值檢查；
詳細 Bug 報告撰寫 (重現步驟、Log 擷取與截圖)</t>
        </is>
      </c>
    </row>
    <row r="27" ht="15.75" customHeight="1" s="64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</row>
    <row r="28" ht="15.75" customHeight="1" s="64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</row>
    <row r="29" ht="15.75" customHeight="1" s="64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</row>
    <row r="30" ht="15.75" customHeight="1" s="64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</row>
    <row r="31" ht="15.75" customHeight="1" s="64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117" t="n"/>
      <c r="K31" s="117" t="n"/>
      <c r="L31" s="118" t="n"/>
      <c r="M31" s="118" t="n"/>
      <c r="N31" s="118" t="n"/>
      <c r="O31" s="118" t="n"/>
      <c r="P31" s="118" t="n"/>
    </row>
    <row r="32" ht="15.75" customHeight="1" s="64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117" t="n"/>
      <c r="M32" s="119" t="n"/>
      <c r="N32" s="118" t="n"/>
      <c r="O32" s="118" t="n"/>
      <c r="P32" s="118" t="n"/>
    </row>
    <row r="33" ht="15.75" customHeight="1" s="64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</row>
    <row r="34" ht="15.75" customHeight="1" s="64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</row>
    <row r="35" ht="15.75" customHeight="1" s="64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</row>
    <row r="36" ht="15.75" customHeight="1" s="64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</row>
    <row r="37" ht="15.75" customHeight="1" s="64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</row>
    <row r="38" ht="15.75" customHeight="1" s="64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117" t="n"/>
      <c r="L38" s="118" t="n"/>
      <c r="M38" s="118" t="n"/>
      <c r="N38" s="117" t="n"/>
      <c r="P38" s="118" t="n"/>
    </row>
    <row r="39" ht="15.75" customHeight="1" s="64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117" t="n"/>
      <c r="K39" s="118" t="n"/>
      <c r="L39" s="118" t="n"/>
      <c r="M39" s="118" t="n"/>
    </row>
    <row r="40" ht="15.75" customHeight="1" s="64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117" t="n"/>
      <c r="M40" s="118" t="n"/>
      <c r="O40" s="118" t="n"/>
    </row>
    <row r="41" ht="15.75" customHeight="1" s="64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117" t="n"/>
      <c r="M41" s="118" t="n"/>
      <c r="O41" s="118" t="n"/>
      <c r="P41" s="118" t="n"/>
    </row>
    <row r="42" ht="15.75" customHeight="1" s="64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117" t="n"/>
      <c r="M42" s="118" t="n"/>
      <c r="O42" s="118" t="n"/>
      <c r="P42" s="118" t="n"/>
    </row>
    <row r="43" ht="15.75" customHeight="1" s="64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117" t="n"/>
      <c r="M43" s="118" t="n"/>
      <c r="N43" s="118" t="n"/>
      <c r="O43" s="118" t="n"/>
      <c r="P43" s="118" t="n"/>
    </row>
    <row r="44" ht="15.75" customHeight="1" s="64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</row>
    <row r="45" ht="15.75" customHeight="1" s="64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</row>
    <row r="46" ht="15.75" customHeight="1" s="64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</row>
    <row r="47" ht="15.75" customHeight="1" s="64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</row>
    <row r="48" ht="15.75" customHeight="1" s="64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</row>
    <row r="49" ht="15.75" customHeight="1" s="64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</row>
    <row r="50" ht="15.75" customHeight="1" s="64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</row>
    <row r="51" ht="15.75" customHeight="1" s="64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</row>
    <row r="52" ht="15.75" customHeight="1" s="64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</row>
    <row r="53" ht="15.75" customHeight="1" s="64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</row>
    <row r="54" ht="15.75" customHeight="1" s="64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</row>
    <row r="55" ht="15.75" customHeight="1" s="64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</row>
    <row r="56" ht="15.75" customHeight="1" s="64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</row>
    <row r="57" ht="15.75" customHeight="1" s="64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</row>
    <row r="58" ht="15.75" customHeight="1" s="64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</row>
    <row r="59" ht="15.75" customHeight="1" s="64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</row>
    <row r="60" ht="15.75" customHeight="1" s="64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</row>
    <row r="61" ht="15.75" customHeight="1" s="64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</row>
    <row r="62" ht="15.75" customHeight="1" s="64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</row>
    <row r="63" ht="15.75" customHeight="1" s="64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</row>
    <row r="64" ht="15.75" customHeight="1" s="64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</row>
    <row r="65" ht="15.75" customHeight="1" s="64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</row>
    <row r="66" ht="15.75" customHeight="1" s="64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</row>
    <row r="67" ht="15.75" customHeight="1" s="64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</row>
    <row r="68" ht="15.75" customHeight="1" s="64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</row>
    <row r="69" ht="15.75" customHeight="1" s="64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</row>
    <row r="70" ht="15.75" customHeight="1" s="64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</row>
    <row r="71" ht="15.75" customHeight="1" s="64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</row>
    <row r="72" ht="15.75" customHeight="1" s="64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</row>
    <row r="73" ht="15.75" customHeight="1" s="64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</row>
    <row r="74" ht="15.75" customHeight="1" s="64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</row>
    <row r="75" ht="15.75" customHeight="1" s="64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</row>
    <row r="76" ht="15.75" customHeight="1" s="64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</row>
    <row r="77" ht="15.75" customHeight="1" s="64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</row>
    <row r="78" ht="15.75" customHeight="1" s="64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</row>
    <row r="79" ht="15.75" customHeight="1" s="64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</row>
    <row r="80" ht="15.75" customHeight="1" s="64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</row>
    <row r="81" ht="15.75" customHeight="1" s="64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</row>
    <row r="82" ht="15.75" customHeight="1" s="64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</row>
    <row r="83" ht="15.75" customHeight="1" s="64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</row>
    <row r="84" ht="15.75" customHeight="1" s="64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</row>
    <row r="85" ht="15.75" customHeight="1" s="64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</row>
    <row r="86" ht="15.75" customHeight="1" s="64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</row>
    <row r="87" ht="15.75" customHeight="1" s="64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</row>
    <row r="88" ht="15.75" customHeight="1" s="64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</row>
    <row r="89" ht="15.75" customHeight="1" s="64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</row>
    <row r="90" ht="15.75" customHeight="1" s="64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</row>
    <row r="91" ht="15.75" customHeight="1" s="64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</row>
    <row r="92" ht="15.75" customHeight="1" s="64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</row>
    <row r="93" ht="15.75" customHeight="1" s="64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</row>
    <row r="94" ht="15.75" customHeight="1" s="64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</row>
    <row r="95" ht="15.75" customHeight="1" s="64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</row>
    <row r="96" ht="15.75" customHeight="1" s="64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</row>
    <row r="97" ht="15.75" customHeight="1" s="64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</row>
    <row r="98" ht="15.75" customHeight="1" s="64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</row>
    <row r="99" ht="15.75" customHeight="1" s="64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</row>
    <row r="100" ht="15.75" customHeight="1" s="64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</row>
    <row r="101" ht="15.75" customHeight="1" s="64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</row>
    <row r="102" ht="15.75" customHeight="1" s="64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</row>
    <row r="103" ht="15.75" customHeight="1" s="64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</row>
    <row r="104" ht="15.75" customHeight="1" s="64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</row>
    <row r="105" ht="15.75" customHeight="1" s="64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</row>
    <row r="106" ht="15.75" customHeight="1" s="64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</row>
    <row r="107" ht="15.75" customHeight="1" s="64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</row>
    <row r="108" ht="15.75" customHeight="1" s="64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</row>
    <row r="109" ht="15.75" customHeight="1" s="64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</row>
    <row r="110" ht="15.75" customHeight="1" s="64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</row>
    <row r="111" ht="15.75" customHeight="1" s="64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</row>
    <row r="112" ht="15.75" customHeight="1" s="64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</row>
    <row r="113" ht="15.75" customHeight="1" s="64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</row>
    <row r="114" ht="15.75" customHeight="1" s="64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</row>
    <row r="115" ht="15.75" customHeight="1" s="64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</row>
    <row r="116" ht="15.75" customHeight="1" s="64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</row>
    <row r="117" ht="15.75" customHeight="1" s="64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</row>
    <row r="118" ht="15.75" customHeight="1" s="64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</row>
    <row r="119" ht="15.75" customHeight="1" s="64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</row>
    <row r="120" ht="15.75" customHeight="1" s="64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</row>
    <row r="121" ht="15.75" customHeight="1" s="64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</row>
    <row r="122" ht="15.75" customHeight="1" s="64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</row>
    <row r="123" ht="15.75" customHeight="1" s="64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</row>
    <row r="124" ht="15.75" customHeight="1" s="64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</row>
    <row r="125" ht="15.75" customHeight="1" s="64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</row>
    <row r="126" ht="15.75" customHeight="1" s="64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</row>
    <row r="127" ht="15.75" customHeight="1" s="64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</row>
    <row r="128" ht="15.75" customHeight="1" s="64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</row>
    <row r="129" ht="15.75" customHeight="1" s="64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</row>
    <row r="130" ht="15.75" customHeight="1" s="64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</row>
    <row r="131" ht="15.75" customHeight="1" s="64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</row>
    <row r="132" ht="15.75" customHeight="1" s="64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</row>
    <row r="133" ht="15.75" customHeight="1" s="64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</row>
    <row r="134" ht="15.75" customHeight="1" s="64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</row>
    <row r="135" ht="15.75" customHeight="1" s="64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</row>
    <row r="136" ht="15.75" customHeight="1" s="64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</row>
    <row r="137" ht="15.75" customHeight="1" s="64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</row>
    <row r="138" ht="15.75" customHeight="1" s="64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</row>
    <row r="139" ht="15.75" customHeight="1" s="64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</row>
    <row r="140" ht="15.75" customHeight="1" s="64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</row>
    <row r="141" ht="15.75" customHeight="1" s="64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</row>
    <row r="142" ht="15.75" customHeight="1" s="64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</row>
    <row r="143" ht="15.75" customHeight="1" s="64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</row>
    <row r="144" ht="15.75" customHeight="1" s="64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</row>
    <row r="145" ht="15.75" customHeight="1" s="64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</row>
    <row r="146" ht="15.75" customHeight="1" s="64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</row>
    <row r="147" ht="15.75" customHeight="1" s="64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</row>
    <row r="148" ht="15.75" customHeight="1" s="64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</row>
    <row r="149" ht="15.75" customHeight="1" s="64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</row>
    <row r="150" ht="15.75" customHeight="1" s="64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</row>
    <row r="151" ht="15.75" customHeight="1" s="64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</row>
    <row r="152" ht="15.75" customHeight="1" s="64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</row>
    <row r="153" ht="15.75" customHeight="1" s="64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</row>
    <row r="154" ht="15.75" customHeight="1" s="64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</row>
    <row r="155" ht="15.75" customHeight="1" s="64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</row>
    <row r="156" ht="15.75" customHeight="1" s="64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</row>
    <row r="157" ht="15.75" customHeight="1" s="64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</row>
    <row r="158" ht="15.75" customHeight="1" s="64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</row>
    <row r="159" ht="15.75" customHeight="1" s="64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</row>
    <row r="160" ht="15.75" customHeight="1" s="64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</row>
    <row r="161" ht="15.75" customHeight="1" s="64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</row>
    <row r="162" ht="15.75" customHeight="1" s="64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</row>
    <row r="163" ht="15.75" customHeight="1" s="64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</row>
    <row r="164" ht="15.75" customHeight="1" s="64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</row>
    <row r="165" ht="15.75" customHeight="1" s="64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</row>
    <row r="166" ht="15.75" customHeight="1" s="64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</row>
    <row r="167" ht="15.75" customHeight="1" s="64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</row>
    <row r="168" ht="15.75" customHeight="1" s="64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</row>
    <row r="169" ht="15.75" customHeight="1" s="64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</row>
    <row r="170" ht="15.75" customHeight="1" s="64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</row>
    <row r="171" ht="15.75" customHeight="1" s="64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</row>
    <row r="172" ht="15.75" customHeight="1" s="64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</row>
    <row r="173" ht="15.75" customHeight="1" s="64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</row>
    <row r="174" ht="15.75" customHeight="1" s="64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</row>
    <row r="175" ht="15.75" customHeight="1" s="64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</row>
    <row r="176" ht="15.75" customHeight="1" s="64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</row>
    <row r="177" ht="15.75" customHeight="1" s="64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</row>
    <row r="178" ht="15.75" customHeight="1" s="64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</row>
    <row r="179" ht="15.75" customHeight="1" s="64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</row>
    <row r="180" ht="15.75" customHeight="1" s="64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</row>
    <row r="181" ht="15.75" customHeight="1" s="64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</row>
    <row r="182" ht="15.75" customHeight="1" s="64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</row>
    <row r="183" ht="15.75" customHeight="1" s="64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</row>
    <row r="184" ht="15.75" customHeight="1" s="64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</row>
    <row r="185" ht="15.75" customHeight="1" s="64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</row>
    <row r="186" ht="15.75" customHeight="1" s="64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</row>
    <row r="187" ht="15.75" customHeight="1" s="64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</row>
    <row r="188" ht="15.75" customHeight="1" s="64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</row>
    <row r="189" ht="15.75" customHeight="1" s="64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</row>
    <row r="190" ht="15.75" customHeight="1" s="64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</row>
    <row r="191" ht="15.75" customHeight="1" s="64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</row>
    <row r="192" ht="15.75" customHeight="1" s="64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</row>
    <row r="193" ht="15.75" customHeight="1" s="64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</row>
    <row r="194" ht="15.75" customHeight="1" s="64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</row>
    <row r="195" ht="15.75" customHeight="1" s="64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</row>
    <row r="196" ht="15.75" customHeight="1" s="64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</row>
    <row r="197" ht="15.75" customHeight="1" s="64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</row>
    <row r="198" ht="15.75" customHeight="1" s="64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</row>
    <row r="199" ht="15.75" customHeight="1" s="64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</row>
    <row r="200" ht="15.75" customHeight="1" s="64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</row>
    <row r="201" ht="15.75" customHeight="1" s="64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</row>
    <row r="202" ht="15.75" customHeight="1" s="64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</row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dataValidations count="3">
    <dataValidation sqref="D2:D202" showDropDown="0" showInputMessage="1" showErrorMessage="1" allowBlank="1" prompt="請從下拉選單選擇職稱" type="list" errorStyle="stop" operator="between">
      <formula1>'2.職務職能需求'!$B$1:$F$1</formula1>
      <formula2>0</formula2>
    </dataValidation>
    <dataValidation sqref="H2:H202" showDropDown="0" showInputMessage="1" showErrorMessage="0" allowBlank="1" prompt="主要服務的產品；支援兩款者選「兩款共用」" type="list" errorStyle="stop" operator="between">
      <formula1>"鬥陣歡樂城,寵物遊戲,兩款共用,公司共用"</formula1>
      <formula2>0</formula2>
    </dataValidation>
    <dataValidation sqref="I2:I202" showDropDown="0" showInputMessage="1" showErrorMessage="0" allowBlank="1" prompt="可填多項，以「、」分隔：經營、管理、財務、企劃、營運、技術、數據、美術、測試、客服" type="custom" errorStyle="stop" operator="betwee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4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baseColWidth="8" defaultColWidth="14.43359375" defaultRowHeight="15" zeroHeight="0" outlineLevelRow="0"/>
  <cols>
    <col width="13" customWidth="1" style="63" min="1" max="1"/>
    <col width="14" customWidth="1" style="63" min="2" max="2"/>
    <col width="18.57" customWidth="1" style="63" min="3" max="3"/>
    <col width="12" customWidth="1" style="63" min="4" max="4"/>
    <col width="12.86" customWidth="1" style="63" min="5" max="5"/>
    <col width="18" customWidth="1" style="63" min="6" max="6"/>
    <col width="9" customWidth="1" style="63" min="7" max="8"/>
    <col width="10" customWidth="1" style="63" min="9" max="9"/>
    <col width="16" customWidth="1" style="63" min="10" max="10"/>
    <col width="11" customWidth="1" style="63" min="11" max="11"/>
    <col width="36" customWidth="1" style="63" min="12" max="12"/>
    <col width="32" customWidth="1" style="63" min="13" max="13"/>
    <col width="12" customWidth="1" style="63" min="14" max="14"/>
    <col width="8.710000000000001" customWidth="1" style="63" min="15" max="26"/>
  </cols>
  <sheetData>
    <row r="1" ht="31.5" customHeight="1" s="64">
      <c r="A1" s="86" t="inlineStr">
        <is>
          <t>員工編號</t>
        </is>
      </c>
      <c r="B1" s="86" t="inlineStr">
        <is>
          <t>姓名</t>
        </is>
      </c>
      <c r="C1" s="86" t="inlineStr">
        <is>
          <t>部門</t>
        </is>
      </c>
      <c r="D1" s="86" t="inlineStr">
        <is>
          <t>職稱</t>
        </is>
      </c>
      <c r="E1" s="86" t="inlineStr">
        <is>
          <t>職能類別</t>
        </is>
      </c>
      <c r="F1" s="86" t="inlineStr">
        <is>
          <t>職能項目</t>
        </is>
      </c>
      <c r="G1" s="86" t="inlineStr">
        <is>
          <t>要求等級</t>
        </is>
      </c>
      <c r="H1" s="86" t="inlineStr">
        <is>
          <t>自評等級</t>
        </is>
      </c>
      <c r="I1" s="86" t="inlineStr">
        <is>
          <t>主管評等級</t>
        </is>
      </c>
      <c r="J1" s="86" t="inlineStr">
        <is>
          <t>差距
(主管評−要求)</t>
        </is>
      </c>
      <c r="K1" s="86" t="inlineStr">
        <is>
          <t>達成狀態</t>
        </is>
      </c>
      <c r="L1" s="86" t="inlineStr">
        <is>
          <t>具體行為事例／佐證</t>
        </is>
      </c>
      <c r="M1" s="86" t="inlineStr">
        <is>
          <t>發展建議／行動計畫</t>
        </is>
      </c>
      <c r="N1" s="86" t="inlineStr">
        <is>
          <t>預計完成日</t>
        </is>
      </c>
    </row>
    <row r="2" ht="15" customHeight="1" s="64">
      <c r="A2" s="88" t="n"/>
      <c r="B2" s="120">
        <f t="array" ref="B2:B2">IF(A2="","",IFERROR(INDEX('3.員工名單'!$B:$B,MATCH(A2,'3.員工名單'!$A:$A,0)),"查無此員工"))</f>
        <v/>
      </c>
      <c r="C2" s="120">
        <f t="array" ref="C2:C2">IF(A2="","",IFERROR(INDEX('3.員工名單'!$C:$C,MATCH(A2,'3.員工名單'!$A:$A,0)),""))</f>
        <v/>
      </c>
      <c r="D2" s="120">
        <f t="array" ref="D2:D2">IF(A2="","",IFERROR(INDEX('3.員工名單'!$D:$D,MATCH(A2,'3.員工名單'!$A:$A,0)),""))</f>
        <v/>
      </c>
      <c r="E2" s="120">
        <f t="array" ref="E2:E2">IF(F2="","",IFERROR(INDEX('1.職能辭典'!$A:$A,MATCH(F2,'1.職能辭典'!$C:$C,0)),""))</f>
        <v/>
      </c>
      <c r="F2" s="94" t="n"/>
      <c r="G2" s="120">
        <f t="array" ref="G2:G2">IF(OR(D2="",F2=""),"",IFERROR(IF(AND(OR(INDEX('1.職能辭典'!$J:$J,MATCH(F2,'1.職能辭典'!$C:$C,0))="全部",INDEX('3.員工名單'!$H:$H,MATCH(A2,'3.員工名單'!$A:$A,0))="兩款共用",INDEX('3.員工名單'!$H:$H,MATCH(A2,'3.員工名單'!$A:$A,0))=INDEX('1.職能辭典'!$J:$J,MATCH(F2,'1.職能辭典'!$C:$C,0))),OR(INDEX('1.職能辭典'!$K:$K,MATCH(F2,'1.職能辭典'!$C:$C,0))="全部",SUMPRODUCT(ISNUMBER(SEARCH({"經營","管理","財務","企劃","營運","技術","數據","美術","測試","客服"},INDEX('3.員工名單'!$I:$I,MATCH(A2,'3.員工名單'!$A:$A,0))))*ISNUMBER(SEARCH({"經營","管理","財務","企劃","營運","技術","數據","美術","測試","客服"},INDEX('1.職能辭典'!$K:$K,MATCH(F2,'1.職能辭典'!$C:$C,0)))))&gt;0)),INDEX('2.職務職能需求'!$B$2:$F$28,MATCH(F2,'2.職務職能需求'!$A$2:$A$28,0),MATCH(D2,'2.職務職能需求'!$B$1:$F$1,0)),0),""))</f>
        <v/>
      </c>
      <c r="H2" s="94" t="n"/>
      <c r="I2" s="94" t="n"/>
      <c r="J2" s="120">
        <f>IF(OR(G2="",I2="",G2=0),"",I2-G2)</f>
        <v/>
      </c>
      <c r="K2" s="120">
        <f>IF(G2="","",IF(G2=0,"不適用",IF(I2="","待評核",IF(I2&gt;=G2,IF(I2&gt;G2,"超越","達標"),"待發展"))))</f>
        <v/>
      </c>
      <c r="L2" s="91" t="n"/>
      <c r="M2" s="91" t="n"/>
      <c r="N2" s="88" t="n"/>
    </row>
    <row r="3" ht="15" customHeight="1" s="64">
      <c r="A3" s="88" t="n"/>
      <c r="B3" s="120">
        <f t="array" ref="B3:B3">IF(A3="","",IFERROR(INDEX('3.員工名單'!$B:$B,MATCH(A3,'3.員工名單'!$A:$A,0)),"查無此員工"))</f>
        <v/>
      </c>
      <c r="C3" s="120">
        <f t="array" ref="C3:C3">IF(A3="","",IFERROR(INDEX('3.員工名單'!$C:$C,MATCH(A3,'3.員工名單'!$A:$A,0)),""))</f>
        <v/>
      </c>
      <c r="D3" s="120">
        <f t="array" ref="D3:D3">IF(A3="","",IFERROR(INDEX('3.員工名單'!$D:$D,MATCH(A3,'3.員工名單'!$A:$A,0)),""))</f>
        <v/>
      </c>
      <c r="E3" s="120">
        <f t="array" ref="E3:E3">IF(F3="","",IFERROR(INDEX('1.職能辭典'!$A:$A,MATCH(F3,'1.職能辭典'!$C:$C,0)),""))</f>
        <v/>
      </c>
      <c r="F3" s="94" t="n"/>
      <c r="G3" s="120">
        <f t="array" ref="G3:G3">IF(OR(D3="",F3=""),"",IFERROR(IF(AND(OR(INDEX('1.職能辭典'!$J:$J,MATCH(F3,'1.職能辭典'!$C:$C,0))="全部",INDEX('3.員工名單'!$H:$H,MATCH(A3,'3.員工名單'!$A:$A,0))="兩款共用",INDEX('3.員工名單'!$H:$H,MATCH(A3,'3.員工名單'!$A:$A,0))=INDEX('1.職能辭典'!$J:$J,MATCH(F3,'1.職能辭典'!$C:$C,0))),OR(INDEX('1.職能辭典'!$K:$K,MATCH(F3,'1.職能辭典'!$C:$C,0))="全部",SUMPRODUCT(ISNUMBER(SEARCH({"經營","管理","財務","企劃","營運","技術","數據","美術","測試","客服"},INDEX('3.員工名單'!$I:$I,MATCH(A3,'3.員工名單'!$A:$A,0))))*ISNUMBER(SEARCH({"經營","管理","財務","企劃","營運","技術","數據","美術","測試","客服"},INDEX('1.職能辭典'!$K:$K,MATCH(F3,'1.職能辭典'!$C:$C,0)))))&gt;0)),INDEX('2.職務職能需求'!$B$2:$F$28,MATCH(F3,'2.職務職能需求'!$A$2:$A$28,0),MATCH(D3,'2.職務職能需求'!$B$1:$F$1,0)),0),""))</f>
        <v/>
      </c>
      <c r="H3" s="94" t="n"/>
      <c r="I3" s="94" t="n"/>
      <c r="J3" s="120">
        <f>IF(OR(G3="",I3="",G3=0),"",I3-G3)</f>
        <v/>
      </c>
      <c r="K3" s="120">
        <f>IF(G3="","",IF(G3=0,"不適用",IF(I3="","待評核",IF(I3&gt;=G3,IF(I3&gt;G3,"超越","達標"),"待發展"))))</f>
        <v/>
      </c>
      <c r="L3" s="91" t="n"/>
      <c r="M3" s="91" t="n"/>
      <c r="N3" s="88" t="n"/>
    </row>
    <row r="4" ht="15" customHeight="1" s="64">
      <c r="A4" s="88" t="n"/>
      <c r="B4" s="120">
        <f t="array" ref="B4:B4">IF(A4="","",IFERROR(INDEX('3.員工名單'!$B:$B,MATCH(A4,'3.員工名單'!$A:$A,0)),"查無此員工"))</f>
        <v/>
      </c>
      <c r="C4" s="120">
        <f t="array" ref="C4:C4">IF(A4="","",IFERROR(INDEX('3.員工名單'!$C:$C,MATCH(A4,'3.員工名單'!$A:$A,0)),""))</f>
        <v/>
      </c>
      <c r="D4" s="120">
        <f t="array" ref="D4:D4">IF(A4="","",IFERROR(INDEX('3.員工名單'!$D:$D,MATCH(A4,'3.員工名單'!$A:$A,0)),""))</f>
        <v/>
      </c>
      <c r="E4" s="120">
        <f t="array" ref="E4:E4">IF(F4="","",IFERROR(INDEX('1.職能辭典'!$A:$A,MATCH(F4,'1.職能辭典'!$C:$C,0)),""))</f>
        <v/>
      </c>
      <c r="F4" s="94" t="n"/>
      <c r="G4" s="120">
        <f t="array" ref="G4:G4">IF(OR(D4="",F4=""),"",IFERROR(IF(AND(OR(INDEX('1.職能辭典'!$J:$J,MATCH(F4,'1.職能辭典'!$C:$C,0))="全部",INDEX('3.員工名單'!$H:$H,MATCH(A4,'3.員工名單'!$A:$A,0))="兩款共用",INDEX('3.員工名單'!$H:$H,MATCH(A4,'3.員工名單'!$A:$A,0))=INDEX('1.職能辭典'!$J:$J,MATCH(F4,'1.職能辭典'!$C:$C,0))),OR(INDEX('1.職能辭典'!$K:$K,MATCH(F4,'1.職能辭典'!$C:$C,0))="全部",SUMPRODUCT(ISNUMBER(SEARCH({"經營","管理","財務","企劃","營運","技術","數據","美術","測試","客服"},INDEX('3.員工名單'!$I:$I,MATCH(A4,'3.員工名單'!$A:$A,0))))*ISNUMBER(SEARCH({"經營","管理","財務","企劃","營運","技術","數據","美術","測試","客服"},INDEX('1.職能辭典'!$K:$K,MATCH(F4,'1.職能辭典'!$C:$C,0)))))&gt;0)),INDEX('2.職務職能需求'!$B$2:$F$28,MATCH(F4,'2.職務職能需求'!$A$2:$A$28,0),MATCH(D4,'2.職務職能需求'!$B$1:$F$1,0)),0),""))</f>
        <v/>
      </c>
      <c r="H4" s="94" t="n"/>
      <c r="I4" s="94" t="n"/>
      <c r="J4" s="120">
        <f>IF(OR(G4="",I4="",G4=0),"",I4-G4)</f>
        <v/>
      </c>
      <c r="K4" s="120">
        <f>IF(G4="","",IF(G4=0,"不適用",IF(I4="","待評核",IF(I4&gt;=G4,IF(I4&gt;G4,"超越","達標"),"待發展"))))</f>
        <v/>
      </c>
      <c r="L4" s="91" t="n"/>
      <c r="M4" s="91" t="n"/>
      <c r="N4" s="88" t="n"/>
    </row>
    <row r="5" ht="15" customHeight="1" s="64">
      <c r="A5" s="88" t="n"/>
      <c r="B5" s="120">
        <f t="array" ref="B5:B5">IF(A5="","",IFERROR(INDEX('3.員工名單'!$B:$B,MATCH(A5,'3.員工名單'!$A:$A,0)),"查無此員工"))</f>
        <v/>
      </c>
      <c r="C5" s="120">
        <f t="array" ref="C5:C5">IF(A5="","",IFERROR(INDEX('3.員工名單'!$C:$C,MATCH(A5,'3.員工名單'!$A:$A,0)),""))</f>
        <v/>
      </c>
      <c r="D5" s="120">
        <f t="array" ref="D5:D5">IF(A5="","",IFERROR(INDEX('3.員工名單'!$D:$D,MATCH(A5,'3.員工名單'!$A:$A,0)),""))</f>
        <v/>
      </c>
      <c r="E5" s="120">
        <f t="array" ref="E5:E5">IF(F5="","",IFERROR(INDEX('1.職能辭典'!$A:$A,MATCH(F5,'1.職能辭典'!$C:$C,0)),""))</f>
        <v/>
      </c>
      <c r="F5" s="94" t="n"/>
      <c r="G5" s="120">
        <f t="array" ref="G5:G5">IF(OR(D5="",F5=""),"",IFERROR(IF(AND(OR(INDEX('1.職能辭典'!$J:$J,MATCH(F5,'1.職能辭典'!$C:$C,0))="全部",INDEX('3.員工名單'!$H:$H,MATCH(A5,'3.員工名單'!$A:$A,0))="兩款共用",INDEX('3.員工名單'!$H:$H,MATCH(A5,'3.員工名單'!$A:$A,0))=INDEX('1.職能辭典'!$J:$J,MATCH(F5,'1.職能辭典'!$C:$C,0))),OR(INDEX('1.職能辭典'!$K:$K,MATCH(F5,'1.職能辭典'!$C:$C,0))="全部",SUMPRODUCT(ISNUMBER(SEARCH({"經營","管理","財務","企劃","營運","技術","數據","美術","測試","客服"},INDEX('3.員工名單'!$I:$I,MATCH(A5,'3.員工名單'!$A:$A,0))))*ISNUMBER(SEARCH({"經營","管理","財務","企劃","營運","技術","數據","美術","測試","客服"},INDEX('1.職能辭典'!$K:$K,MATCH(F5,'1.職能辭典'!$C:$C,0)))))&gt;0)),INDEX('2.職務職能需求'!$B$2:$F$28,MATCH(F5,'2.職務職能需求'!$A$2:$A$28,0),MATCH(D5,'2.職務職能需求'!$B$1:$F$1,0)),0),""))</f>
        <v/>
      </c>
      <c r="H5" s="94" t="n"/>
      <c r="I5" s="94" t="n"/>
      <c r="J5" s="120">
        <f>IF(OR(G5="",I5="",G5=0),"",I5-G5)</f>
        <v/>
      </c>
      <c r="K5" s="120">
        <f>IF(G5="","",IF(G5=0,"不適用",IF(I5="","待評核",IF(I5&gt;=G5,IF(I5&gt;G5,"超越","達標"),"待發展"))))</f>
        <v/>
      </c>
      <c r="L5" s="91" t="n"/>
      <c r="M5" s="91" t="n"/>
      <c r="N5" s="88" t="n"/>
    </row>
    <row r="6" ht="15.75" customHeight="1" s="64">
      <c r="A6" s="88" t="n"/>
      <c r="B6" s="120">
        <f t="array" ref="B6:B6">IF(A6="","",IFERROR(INDEX('3.員工名單'!$B:$B,MATCH(A6,'3.員工名單'!$A:$A,0)),"查無此員工"))</f>
        <v/>
      </c>
      <c r="C6" s="120">
        <f t="array" ref="C6:C6">IF(A6="","",IFERROR(INDEX('3.員工名單'!$C:$C,MATCH(A6,'3.員工名單'!$A:$A,0)),""))</f>
        <v/>
      </c>
      <c r="D6" s="120">
        <f t="array" ref="D6:D6">IF(A6="","",IFERROR(INDEX('3.員工名單'!$D:$D,MATCH(A6,'3.員工名單'!$A:$A,0)),""))</f>
        <v/>
      </c>
      <c r="E6" s="120">
        <f t="array" ref="E6:E6">IF(F6="","",IFERROR(INDEX('1.職能辭典'!$A:$A,MATCH(F6,'1.職能辭典'!$C:$C,0)),""))</f>
        <v/>
      </c>
      <c r="F6" s="94" t="n"/>
      <c r="G6" s="120">
        <f t="array" ref="G6:G6">IF(OR(D6="",F6=""),"",IFERROR(IF(AND(OR(INDEX('1.職能辭典'!$J:$J,MATCH(F6,'1.職能辭典'!$C:$C,0))="全部",INDEX('3.員工名單'!$H:$H,MATCH(A6,'3.員工名單'!$A:$A,0))="兩款共用",INDEX('3.員工名單'!$H:$H,MATCH(A6,'3.員工名單'!$A:$A,0))=INDEX('1.職能辭典'!$J:$J,MATCH(F6,'1.職能辭典'!$C:$C,0))),OR(INDEX('1.職能辭典'!$K:$K,MATCH(F6,'1.職能辭典'!$C:$C,0))="全部",SUMPRODUCT(ISNUMBER(SEARCH({"經營","管理","財務","企劃","營運","技術","數據","美術","測試","客服"},INDEX('3.員工名單'!$I:$I,MATCH(A6,'3.員工名單'!$A:$A,0))))*ISNUMBER(SEARCH({"經營","管理","財務","企劃","營運","技術","數據","美術","測試","客服"},INDEX('1.職能辭典'!$K:$K,MATCH(F6,'1.職能辭典'!$C:$C,0)))))&gt;0)),INDEX('2.職務職能需求'!$B$2:$F$28,MATCH(F6,'2.職務職能需求'!$A$2:$A$28,0),MATCH(D6,'2.職務職能需求'!$B$1:$F$1,0)),0),""))</f>
        <v/>
      </c>
      <c r="H6" s="94" t="n"/>
      <c r="I6" s="94" t="n"/>
      <c r="J6" s="120">
        <f>IF(OR(G6="",I6="",G6=0),"",I6-G6)</f>
        <v/>
      </c>
      <c r="K6" s="120">
        <f>IF(G6="","",IF(G6=0,"不適用",IF(I6="","待評核",IF(I6&gt;=G6,IF(I6&gt;G6,"超越","達標"),"待發展"))))</f>
        <v/>
      </c>
      <c r="L6" s="91" t="n"/>
      <c r="M6" s="91" t="n"/>
      <c r="N6" s="88" t="n"/>
    </row>
    <row r="7" ht="15.75" customHeight="1" s="64">
      <c r="A7" s="88" t="n"/>
      <c r="B7" s="120">
        <f t="array" ref="B7:B7">IF(A7="","",IFERROR(INDEX('3.員工名單'!$B:$B,MATCH(A7,'3.員工名單'!$A:$A,0)),"查無此員工"))</f>
        <v/>
      </c>
      <c r="C7" s="120">
        <f t="array" ref="C7:C7">IF(A7="","",IFERROR(INDEX('3.員工名單'!$C:$C,MATCH(A7,'3.員工名單'!$A:$A,0)),""))</f>
        <v/>
      </c>
      <c r="D7" s="120">
        <f t="array" ref="D7:D7">IF(A7="","",IFERROR(INDEX('3.員工名單'!$D:$D,MATCH(A7,'3.員工名單'!$A:$A,0)),""))</f>
        <v/>
      </c>
      <c r="E7" s="120">
        <f t="array" ref="E7:E7">IF(F7="","",IFERROR(INDEX('1.職能辭典'!$A:$A,MATCH(F7,'1.職能辭典'!$C:$C,0)),""))</f>
        <v/>
      </c>
      <c r="F7" s="94" t="n"/>
      <c r="G7" s="120">
        <f t="array" ref="G7:G7">IF(OR(D7="",F7=""),"",IFERROR(IF(AND(OR(INDEX('1.職能辭典'!$J:$J,MATCH(F7,'1.職能辭典'!$C:$C,0))="全部",INDEX('3.員工名單'!$H:$H,MATCH(A7,'3.員工名單'!$A:$A,0))="兩款共用",INDEX('3.員工名單'!$H:$H,MATCH(A7,'3.員工名單'!$A:$A,0))=INDEX('1.職能辭典'!$J:$J,MATCH(F7,'1.職能辭典'!$C:$C,0))),OR(INDEX('1.職能辭典'!$K:$K,MATCH(F7,'1.職能辭典'!$C:$C,0))="全部",SUMPRODUCT(ISNUMBER(SEARCH({"經營","管理","財務","企劃","營運","技術","數據","美術","測試","客服"},INDEX('3.員工名單'!$I:$I,MATCH(A7,'3.員工名單'!$A:$A,0))))*ISNUMBER(SEARCH({"經營","管理","財務","企劃","營運","技術","數據","美術","測試","客服"},INDEX('1.職能辭典'!$K:$K,MATCH(F7,'1.職能辭典'!$C:$C,0)))))&gt;0)),INDEX('2.職務職能需求'!$B$2:$F$28,MATCH(F7,'2.職務職能需求'!$A$2:$A$28,0),MATCH(D7,'2.職務職能需求'!$B$1:$F$1,0)),0),""))</f>
        <v/>
      </c>
      <c r="H7" s="94" t="n"/>
      <c r="I7" s="94" t="n"/>
      <c r="J7" s="120">
        <f>IF(OR(G7="",I7="",G7=0),"",I7-G7)</f>
        <v/>
      </c>
      <c r="K7" s="120">
        <f>IF(G7="","",IF(G7=0,"不適用",IF(I7="","待評核",IF(I7&gt;=G7,IF(I7&gt;G7,"超越","達標"),"待發展"))))</f>
        <v/>
      </c>
      <c r="L7" s="91" t="n"/>
      <c r="M7" s="91" t="n"/>
      <c r="N7" s="88" t="n"/>
    </row>
    <row r="8" ht="15.75" customHeight="1" s="64">
      <c r="A8" s="88" t="n"/>
      <c r="B8" s="120">
        <f t="array" ref="B8:B8">IF(A8="","",IFERROR(INDEX('3.員工名單'!$B:$B,MATCH(A8,'3.員工名單'!$A:$A,0)),"查無此員工"))</f>
        <v/>
      </c>
      <c r="C8" s="120">
        <f t="array" ref="C8:C8">IF(A8="","",IFERROR(INDEX('3.員工名單'!$C:$C,MATCH(A8,'3.員工名單'!$A:$A,0)),""))</f>
        <v/>
      </c>
      <c r="D8" s="120">
        <f t="array" ref="D8:D8">IF(A8="","",IFERROR(INDEX('3.員工名單'!$D:$D,MATCH(A8,'3.員工名單'!$A:$A,0)),""))</f>
        <v/>
      </c>
      <c r="E8" s="120">
        <f t="array" ref="E8:E8">IF(F8="","",IFERROR(INDEX('1.職能辭典'!$A:$A,MATCH(F8,'1.職能辭典'!$C:$C,0)),""))</f>
        <v/>
      </c>
      <c r="F8" s="94" t="n"/>
      <c r="G8" s="120">
        <f t="array" ref="G8:G8">IF(OR(D8="",F8=""),"",IFERROR(IF(AND(OR(INDEX('1.職能辭典'!$J:$J,MATCH(F8,'1.職能辭典'!$C:$C,0))="全部",INDEX('3.員工名單'!$H:$H,MATCH(A8,'3.員工名單'!$A:$A,0))="兩款共用",INDEX('3.員工名單'!$H:$H,MATCH(A8,'3.員工名單'!$A:$A,0))=INDEX('1.職能辭典'!$J:$J,MATCH(F8,'1.職能辭典'!$C:$C,0))),OR(INDEX('1.職能辭典'!$K:$K,MATCH(F8,'1.職能辭典'!$C:$C,0))="全部",SUMPRODUCT(ISNUMBER(SEARCH({"經營","管理","財務","企劃","營運","技術","數據","美術","測試","客服"},INDEX('3.員工名單'!$I:$I,MATCH(A8,'3.員工名單'!$A:$A,0))))*ISNUMBER(SEARCH({"經營","管理","財務","企劃","營運","技術","數據","美術","測試","客服"},INDEX('1.職能辭典'!$K:$K,MATCH(F8,'1.職能辭典'!$C:$C,0)))))&gt;0)),INDEX('2.職務職能需求'!$B$2:$F$28,MATCH(F8,'2.職務職能需求'!$A$2:$A$28,0),MATCH(D8,'2.職務職能需求'!$B$1:$F$1,0)),0),""))</f>
        <v/>
      </c>
      <c r="H8" s="94" t="n"/>
      <c r="I8" s="94" t="n"/>
      <c r="J8" s="120">
        <f>IF(OR(G8="",I8="",G8=0),"",I8-G8)</f>
        <v/>
      </c>
      <c r="K8" s="120">
        <f>IF(G8="","",IF(G8=0,"不適用",IF(I8="","待評核",IF(I8&gt;=G8,IF(I8&gt;G8,"超越","達標"),"待發展"))))</f>
        <v/>
      </c>
      <c r="L8" s="91" t="n"/>
      <c r="M8" s="91" t="n"/>
      <c r="N8" s="88" t="n"/>
    </row>
    <row r="9" ht="15.75" customHeight="1" s="64">
      <c r="A9" s="88" t="n"/>
      <c r="B9" s="120">
        <f t="array" ref="B9:B9">IF(A9="","",IFERROR(INDEX('3.員工名單'!$B:$B,MATCH(A9,'3.員工名單'!$A:$A,0)),"查無此員工"))</f>
        <v/>
      </c>
      <c r="C9" s="120">
        <f t="array" ref="C9:C9">IF(A9="","",IFERROR(INDEX('3.員工名單'!$C:$C,MATCH(A9,'3.員工名單'!$A:$A,0)),""))</f>
        <v/>
      </c>
      <c r="D9" s="120">
        <f t="array" ref="D9:D9">IF(A9="","",IFERROR(INDEX('3.員工名單'!$D:$D,MATCH(A9,'3.員工名單'!$A:$A,0)),""))</f>
        <v/>
      </c>
      <c r="E9" s="120">
        <f t="array" ref="E9:E9">IF(F9="","",IFERROR(INDEX('1.職能辭典'!$A:$A,MATCH(F9,'1.職能辭典'!$C:$C,0)),""))</f>
        <v/>
      </c>
      <c r="F9" s="94" t="n"/>
      <c r="G9" s="120">
        <f t="array" ref="G9:G9">IF(OR(D9="",F9=""),"",IFERROR(IF(AND(OR(INDEX('1.職能辭典'!$J:$J,MATCH(F9,'1.職能辭典'!$C:$C,0))="全部",INDEX('3.員工名單'!$H:$H,MATCH(A9,'3.員工名單'!$A:$A,0))="兩款共用",INDEX('3.員工名單'!$H:$H,MATCH(A9,'3.員工名單'!$A:$A,0))=INDEX('1.職能辭典'!$J:$J,MATCH(F9,'1.職能辭典'!$C:$C,0))),OR(INDEX('1.職能辭典'!$K:$K,MATCH(F9,'1.職能辭典'!$C:$C,0))="全部",SUMPRODUCT(ISNUMBER(SEARCH({"經營","管理","財務","企劃","營運","技術","數據","美術","測試","客服"},INDEX('3.員工名單'!$I:$I,MATCH(A9,'3.員工名單'!$A:$A,0))))*ISNUMBER(SEARCH({"經營","管理","財務","企劃","營運","技術","數據","美術","測試","客服"},INDEX('1.職能辭典'!$K:$K,MATCH(F9,'1.職能辭典'!$C:$C,0)))))&gt;0)),INDEX('2.職務職能需求'!$B$2:$F$28,MATCH(F9,'2.職務職能需求'!$A$2:$A$28,0),MATCH(D9,'2.職務職能需求'!$B$1:$F$1,0)),0),""))</f>
        <v/>
      </c>
      <c r="H9" s="94" t="n"/>
      <c r="I9" s="94" t="n"/>
      <c r="J9" s="120">
        <f>IF(OR(G9="",I9="",G9=0),"",I9-G9)</f>
        <v/>
      </c>
      <c r="K9" s="120">
        <f>IF(G9="","",IF(G9=0,"不適用",IF(I9="","待評核",IF(I9&gt;=G9,IF(I9&gt;G9,"超越","達標"),"待發展"))))</f>
        <v/>
      </c>
      <c r="L9" s="91" t="n"/>
      <c r="M9" s="91" t="n"/>
      <c r="N9" s="88" t="n"/>
    </row>
    <row r="10" ht="15.75" customHeight="1" s="64">
      <c r="A10" s="88" t="n"/>
      <c r="B10" s="120">
        <f t="array" ref="B10:B10">IF(A10="","",IFERROR(INDEX('3.員工名單'!$B:$B,MATCH(A10,'3.員工名單'!$A:$A,0)),"查無此員工"))</f>
        <v/>
      </c>
      <c r="C10" s="120">
        <f t="array" ref="C10:C10">IF(A10="","",IFERROR(INDEX('3.員工名單'!$C:$C,MATCH(A10,'3.員工名單'!$A:$A,0)),""))</f>
        <v/>
      </c>
      <c r="D10" s="120">
        <f t="array" ref="D10:D10">IF(A10="","",IFERROR(INDEX('3.員工名單'!$D:$D,MATCH(A10,'3.員工名單'!$A:$A,0)),""))</f>
        <v/>
      </c>
      <c r="E10" s="120">
        <f t="array" ref="E10:E10">IF(F10="","",IFERROR(INDEX('1.職能辭典'!$A:$A,MATCH(F10,'1.職能辭典'!$C:$C,0)),""))</f>
        <v/>
      </c>
      <c r="F10" s="94" t="n"/>
      <c r="G10" s="120">
        <f t="array" ref="G10:G10">IF(OR(D10="",F10=""),"",IFERROR(IF(AND(OR(INDEX('1.職能辭典'!$J:$J,MATCH(F10,'1.職能辭典'!$C:$C,0))="全部",INDEX('3.員工名單'!$H:$H,MATCH(A10,'3.員工名單'!$A:$A,0))="兩款共用",INDEX('3.員工名單'!$H:$H,MATCH(A10,'3.員工名單'!$A:$A,0))=INDEX('1.職能辭典'!$J:$J,MATCH(F10,'1.職能辭典'!$C:$C,0))),OR(INDEX('1.職能辭典'!$K:$K,MATCH(F10,'1.職能辭典'!$C:$C,0))="全部",SUMPRODUCT(ISNUMBER(SEARCH({"經營","管理","財務","企劃","營運","技術","數據","美術","測試","客服"},INDEX('3.員工名單'!$I:$I,MATCH(A10,'3.員工名單'!$A:$A,0))))*ISNUMBER(SEARCH({"經營","管理","財務","企劃","營運","技術","數據","美術","測試","客服"},INDEX('1.職能辭典'!$K:$K,MATCH(F10,'1.職能辭典'!$C:$C,0)))))&gt;0)),INDEX('2.職務職能需求'!$B$2:$F$28,MATCH(F10,'2.職務職能需求'!$A$2:$A$28,0),MATCH(D10,'2.職務職能需求'!$B$1:$F$1,0)),0),""))</f>
        <v/>
      </c>
      <c r="H10" s="94" t="n"/>
      <c r="I10" s="94" t="n"/>
      <c r="J10" s="120">
        <f>IF(OR(G10="",I10="",G10=0),"",I10-G10)</f>
        <v/>
      </c>
      <c r="K10" s="120">
        <f>IF(G10="","",IF(G10=0,"不適用",IF(I10="","待評核",IF(I10&gt;=G10,IF(I10&gt;G10,"超越","達標"),"待發展"))))</f>
        <v/>
      </c>
      <c r="L10" s="91" t="n"/>
      <c r="M10" s="91" t="n"/>
      <c r="N10" s="88" t="n"/>
    </row>
    <row r="11" ht="15.75" customHeight="1" s="64">
      <c r="A11" s="88" t="n"/>
      <c r="B11" s="120">
        <f t="array" ref="B11:B11">IF(A11="","",IFERROR(INDEX('3.員工名單'!$B:$B,MATCH(A11,'3.員工名單'!$A:$A,0)),"查無此員工"))</f>
        <v/>
      </c>
      <c r="C11" s="120">
        <f t="array" ref="C11:C11">IF(A11="","",IFERROR(INDEX('3.員工名單'!$C:$C,MATCH(A11,'3.員工名單'!$A:$A,0)),""))</f>
        <v/>
      </c>
      <c r="D11" s="120">
        <f t="array" ref="D11:D11">IF(A11="","",IFERROR(INDEX('3.員工名單'!$D:$D,MATCH(A11,'3.員工名單'!$A:$A,0)),""))</f>
        <v/>
      </c>
      <c r="E11" s="120">
        <f t="array" ref="E11:E11">IF(F11="","",IFERROR(INDEX('1.職能辭典'!$A:$A,MATCH(F11,'1.職能辭典'!$C:$C,0)),""))</f>
        <v/>
      </c>
      <c r="F11" s="94" t="n"/>
      <c r="G11" s="120">
        <f t="array" ref="G11:G11">IF(OR(D11="",F11=""),"",IFERROR(IF(AND(OR(INDEX('1.職能辭典'!$J:$J,MATCH(F11,'1.職能辭典'!$C:$C,0))="全部",INDEX('3.員工名單'!$H:$H,MATCH(A11,'3.員工名單'!$A:$A,0))="兩款共用",INDEX('3.員工名單'!$H:$H,MATCH(A11,'3.員工名單'!$A:$A,0))=INDEX('1.職能辭典'!$J:$J,MATCH(F11,'1.職能辭典'!$C:$C,0))),OR(INDEX('1.職能辭典'!$K:$K,MATCH(F11,'1.職能辭典'!$C:$C,0))="全部",SUMPRODUCT(ISNUMBER(SEARCH({"經營","管理","財務","企劃","營運","技術","數據","美術","測試","客服"},INDEX('3.員工名單'!$I:$I,MATCH(A11,'3.員工名單'!$A:$A,0))))*ISNUMBER(SEARCH({"經營","管理","財務","企劃","營運","技術","數據","美術","測試","客服"},INDEX('1.職能辭典'!$K:$K,MATCH(F11,'1.職能辭典'!$C:$C,0)))))&gt;0)),INDEX('2.職務職能需求'!$B$2:$F$28,MATCH(F11,'2.職務職能需求'!$A$2:$A$28,0),MATCH(D11,'2.職務職能需求'!$B$1:$F$1,0)),0),""))</f>
        <v/>
      </c>
      <c r="H11" s="94" t="n"/>
      <c r="I11" s="94" t="n"/>
      <c r="J11" s="120">
        <f>IF(OR(G11="",I11="",G11=0),"",I11-G11)</f>
        <v/>
      </c>
      <c r="K11" s="120">
        <f>IF(G11="","",IF(G11=0,"不適用",IF(I11="","待評核",IF(I11&gt;=G11,IF(I11&gt;G11,"超越","達標"),"待發展"))))</f>
        <v/>
      </c>
      <c r="L11" s="91" t="n"/>
      <c r="M11" s="91" t="n"/>
      <c r="N11" s="88" t="n"/>
    </row>
    <row r="12" ht="15.75" customHeight="1" s="64">
      <c r="A12" s="88" t="n"/>
      <c r="B12" s="120">
        <f t="array" ref="B12:B12">IF(A12="","",IFERROR(INDEX('3.員工名單'!$B:$B,MATCH(A12,'3.員工名單'!$A:$A,0)),"查無此員工"))</f>
        <v/>
      </c>
      <c r="C12" s="120">
        <f t="array" ref="C12:C12">IF(A12="","",IFERROR(INDEX('3.員工名單'!$C:$C,MATCH(A12,'3.員工名單'!$A:$A,0)),""))</f>
        <v/>
      </c>
      <c r="D12" s="120">
        <f t="array" ref="D12:D12">IF(A12="","",IFERROR(INDEX('3.員工名單'!$D:$D,MATCH(A12,'3.員工名單'!$A:$A,0)),""))</f>
        <v/>
      </c>
      <c r="E12" s="120">
        <f t="array" ref="E12:E12">IF(F12="","",IFERROR(INDEX('1.職能辭典'!$A:$A,MATCH(F12,'1.職能辭典'!$C:$C,0)),""))</f>
        <v/>
      </c>
      <c r="F12" s="94" t="n"/>
      <c r="G12" s="120">
        <f t="array" ref="G12:G12">IF(OR(D12="",F12=""),"",IFERROR(IF(AND(OR(INDEX('1.職能辭典'!$J:$J,MATCH(F12,'1.職能辭典'!$C:$C,0))="全部",INDEX('3.員工名單'!$H:$H,MATCH(A12,'3.員工名單'!$A:$A,0))="兩款共用",INDEX('3.員工名單'!$H:$H,MATCH(A12,'3.員工名單'!$A:$A,0))=INDEX('1.職能辭典'!$J:$J,MATCH(F12,'1.職能辭典'!$C:$C,0))),OR(INDEX('1.職能辭典'!$K:$K,MATCH(F12,'1.職能辭典'!$C:$C,0))="全部",SUMPRODUCT(ISNUMBER(SEARCH({"經營","管理","財務","企劃","營運","技術","數據","美術","測試","客服"},INDEX('3.員工名單'!$I:$I,MATCH(A12,'3.員工名單'!$A:$A,0))))*ISNUMBER(SEARCH({"經營","管理","財務","企劃","營運","技術","數據","美術","測試","客服"},INDEX('1.職能辭典'!$K:$K,MATCH(F12,'1.職能辭典'!$C:$C,0)))))&gt;0)),INDEX('2.職務職能需求'!$B$2:$F$28,MATCH(F12,'2.職務職能需求'!$A$2:$A$28,0),MATCH(D12,'2.職務職能需求'!$B$1:$F$1,0)),0),""))</f>
        <v/>
      </c>
      <c r="H12" s="94" t="n"/>
      <c r="I12" s="94" t="n"/>
      <c r="J12" s="120">
        <f>IF(OR(G12="",I12="",G12=0),"",I12-G12)</f>
        <v/>
      </c>
      <c r="K12" s="120">
        <f>IF(G12="","",IF(G12=0,"不適用",IF(I12="","待評核",IF(I12&gt;=G12,IF(I12&gt;G12,"超越","達標"),"待發展"))))</f>
        <v/>
      </c>
      <c r="L12" s="91" t="n"/>
      <c r="M12" s="91" t="n"/>
      <c r="N12" s="88" t="n"/>
    </row>
    <row r="13" ht="15.75" customHeight="1" s="64">
      <c r="A13" s="88" t="n"/>
      <c r="B13" s="120">
        <f t="array" ref="B13:B13">IF(A13="","",IFERROR(INDEX('3.員工名單'!$B:$B,MATCH(A13,'3.員工名單'!$A:$A,0)),"查無此員工"))</f>
        <v/>
      </c>
      <c r="C13" s="120">
        <f t="array" ref="C13:C13">IF(A13="","",IFERROR(INDEX('3.員工名單'!$C:$C,MATCH(A13,'3.員工名單'!$A:$A,0)),""))</f>
        <v/>
      </c>
      <c r="D13" s="120">
        <f t="array" ref="D13:D13">IF(A13="","",IFERROR(INDEX('3.員工名單'!$D:$D,MATCH(A13,'3.員工名單'!$A:$A,0)),""))</f>
        <v/>
      </c>
      <c r="E13" s="120">
        <f t="array" ref="E13:E13">IF(F13="","",IFERROR(INDEX('1.職能辭典'!$A:$A,MATCH(F13,'1.職能辭典'!$C:$C,0)),""))</f>
        <v/>
      </c>
      <c r="F13" s="94" t="n"/>
      <c r="G13" s="120">
        <f t="array" ref="G13:G13">IF(OR(D13="",F13=""),"",IFERROR(IF(AND(OR(INDEX('1.職能辭典'!$J:$J,MATCH(F13,'1.職能辭典'!$C:$C,0))="全部",INDEX('3.員工名單'!$H:$H,MATCH(A13,'3.員工名單'!$A:$A,0))="兩款共用",INDEX('3.員工名單'!$H:$H,MATCH(A13,'3.員工名單'!$A:$A,0))=INDEX('1.職能辭典'!$J:$J,MATCH(F13,'1.職能辭典'!$C:$C,0))),OR(INDEX('1.職能辭典'!$K:$K,MATCH(F13,'1.職能辭典'!$C:$C,0))="全部",SUMPRODUCT(ISNUMBER(SEARCH({"經營","管理","財務","企劃","營運","技術","數據","美術","測試","客服"},INDEX('3.員工名單'!$I:$I,MATCH(A13,'3.員工名單'!$A:$A,0))))*ISNUMBER(SEARCH({"經營","管理","財務","企劃","營運","技術","數據","美術","測試","客服"},INDEX('1.職能辭典'!$K:$K,MATCH(F13,'1.職能辭典'!$C:$C,0)))))&gt;0)),INDEX('2.職務職能需求'!$B$2:$F$28,MATCH(F13,'2.職務職能需求'!$A$2:$A$28,0),MATCH(D13,'2.職務職能需求'!$B$1:$F$1,0)),0),""))</f>
        <v/>
      </c>
      <c r="H13" s="94" t="n"/>
      <c r="I13" s="94" t="n"/>
      <c r="J13" s="120">
        <f>IF(OR(G13="",I13="",G13=0),"",I13-G13)</f>
        <v/>
      </c>
      <c r="K13" s="120">
        <f>IF(G13="","",IF(G13=0,"不適用",IF(I13="","待評核",IF(I13&gt;=G13,IF(I13&gt;G13,"超越","達標"),"待發展"))))</f>
        <v/>
      </c>
      <c r="L13" s="91" t="n"/>
      <c r="M13" s="91" t="n"/>
      <c r="N13" s="88" t="n"/>
    </row>
    <row r="14" ht="15.75" customHeight="1" s="64">
      <c r="A14" s="88" t="n"/>
      <c r="B14" s="120">
        <f t="array" ref="B14:B14">IF(A14="","",IFERROR(INDEX('3.員工名單'!$B:$B,MATCH(A14,'3.員工名單'!$A:$A,0)),"查無此員工"))</f>
        <v/>
      </c>
      <c r="C14" s="120">
        <f t="array" ref="C14:C14">IF(A14="","",IFERROR(INDEX('3.員工名單'!$C:$C,MATCH(A14,'3.員工名單'!$A:$A,0)),""))</f>
        <v/>
      </c>
      <c r="D14" s="120">
        <f t="array" ref="D14:D14">IF(A14="","",IFERROR(INDEX('3.員工名單'!$D:$D,MATCH(A14,'3.員工名單'!$A:$A,0)),""))</f>
        <v/>
      </c>
      <c r="E14" s="120">
        <f t="array" ref="E14:E14">IF(F14="","",IFERROR(INDEX('1.職能辭典'!$A:$A,MATCH(F14,'1.職能辭典'!$C:$C,0)),""))</f>
        <v/>
      </c>
      <c r="F14" s="94" t="n"/>
      <c r="G14" s="120">
        <f t="array" ref="G14:G14">IF(OR(D14="",F14=""),"",IFERROR(IF(AND(OR(INDEX('1.職能辭典'!$J:$J,MATCH(F14,'1.職能辭典'!$C:$C,0))="全部",INDEX('3.員工名單'!$H:$H,MATCH(A14,'3.員工名單'!$A:$A,0))="兩款共用",INDEX('3.員工名單'!$H:$H,MATCH(A14,'3.員工名單'!$A:$A,0))=INDEX('1.職能辭典'!$J:$J,MATCH(F14,'1.職能辭典'!$C:$C,0))),OR(INDEX('1.職能辭典'!$K:$K,MATCH(F14,'1.職能辭典'!$C:$C,0))="全部",SUMPRODUCT(ISNUMBER(SEARCH({"經營","管理","財務","企劃","營運","技術","數據","美術","測試","客服"},INDEX('3.員工名單'!$I:$I,MATCH(A14,'3.員工名單'!$A:$A,0))))*ISNUMBER(SEARCH({"經營","管理","財務","企劃","營運","技術","數據","美術","測試","客服"},INDEX('1.職能辭典'!$K:$K,MATCH(F14,'1.職能辭典'!$C:$C,0)))))&gt;0)),INDEX('2.職務職能需求'!$B$2:$F$28,MATCH(F14,'2.職務職能需求'!$A$2:$A$28,0),MATCH(D14,'2.職務職能需求'!$B$1:$F$1,0)),0),""))</f>
        <v/>
      </c>
      <c r="H14" s="94" t="n"/>
      <c r="I14" s="94" t="n"/>
      <c r="J14" s="120">
        <f>IF(OR(G14="",I14="",G14=0),"",I14-G14)</f>
        <v/>
      </c>
      <c r="K14" s="120">
        <f>IF(G14="","",IF(G14=0,"不適用",IF(I14="","待評核",IF(I14&gt;=G14,IF(I14&gt;G14,"超越","達標"),"待發展"))))</f>
        <v/>
      </c>
      <c r="L14" s="91" t="n"/>
      <c r="M14" s="91" t="n"/>
      <c r="N14" s="88" t="n"/>
    </row>
    <row r="15" ht="15.75" customHeight="1" s="64">
      <c r="A15" s="88" t="n"/>
      <c r="B15" s="120">
        <f t="array" ref="B15:B15">IF(A15="","",IFERROR(INDEX('3.員工名單'!$B:$B,MATCH(A15,'3.員工名單'!$A:$A,0)),"查無此員工"))</f>
        <v/>
      </c>
      <c r="C15" s="120">
        <f t="array" ref="C15:C15">IF(A15="","",IFERROR(INDEX('3.員工名單'!$C:$C,MATCH(A15,'3.員工名單'!$A:$A,0)),""))</f>
        <v/>
      </c>
      <c r="D15" s="120">
        <f t="array" ref="D15:D15">IF(A15="","",IFERROR(INDEX('3.員工名單'!$D:$D,MATCH(A15,'3.員工名單'!$A:$A,0)),""))</f>
        <v/>
      </c>
      <c r="E15" s="120">
        <f t="array" ref="E15:E15">IF(F15="","",IFERROR(INDEX('1.職能辭典'!$A:$A,MATCH(F15,'1.職能辭典'!$C:$C,0)),""))</f>
        <v/>
      </c>
      <c r="F15" s="94" t="n"/>
      <c r="G15" s="120">
        <f t="array" ref="G15:G15">IF(OR(D15="",F15=""),"",IFERROR(IF(AND(OR(INDEX('1.職能辭典'!$J:$J,MATCH(F15,'1.職能辭典'!$C:$C,0))="全部",INDEX('3.員工名單'!$H:$H,MATCH(A15,'3.員工名單'!$A:$A,0))="兩款共用",INDEX('3.員工名單'!$H:$H,MATCH(A15,'3.員工名單'!$A:$A,0))=INDEX('1.職能辭典'!$J:$J,MATCH(F15,'1.職能辭典'!$C:$C,0))),OR(INDEX('1.職能辭典'!$K:$K,MATCH(F15,'1.職能辭典'!$C:$C,0))="全部",SUMPRODUCT(ISNUMBER(SEARCH({"經營","管理","財務","企劃","營運","技術","數據","美術","測試","客服"},INDEX('3.員工名單'!$I:$I,MATCH(A15,'3.員工名單'!$A:$A,0))))*ISNUMBER(SEARCH({"經營","管理","財務","企劃","營運","技術","數據","美術","測試","客服"},INDEX('1.職能辭典'!$K:$K,MATCH(F15,'1.職能辭典'!$C:$C,0)))))&gt;0)),INDEX('2.職務職能需求'!$B$2:$F$28,MATCH(F15,'2.職務職能需求'!$A$2:$A$28,0),MATCH(D15,'2.職務職能需求'!$B$1:$F$1,0)),0),""))</f>
        <v/>
      </c>
      <c r="H15" s="94" t="n"/>
      <c r="I15" s="94" t="n"/>
      <c r="J15" s="120">
        <f>IF(OR(G15="",I15="",G15=0),"",I15-G15)</f>
        <v/>
      </c>
      <c r="K15" s="120">
        <f>IF(G15="","",IF(G15=0,"不適用",IF(I15="","待評核",IF(I15&gt;=G15,IF(I15&gt;G15,"超越","達標"),"待發展"))))</f>
        <v/>
      </c>
      <c r="L15" s="91" t="n"/>
      <c r="M15" s="91" t="n"/>
      <c r="N15" s="88" t="n"/>
    </row>
    <row r="16" ht="15.75" customHeight="1" s="64">
      <c r="A16" s="88" t="n"/>
      <c r="B16" s="120">
        <f t="array" ref="B16:B16">IF(A16="","",IFERROR(INDEX('3.員工名單'!$B:$B,MATCH(A16,'3.員工名單'!$A:$A,0)),"查無此員工"))</f>
        <v/>
      </c>
      <c r="C16" s="120">
        <f t="array" ref="C16:C16">IF(A16="","",IFERROR(INDEX('3.員工名單'!$C:$C,MATCH(A16,'3.員工名單'!$A:$A,0)),""))</f>
        <v/>
      </c>
      <c r="D16" s="120">
        <f t="array" ref="D16:D16">IF(A16="","",IFERROR(INDEX('3.員工名單'!$D:$D,MATCH(A16,'3.員工名單'!$A:$A,0)),""))</f>
        <v/>
      </c>
      <c r="E16" s="120">
        <f t="array" ref="E16:E16">IF(F16="","",IFERROR(INDEX('1.職能辭典'!$A:$A,MATCH(F16,'1.職能辭典'!$C:$C,0)),""))</f>
        <v/>
      </c>
      <c r="F16" s="94" t="n"/>
      <c r="G16" s="120">
        <f t="array" ref="G16:G16">IF(OR(D16="",F16=""),"",IFERROR(IF(AND(OR(INDEX('1.職能辭典'!$J:$J,MATCH(F16,'1.職能辭典'!$C:$C,0))="全部",INDEX('3.員工名單'!$H:$H,MATCH(A16,'3.員工名單'!$A:$A,0))="兩款共用",INDEX('3.員工名單'!$H:$H,MATCH(A16,'3.員工名單'!$A:$A,0))=INDEX('1.職能辭典'!$J:$J,MATCH(F16,'1.職能辭典'!$C:$C,0))),OR(INDEX('1.職能辭典'!$K:$K,MATCH(F16,'1.職能辭典'!$C:$C,0))="全部",SUMPRODUCT(ISNUMBER(SEARCH({"經營","管理","財務","企劃","營運","技術","數據","美術","測試","客服"},INDEX('3.員工名單'!$I:$I,MATCH(A16,'3.員工名單'!$A:$A,0))))*ISNUMBER(SEARCH({"經營","管理","財務","企劃","營運","技術","數據","美術","測試","客服"},INDEX('1.職能辭典'!$K:$K,MATCH(F16,'1.職能辭典'!$C:$C,0)))))&gt;0)),INDEX('2.職務職能需求'!$B$2:$F$28,MATCH(F16,'2.職務職能需求'!$A$2:$A$28,0),MATCH(D16,'2.職務職能需求'!$B$1:$F$1,0)),0),""))</f>
        <v/>
      </c>
      <c r="H16" s="94" t="n"/>
      <c r="I16" s="94" t="n"/>
      <c r="J16" s="120">
        <f>IF(OR(G16="",I16="",G16=0),"",I16-G16)</f>
        <v/>
      </c>
      <c r="K16" s="120">
        <f>IF(G16="","",IF(G16=0,"不適用",IF(I16="","待評核",IF(I16&gt;=G16,IF(I16&gt;G16,"超越","達標"),"待發展"))))</f>
        <v/>
      </c>
      <c r="L16" s="91" t="n"/>
      <c r="M16" s="91" t="n"/>
      <c r="N16" s="88" t="n"/>
    </row>
    <row r="17" ht="15.75" customHeight="1" s="64">
      <c r="A17" s="88" t="n"/>
      <c r="B17" s="120">
        <f t="array" ref="B17:B17">IF(A17="","",IFERROR(INDEX('3.員工名單'!$B:$B,MATCH(A17,'3.員工名單'!$A:$A,0)),"查無此員工"))</f>
        <v/>
      </c>
      <c r="C17" s="120">
        <f t="array" ref="C17:C17">IF(A17="","",IFERROR(INDEX('3.員工名單'!$C:$C,MATCH(A17,'3.員工名單'!$A:$A,0)),""))</f>
        <v/>
      </c>
      <c r="D17" s="120">
        <f t="array" ref="D17:D17">IF(A17="","",IFERROR(INDEX('3.員工名單'!$D:$D,MATCH(A17,'3.員工名單'!$A:$A,0)),""))</f>
        <v/>
      </c>
      <c r="E17" s="120">
        <f t="array" ref="E17:E17">IF(F17="","",IFERROR(INDEX('1.職能辭典'!$A:$A,MATCH(F17,'1.職能辭典'!$C:$C,0)),""))</f>
        <v/>
      </c>
      <c r="F17" s="94" t="n"/>
      <c r="G17" s="120">
        <f t="array" ref="G17:G17">IF(OR(D17="",F17=""),"",IFERROR(IF(AND(OR(INDEX('1.職能辭典'!$J:$J,MATCH(F17,'1.職能辭典'!$C:$C,0))="全部",INDEX('3.員工名單'!$H:$H,MATCH(A17,'3.員工名單'!$A:$A,0))="兩款共用",INDEX('3.員工名單'!$H:$H,MATCH(A17,'3.員工名單'!$A:$A,0))=INDEX('1.職能辭典'!$J:$J,MATCH(F17,'1.職能辭典'!$C:$C,0))),OR(INDEX('1.職能辭典'!$K:$K,MATCH(F17,'1.職能辭典'!$C:$C,0))="全部",SUMPRODUCT(ISNUMBER(SEARCH({"經營","管理","財務","企劃","營運","技術","數據","美術","測試","客服"},INDEX('3.員工名單'!$I:$I,MATCH(A17,'3.員工名單'!$A:$A,0))))*ISNUMBER(SEARCH({"經營","管理","財務","企劃","營運","技術","數據","美術","測試","客服"},INDEX('1.職能辭典'!$K:$K,MATCH(F17,'1.職能辭典'!$C:$C,0)))))&gt;0)),INDEX('2.職務職能需求'!$B$2:$F$28,MATCH(F17,'2.職務職能需求'!$A$2:$A$28,0),MATCH(D17,'2.職務職能需求'!$B$1:$F$1,0)),0),""))</f>
        <v/>
      </c>
      <c r="H17" s="94" t="n"/>
      <c r="I17" s="94" t="n"/>
      <c r="J17" s="120">
        <f>IF(OR(G17="",I17="",G17=0),"",I17-G17)</f>
        <v/>
      </c>
      <c r="K17" s="120">
        <f>IF(G17="","",IF(G17=0,"不適用",IF(I17="","待評核",IF(I17&gt;=G17,IF(I17&gt;G17,"超越","達標"),"待發展"))))</f>
        <v/>
      </c>
      <c r="L17" s="91" t="n"/>
      <c r="M17" s="91" t="n"/>
      <c r="N17" s="88" t="n"/>
    </row>
    <row r="18" ht="15.75" customHeight="1" s="64">
      <c r="A18" s="88" t="n"/>
      <c r="B18" s="120">
        <f t="array" ref="B18:B18">IF(A18="","",IFERROR(INDEX('3.員工名單'!$B:$B,MATCH(A18,'3.員工名單'!$A:$A,0)),"查無此員工"))</f>
        <v/>
      </c>
      <c r="C18" s="120">
        <f t="array" ref="C18:C18">IF(A18="","",IFERROR(INDEX('3.員工名單'!$C:$C,MATCH(A18,'3.員工名單'!$A:$A,0)),""))</f>
        <v/>
      </c>
      <c r="D18" s="120">
        <f t="array" ref="D18:D18">IF(A18="","",IFERROR(INDEX('3.員工名單'!$D:$D,MATCH(A18,'3.員工名單'!$A:$A,0)),""))</f>
        <v/>
      </c>
      <c r="E18" s="120">
        <f t="array" ref="E18:E18">IF(F18="","",IFERROR(INDEX('1.職能辭典'!$A:$A,MATCH(F18,'1.職能辭典'!$C:$C,0)),""))</f>
        <v/>
      </c>
      <c r="F18" s="94" t="n"/>
      <c r="G18" s="120">
        <f t="array" ref="G18:G18">IF(OR(D18="",F18=""),"",IFERROR(IF(AND(OR(INDEX('1.職能辭典'!$J:$J,MATCH(F18,'1.職能辭典'!$C:$C,0))="全部",INDEX('3.員工名單'!$H:$H,MATCH(A18,'3.員工名單'!$A:$A,0))="兩款共用",INDEX('3.員工名單'!$H:$H,MATCH(A18,'3.員工名單'!$A:$A,0))=INDEX('1.職能辭典'!$J:$J,MATCH(F18,'1.職能辭典'!$C:$C,0))),OR(INDEX('1.職能辭典'!$K:$K,MATCH(F18,'1.職能辭典'!$C:$C,0))="全部",SUMPRODUCT(ISNUMBER(SEARCH({"經營","管理","財務","企劃","營運","技術","數據","美術","測試","客服"},INDEX('3.員工名單'!$I:$I,MATCH(A18,'3.員工名單'!$A:$A,0))))*ISNUMBER(SEARCH({"經營","管理","財務","企劃","營運","技術","數據","美術","測試","客服"},INDEX('1.職能辭典'!$K:$K,MATCH(F18,'1.職能辭典'!$C:$C,0)))))&gt;0)),INDEX('2.職務職能需求'!$B$2:$F$28,MATCH(F18,'2.職務職能需求'!$A$2:$A$28,0),MATCH(D18,'2.職務職能需求'!$B$1:$F$1,0)),0),""))</f>
        <v/>
      </c>
      <c r="H18" s="94" t="n"/>
      <c r="I18" s="94" t="n"/>
      <c r="J18" s="120">
        <f>IF(OR(G18="",I18="",G18=0),"",I18-G18)</f>
        <v/>
      </c>
      <c r="K18" s="120">
        <f>IF(G18="","",IF(G18=0,"不適用",IF(I18="","待評核",IF(I18&gt;=G18,IF(I18&gt;G18,"超越","達標"),"待發展"))))</f>
        <v/>
      </c>
      <c r="L18" s="91" t="n"/>
      <c r="M18" s="91" t="n"/>
      <c r="N18" s="88" t="n"/>
    </row>
    <row r="19" ht="15.75" customHeight="1" s="64">
      <c r="A19" s="88" t="n"/>
      <c r="B19" s="120">
        <f t="array" ref="B19:B19">IF(A19="","",IFERROR(INDEX('3.員工名單'!$B:$B,MATCH(A19,'3.員工名單'!$A:$A,0)),"查無此員工"))</f>
        <v/>
      </c>
      <c r="C19" s="120">
        <f t="array" ref="C19:C19">IF(A19="","",IFERROR(INDEX('3.員工名單'!$C:$C,MATCH(A19,'3.員工名單'!$A:$A,0)),""))</f>
        <v/>
      </c>
      <c r="D19" s="120">
        <f t="array" ref="D19:D19">IF(A19="","",IFERROR(INDEX('3.員工名單'!$D:$D,MATCH(A19,'3.員工名單'!$A:$A,0)),""))</f>
        <v/>
      </c>
      <c r="E19" s="120">
        <f t="array" ref="E19:E19">IF(F19="","",IFERROR(INDEX('1.職能辭典'!$A:$A,MATCH(F19,'1.職能辭典'!$C:$C,0)),""))</f>
        <v/>
      </c>
      <c r="F19" s="94" t="n"/>
      <c r="G19" s="120">
        <f t="array" ref="G19:G19">IF(OR(D19="",F19=""),"",IFERROR(IF(AND(OR(INDEX('1.職能辭典'!$J:$J,MATCH(F19,'1.職能辭典'!$C:$C,0))="全部",INDEX('3.員工名單'!$H:$H,MATCH(A19,'3.員工名單'!$A:$A,0))="兩款共用",INDEX('3.員工名單'!$H:$H,MATCH(A19,'3.員工名單'!$A:$A,0))=INDEX('1.職能辭典'!$J:$J,MATCH(F19,'1.職能辭典'!$C:$C,0))),OR(INDEX('1.職能辭典'!$K:$K,MATCH(F19,'1.職能辭典'!$C:$C,0))="全部",SUMPRODUCT(ISNUMBER(SEARCH({"經營","管理","財務","企劃","營運","技術","數據","美術","測試","客服"},INDEX('3.員工名單'!$I:$I,MATCH(A19,'3.員工名單'!$A:$A,0))))*ISNUMBER(SEARCH({"經營","管理","財務","企劃","營運","技術","數據","美術","測試","客服"},INDEX('1.職能辭典'!$K:$K,MATCH(F19,'1.職能辭典'!$C:$C,0)))))&gt;0)),INDEX('2.職務職能需求'!$B$2:$F$28,MATCH(F19,'2.職務職能需求'!$A$2:$A$28,0),MATCH(D19,'2.職務職能需求'!$B$1:$F$1,0)),0),""))</f>
        <v/>
      </c>
      <c r="H19" s="94" t="n"/>
      <c r="I19" s="94" t="n"/>
      <c r="J19" s="120">
        <f>IF(OR(G19="",I19="",G19=0),"",I19-G19)</f>
        <v/>
      </c>
      <c r="K19" s="120">
        <f>IF(G19="","",IF(G19=0,"不適用",IF(I19="","待評核",IF(I19&gt;=G19,IF(I19&gt;G19,"超越","達標"),"待發展"))))</f>
        <v/>
      </c>
      <c r="L19" s="91" t="n"/>
      <c r="M19" s="91" t="n"/>
      <c r="N19" s="88" t="n"/>
    </row>
    <row r="20" ht="15.75" customHeight="1" s="64">
      <c r="A20" s="88" t="n"/>
      <c r="B20" s="120">
        <f t="array" ref="B20:B20">IF(A20="","",IFERROR(INDEX('3.員工名單'!$B:$B,MATCH(A20,'3.員工名單'!$A:$A,0)),"查無此員工"))</f>
        <v/>
      </c>
      <c r="C20" s="120">
        <f t="array" ref="C20:C20">IF(A20="","",IFERROR(INDEX('3.員工名單'!$C:$C,MATCH(A20,'3.員工名單'!$A:$A,0)),""))</f>
        <v/>
      </c>
      <c r="D20" s="120">
        <f t="array" ref="D20:D20">IF(A20="","",IFERROR(INDEX('3.員工名單'!$D:$D,MATCH(A20,'3.員工名單'!$A:$A,0)),""))</f>
        <v/>
      </c>
      <c r="E20" s="120">
        <f t="array" ref="E20:E20">IF(F20="","",IFERROR(INDEX('1.職能辭典'!$A:$A,MATCH(F20,'1.職能辭典'!$C:$C,0)),""))</f>
        <v/>
      </c>
      <c r="F20" s="94" t="n"/>
      <c r="G20" s="120">
        <f t="array" ref="G20:G20">IF(OR(D20="",F20=""),"",IFERROR(IF(AND(OR(INDEX('1.職能辭典'!$J:$J,MATCH(F20,'1.職能辭典'!$C:$C,0))="全部",INDEX('3.員工名單'!$H:$H,MATCH(A20,'3.員工名單'!$A:$A,0))="兩款共用",INDEX('3.員工名單'!$H:$H,MATCH(A20,'3.員工名單'!$A:$A,0))=INDEX('1.職能辭典'!$J:$J,MATCH(F20,'1.職能辭典'!$C:$C,0))),OR(INDEX('1.職能辭典'!$K:$K,MATCH(F20,'1.職能辭典'!$C:$C,0))="全部",SUMPRODUCT(ISNUMBER(SEARCH({"經營","管理","財務","企劃","營運","技術","數據","美術","測試","客服"},INDEX('3.員工名單'!$I:$I,MATCH(A20,'3.員工名單'!$A:$A,0))))*ISNUMBER(SEARCH({"經營","管理","財務","企劃","營運","技術","數據","美術","測試","客服"},INDEX('1.職能辭典'!$K:$K,MATCH(F20,'1.職能辭典'!$C:$C,0)))))&gt;0)),INDEX('2.職務職能需求'!$B$2:$F$28,MATCH(F20,'2.職務職能需求'!$A$2:$A$28,0),MATCH(D20,'2.職務職能需求'!$B$1:$F$1,0)),0),""))</f>
        <v/>
      </c>
      <c r="H20" s="94" t="n"/>
      <c r="I20" s="94" t="n"/>
      <c r="J20" s="120">
        <f>IF(OR(G20="",I20="",G20=0),"",I20-G20)</f>
        <v/>
      </c>
      <c r="K20" s="120">
        <f>IF(G20="","",IF(G20=0,"不適用",IF(I20="","待評核",IF(I20&gt;=G20,IF(I20&gt;G20,"超越","達標"),"待發展"))))</f>
        <v/>
      </c>
      <c r="L20" s="91" t="n"/>
      <c r="M20" s="91" t="n"/>
      <c r="N20" s="88" t="n"/>
    </row>
    <row r="21" ht="15.75" customHeight="1" s="64">
      <c r="A21" s="88" t="n"/>
      <c r="B21" s="120">
        <f t="array" ref="B21:B21">IF(A21="","",IFERROR(INDEX('3.員工名單'!$B:$B,MATCH(A21,'3.員工名單'!$A:$A,0)),"查無此員工"))</f>
        <v/>
      </c>
      <c r="C21" s="120">
        <f t="array" ref="C21:C21">IF(A21="","",IFERROR(INDEX('3.員工名單'!$C:$C,MATCH(A21,'3.員工名單'!$A:$A,0)),""))</f>
        <v/>
      </c>
      <c r="D21" s="120">
        <f t="array" ref="D21:D21">IF(A21="","",IFERROR(INDEX('3.員工名單'!$D:$D,MATCH(A21,'3.員工名單'!$A:$A,0)),""))</f>
        <v/>
      </c>
      <c r="E21" s="120">
        <f t="array" ref="E21:E21">IF(F21="","",IFERROR(INDEX('1.職能辭典'!$A:$A,MATCH(F21,'1.職能辭典'!$C:$C,0)),""))</f>
        <v/>
      </c>
      <c r="F21" s="94" t="n"/>
      <c r="G21" s="120">
        <f t="array" ref="G21:G21">IF(OR(D21="",F21=""),"",IFERROR(IF(AND(OR(INDEX('1.職能辭典'!$J:$J,MATCH(F21,'1.職能辭典'!$C:$C,0))="全部",INDEX('3.員工名單'!$H:$H,MATCH(A21,'3.員工名單'!$A:$A,0))="兩款共用",INDEX('3.員工名單'!$H:$H,MATCH(A21,'3.員工名單'!$A:$A,0))=INDEX('1.職能辭典'!$J:$J,MATCH(F21,'1.職能辭典'!$C:$C,0))),OR(INDEX('1.職能辭典'!$K:$K,MATCH(F21,'1.職能辭典'!$C:$C,0))="全部",SUMPRODUCT(ISNUMBER(SEARCH({"經營","管理","財務","企劃","營運","技術","數據","美術","測試","客服"},INDEX('3.員工名單'!$I:$I,MATCH(A21,'3.員工名單'!$A:$A,0))))*ISNUMBER(SEARCH({"經營","管理","財務","企劃","營運","技術","數據","美術","測試","客服"},INDEX('1.職能辭典'!$K:$K,MATCH(F21,'1.職能辭典'!$C:$C,0)))))&gt;0)),INDEX('2.職務職能需求'!$B$2:$F$28,MATCH(F21,'2.職務職能需求'!$A$2:$A$28,0),MATCH(D21,'2.職務職能需求'!$B$1:$F$1,0)),0),""))</f>
        <v/>
      </c>
      <c r="H21" s="94" t="n"/>
      <c r="I21" s="94" t="n"/>
      <c r="J21" s="120">
        <f>IF(OR(G21="",I21="",G21=0),"",I21-G21)</f>
        <v/>
      </c>
      <c r="K21" s="120">
        <f>IF(G21="","",IF(G21=0,"不適用",IF(I21="","待評核",IF(I21&gt;=G21,IF(I21&gt;G21,"超越","達標"),"待發展"))))</f>
        <v/>
      </c>
      <c r="L21" s="91" t="n"/>
      <c r="M21" s="91" t="n"/>
      <c r="N21" s="88" t="n"/>
    </row>
    <row r="22" ht="15.75" customHeight="1" s="64">
      <c r="A22" s="88" t="n"/>
      <c r="B22" s="120">
        <f t="array" ref="B22:B22">IF(A22="","",IFERROR(INDEX('3.員工名單'!$B:$B,MATCH(A22,'3.員工名單'!$A:$A,0)),"查無此員工"))</f>
        <v/>
      </c>
      <c r="C22" s="120">
        <f t="array" ref="C22:C22">IF(A22="","",IFERROR(INDEX('3.員工名單'!$C:$C,MATCH(A22,'3.員工名單'!$A:$A,0)),""))</f>
        <v/>
      </c>
      <c r="D22" s="120">
        <f t="array" ref="D22:D22">IF(A22="","",IFERROR(INDEX('3.員工名單'!$D:$D,MATCH(A22,'3.員工名單'!$A:$A,0)),""))</f>
        <v/>
      </c>
      <c r="E22" s="120">
        <f t="array" ref="E22:E22">IF(F22="","",IFERROR(INDEX('1.職能辭典'!$A:$A,MATCH(F22,'1.職能辭典'!$C:$C,0)),""))</f>
        <v/>
      </c>
      <c r="F22" s="94" t="n"/>
      <c r="G22" s="120">
        <f t="array" ref="G22:G22">IF(OR(D22="",F22=""),"",IFERROR(IF(AND(OR(INDEX('1.職能辭典'!$J:$J,MATCH(F22,'1.職能辭典'!$C:$C,0))="全部",INDEX('3.員工名單'!$H:$H,MATCH(A22,'3.員工名單'!$A:$A,0))="兩款共用",INDEX('3.員工名單'!$H:$H,MATCH(A22,'3.員工名單'!$A:$A,0))=INDEX('1.職能辭典'!$J:$J,MATCH(F22,'1.職能辭典'!$C:$C,0))),OR(INDEX('1.職能辭典'!$K:$K,MATCH(F22,'1.職能辭典'!$C:$C,0))="全部",SUMPRODUCT(ISNUMBER(SEARCH({"經營","管理","財務","企劃","營運","技術","數據","美術","測試","客服"},INDEX('3.員工名單'!$I:$I,MATCH(A22,'3.員工名單'!$A:$A,0))))*ISNUMBER(SEARCH({"經營","管理","財務","企劃","營運","技術","數據","美術","測試","客服"},INDEX('1.職能辭典'!$K:$K,MATCH(F22,'1.職能辭典'!$C:$C,0)))))&gt;0)),INDEX('2.職務職能需求'!$B$2:$F$28,MATCH(F22,'2.職務職能需求'!$A$2:$A$28,0),MATCH(D22,'2.職務職能需求'!$B$1:$F$1,0)),0),""))</f>
        <v/>
      </c>
      <c r="H22" s="94" t="n"/>
      <c r="I22" s="94" t="n"/>
      <c r="J22" s="120">
        <f>IF(OR(G22="",I22="",G22=0),"",I22-G22)</f>
        <v/>
      </c>
      <c r="K22" s="120">
        <f>IF(G22="","",IF(G22=0,"不適用",IF(I22="","待評核",IF(I22&gt;=G22,IF(I22&gt;G22,"超越","達標"),"待發展"))))</f>
        <v/>
      </c>
      <c r="L22" s="91" t="n"/>
      <c r="M22" s="91" t="n"/>
      <c r="N22" s="88" t="n"/>
    </row>
    <row r="23" ht="15.75" customHeight="1" s="64">
      <c r="A23" s="88" t="n"/>
      <c r="B23" s="120">
        <f t="array" ref="B23:B23">IF(A23="","",IFERROR(INDEX('3.員工名單'!$B:$B,MATCH(A23,'3.員工名單'!$A:$A,0)),"查無此員工"))</f>
        <v/>
      </c>
      <c r="C23" s="120">
        <f t="array" ref="C23:C23">IF(A23="","",IFERROR(INDEX('3.員工名單'!$C:$C,MATCH(A23,'3.員工名單'!$A:$A,0)),""))</f>
        <v/>
      </c>
      <c r="D23" s="120">
        <f t="array" ref="D23:D23">IF(A23="","",IFERROR(INDEX('3.員工名單'!$D:$D,MATCH(A23,'3.員工名單'!$A:$A,0)),""))</f>
        <v/>
      </c>
      <c r="E23" s="120">
        <f t="array" ref="E23:E23">IF(F23="","",IFERROR(INDEX('1.職能辭典'!$A:$A,MATCH(F23,'1.職能辭典'!$C:$C,0)),""))</f>
        <v/>
      </c>
      <c r="F23" s="94" t="n"/>
      <c r="G23" s="120">
        <f t="array" ref="G23:G23">IF(OR(D23="",F23=""),"",IFERROR(IF(AND(OR(INDEX('1.職能辭典'!$J:$J,MATCH(F23,'1.職能辭典'!$C:$C,0))="全部",INDEX('3.員工名單'!$H:$H,MATCH(A23,'3.員工名單'!$A:$A,0))="兩款共用",INDEX('3.員工名單'!$H:$H,MATCH(A23,'3.員工名單'!$A:$A,0))=INDEX('1.職能辭典'!$J:$J,MATCH(F23,'1.職能辭典'!$C:$C,0))),OR(INDEX('1.職能辭典'!$K:$K,MATCH(F23,'1.職能辭典'!$C:$C,0))="全部",SUMPRODUCT(ISNUMBER(SEARCH({"經營","管理","財務","企劃","營運","技術","數據","美術","測試","客服"},INDEX('3.員工名單'!$I:$I,MATCH(A23,'3.員工名單'!$A:$A,0))))*ISNUMBER(SEARCH({"經營","管理","財務","企劃","營運","技術","數據","美術","測試","客服"},INDEX('1.職能辭典'!$K:$K,MATCH(F23,'1.職能辭典'!$C:$C,0)))))&gt;0)),INDEX('2.職務職能需求'!$B$2:$F$28,MATCH(F23,'2.職務職能需求'!$A$2:$A$28,0),MATCH(D23,'2.職務職能需求'!$B$1:$F$1,0)),0),""))</f>
        <v/>
      </c>
      <c r="H23" s="94" t="n"/>
      <c r="I23" s="94" t="n"/>
      <c r="J23" s="120">
        <f>IF(OR(G23="",I23="",G23=0),"",I23-G23)</f>
        <v/>
      </c>
      <c r="K23" s="120">
        <f>IF(G23="","",IF(G23=0,"不適用",IF(I23="","待評核",IF(I23&gt;=G23,IF(I23&gt;G23,"超越","達標"),"待發展"))))</f>
        <v/>
      </c>
      <c r="L23" s="91" t="n"/>
      <c r="M23" s="91" t="n"/>
      <c r="N23" s="88" t="n"/>
    </row>
    <row r="24" ht="15.75" customHeight="1" s="64">
      <c r="A24" s="88" t="n"/>
      <c r="B24" s="120">
        <f t="array" ref="B24:B24">IF(A24="","",IFERROR(INDEX('3.員工名單'!$B:$B,MATCH(A24,'3.員工名單'!$A:$A,0)),"查無此員工"))</f>
        <v/>
      </c>
      <c r="C24" s="120">
        <f t="array" ref="C24:C24">IF(A24="","",IFERROR(INDEX('3.員工名單'!$C:$C,MATCH(A24,'3.員工名單'!$A:$A,0)),""))</f>
        <v/>
      </c>
      <c r="D24" s="120">
        <f t="array" ref="D24:D24">IF(A24="","",IFERROR(INDEX('3.員工名單'!$D:$D,MATCH(A24,'3.員工名單'!$A:$A,0)),""))</f>
        <v/>
      </c>
      <c r="E24" s="120">
        <f t="array" ref="E24:E24">IF(F24="","",IFERROR(INDEX('1.職能辭典'!$A:$A,MATCH(F24,'1.職能辭典'!$C:$C,0)),""))</f>
        <v/>
      </c>
      <c r="F24" s="94" t="n"/>
      <c r="G24" s="120">
        <f t="array" ref="G24:G24">IF(OR(D24="",F24=""),"",IFERROR(IF(AND(OR(INDEX('1.職能辭典'!$J:$J,MATCH(F24,'1.職能辭典'!$C:$C,0))="全部",INDEX('3.員工名單'!$H:$H,MATCH(A24,'3.員工名單'!$A:$A,0))="兩款共用",INDEX('3.員工名單'!$H:$H,MATCH(A24,'3.員工名單'!$A:$A,0))=INDEX('1.職能辭典'!$J:$J,MATCH(F24,'1.職能辭典'!$C:$C,0))),OR(INDEX('1.職能辭典'!$K:$K,MATCH(F24,'1.職能辭典'!$C:$C,0))="全部",SUMPRODUCT(ISNUMBER(SEARCH({"經營","管理","財務","企劃","營運","技術","數據","美術","測試","客服"},INDEX('3.員工名單'!$I:$I,MATCH(A24,'3.員工名單'!$A:$A,0))))*ISNUMBER(SEARCH({"經營","管理","財務","企劃","營運","技術","數據","美術","測試","客服"},INDEX('1.職能辭典'!$K:$K,MATCH(F24,'1.職能辭典'!$C:$C,0)))))&gt;0)),INDEX('2.職務職能需求'!$B$2:$F$28,MATCH(F24,'2.職務職能需求'!$A$2:$A$28,0),MATCH(D24,'2.職務職能需求'!$B$1:$F$1,0)),0),""))</f>
        <v/>
      </c>
      <c r="H24" s="94" t="n"/>
      <c r="I24" s="94" t="n"/>
      <c r="J24" s="120">
        <f>IF(OR(G24="",I24="",G24=0),"",I24-G24)</f>
        <v/>
      </c>
      <c r="K24" s="120">
        <f>IF(G24="","",IF(G24=0,"不適用",IF(I24="","待評核",IF(I24&gt;=G24,IF(I24&gt;G24,"超越","達標"),"待發展"))))</f>
        <v/>
      </c>
      <c r="L24" s="91" t="n"/>
      <c r="M24" s="91" t="n"/>
      <c r="N24" s="88" t="n"/>
    </row>
    <row r="25" ht="15.75" customHeight="1" s="64">
      <c r="A25" s="88" t="n"/>
      <c r="B25" s="120">
        <f t="array" ref="B25:B25">IF(A25="","",IFERROR(INDEX('3.員工名單'!$B:$B,MATCH(A25,'3.員工名單'!$A:$A,0)),"查無此員工"))</f>
        <v/>
      </c>
      <c r="C25" s="120">
        <f t="array" ref="C25:C25">IF(A25="","",IFERROR(INDEX('3.員工名單'!$C:$C,MATCH(A25,'3.員工名單'!$A:$A,0)),""))</f>
        <v/>
      </c>
      <c r="D25" s="120">
        <f t="array" ref="D25:D25">IF(A25="","",IFERROR(INDEX('3.員工名單'!$D:$D,MATCH(A25,'3.員工名單'!$A:$A,0)),""))</f>
        <v/>
      </c>
      <c r="E25" s="120">
        <f t="array" ref="E25:E25">IF(F25="","",IFERROR(INDEX('1.職能辭典'!$A:$A,MATCH(F25,'1.職能辭典'!$C:$C,0)),""))</f>
        <v/>
      </c>
      <c r="F25" s="94" t="n"/>
      <c r="G25" s="120">
        <f t="array" ref="G25:G25">IF(OR(D25="",F25=""),"",IFERROR(IF(AND(OR(INDEX('1.職能辭典'!$J:$J,MATCH(F25,'1.職能辭典'!$C:$C,0))="全部",INDEX('3.員工名單'!$H:$H,MATCH(A25,'3.員工名單'!$A:$A,0))="兩款共用",INDEX('3.員工名單'!$H:$H,MATCH(A25,'3.員工名單'!$A:$A,0))=INDEX('1.職能辭典'!$J:$J,MATCH(F25,'1.職能辭典'!$C:$C,0))),OR(INDEX('1.職能辭典'!$K:$K,MATCH(F25,'1.職能辭典'!$C:$C,0))="全部",SUMPRODUCT(ISNUMBER(SEARCH({"經營","管理","財務","企劃","營運","技術","數據","美術","測試","客服"},INDEX('3.員工名單'!$I:$I,MATCH(A25,'3.員工名單'!$A:$A,0))))*ISNUMBER(SEARCH({"經營","管理","財務","企劃","營運","技術","數據","美術","測試","客服"},INDEX('1.職能辭典'!$K:$K,MATCH(F25,'1.職能辭典'!$C:$C,0)))))&gt;0)),INDEX('2.職務職能需求'!$B$2:$F$28,MATCH(F25,'2.職務職能需求'!$A$2:$A$28,0),MATCH(D25,'2.職務職能需求'!$B$1:$F$1,0)),0),""))</f>
        <v/>
      </c>
      <c r="H25" s="94" t="n"/>
      <c r="I25" s="94" t="n"/>
      <c r="J25" s="120">
        <f>IF(OR(G25="",I25="",G25=0),"",I25-G25)</f>
        <v/>
      </c>
      <c r="K25" s="120">
        <f>IF(G25="","",IF(G25=0,"不適用",IF(I25="","待評核",IF(I25&gt;=G25,IF(I25&gt;G25,"超越","達標"),"待發展"))))</f>
        <v/>
      </c>
      <c r="L25" s="91" t="n"/>
      <c r="M25" s="91" t="n"/>
      <c r="N25" s="88" t="n"/>
    </row>
    <row r="26" ht="15.75" customHeight="1" s="64">
      <c r="A26" s="88" t="n"/>
      <c r="B26" s="120">
        <f t="array" ref="B26:B26">IF(A26="","",IFERROR(INDEX('3.員工名單'!$B:$B,MATCH(A26,'3.員工名單'!$A:$A,0)),"查無此員工"))</f>
        <v/>
      </c>
      <c r="C26" s="120">
        <f t="array" ref="C26:C26">IF(A26="","",IFERROR(INDEX('3.員工名單'!$C:$C,MATCH(A26,'3.員工名單'!$A:$A,0)),""))</f>
        <v/>
      </c>
      <c r="D26" s="120">
        <f t="array" ref="D26:D26">IF(A26="","",IFERROR(INDEX('3.員工名單'!$D:$D,MATCH(A26,'3.員工名單'!$A:$A,0)),""))</f>
        <v/>
      </c>
      <c r="E26" s="120">
        <f t="array" ref="E26:E26">IF(F26="","",IFERROR(INDEX('1.職能辭典'!$A:$A,MATCH(F26,'1.職能辭典'!$C:$C,0)),""))</f>
        <v/>
      </c>
      <c r="F26" s="94" t="n"/>
      <c r="G26" s="120">
        <f t="array" ref="G26:G26">IF(OR(D26="",F26=""),"",IFERROR(IF(AND(OR(INDEX('1.職能辭典'!$J:$J,MATCH(F26,'1.職能辭典'!$C:$C,0))="全部",INDEX('3.員工名單'!$H:$H,MATCH(A26,'3.員工名單'!$A:$A,0))="兩款共用",INDEX('3.員工名單'!$H:$H,MATCH(A26,'3.員工名單'!$A:$A,0))=INDEX('1.職能辭典'!$J:$J,MATCH(F26,'1.職能辭典'!$C:$C,0))),OR(INDEX('1.職能辭典'!$K:$K,MATCH(F26,'1.職能辭典'!$C:$C,0))="全部",SUMPRODUCT(ISNUMBER(SEARCH({"經營","管理","財務","企劃","營運","技術","數據","美術","測試","客服"},INDEX('3.員工名單'!$I:$I,MATCH(A26,'3.員工名單'!$A:$A,0))))*ISNUMBER(SEARCH({"經營","管理","財務","企劃","營運","技術","數據","美術","測試","客服"},INDEX('1.職能辭典'!$K:$K,MATCH(F26,'1.職能辭典'!$C:$C,0)))))&gt;0)),INDEX('2.職務職能需求'!$B$2:$F$28,MATCH(F26,'2.職務職能需求'!$A$2:$A$28,0),MATCH(D26,'2.職務職能需求'!$B$1:$F$1,0)),0),""))</f>
        <v/>
      </c>
      <c r="H26" s="94" t="n"/>
      <c r="I26" s="94" t="n"/>
      <c r="J26" s="120">
        <f>IF(OR(G26="",I26="",G26=0),"",I26-G26)</f>
        <v/>
      </c>
      <c r="K26" s="120">
        <f>IF(G26="","",IF(G26=0,"不適用",IF(I26="","待評核",IF(I26&gt;=G26,IF(I26&gt;G26,"超越","達標"),"待發展"))))</f>
        <v/>
      </c>
      <c r="L26" s="91" t="n"/>
      <c r="M26" s="91" t="n"/>
      <c r="N26" s="88" t="n"/>
    </row>
    <row r="27" ht="15.75" customHeight="1" s="64">
      <c r="A27" s="88" t="n"/>
      <c r="B27" s="120">
        <f t="array" ref="B27:B27">IF(A27="","",IFERROR(INDEX('3.員工名單'!$B:$B,MATCH(A27,'3.員工名單'!$A:$A,0)),"查無此員工"))</f>
        <v/>
      </c>
      <c r="C27" s="120">
        <f t="array" ref="C27:C27">IF(A27="","",IFERROR(INDEX('3.員工名單'!$C:$C,MATCH(A27,'3.員工名單'!$A:$A,0)),""))</f>
        <v/>
      </c>
      <c r="D27" s="120">
        <f t="array" ref="D27:D27">IF(A27="","",IFERROR(INDEX('3.員工名單'!$D:$D,MATCH(A27,'3.員工名單'!$A:$A,0)),""))</f>
        <v/>
      </c>
      <c r="E27" s="120">
        <f t="array" ref="E27:E27">IF(F27="","",IFERROR(INDEX('1.職能辭典'!$A:$A,MATCH(F27,'1.職能辭典'!$C:$C,0)),""))</f>
        <v/>
      </c>
      <c r="F27" s="94" t="n"/>
      <c r="G27" s="120">
        <f t="array" ref="G27:G27">IF(OR(D27="",F27=""),"",IFERROR(IF(AND(OR(INDEX('1.職能辭典'!$J:$J,MATCH(F27,'1.職能辭典'!$C:$C,0))="全部",INDEX('3.員工名單'!$H:$H,MATCH(A27,'3.員工名單'!$A:$A,0))="兩款共用",INDEX('3.員工名單'!$H:$H,MATCH(A27,'3.員工名單'!$A:$A,0))=INDEX('1.職能辭典'!$J:$J,MATCH(F27,'1.職能辭典'!$C:$C,0))),OR(INDEX('1.職能辭典'!$K:$K,MATCH(F27,'1.職能辭典'!$C:$C,0))="全部",SUMPRODUCT(ISNUMBER(SEARCH({"經營","管理","財務","企劃","營運","技術","數據","美術","測試","客服"},INDEX('3.員工名單'!$I:$I,MATCH(A27,'3.員工名單'!$A:$A,0))))*ISNUMBER(SEARCH({"經營","管理","財務","企劃","營運","技術","數據","美術","測試","客服"},INDEX('1.職能辭典'!$K:$K,MATCH(F27,'1.職能辭典'!$C:$C,0)))))&gt;0)),INDEX('2.職務職能需求'!$B$2:$F$28,MATCH(F27,'2.職務職能需求'!$A$2:$A$28,0),MATCH(D27,'2.職務職能需求'!$B$1:$F$1,0)),0),""))</f>
        <v/>
      </c>
      <c r="H27" s="94" t="n"/>
      <c r="I27" s="94" t="n"/>
      <c r="J27" s="120">
        <f>IF(OR(G27="",I27="",G27=0),"",I27-G27)</f>
        <v/>
      </c>
      <c r="K27" s="120">
        <f>IF(G27="","",IF(G27=0,"不適用",IF(I27="","待評核",IF(I27&gt;=G27,IF(I27&gt;G27,"超越","達標"),"待發展"))))</f>
        <v/>
      </c>
      <c r="L27" s="91" t="n"/>
      <c r="M27" s="91" t="n"/>
      <c r="N27" s="88" t="n"/>
    </row>
    <row r="28" ht="15.75" customHeight="1" s="64">
      <c r="A28" s="88" t="n"/>
      <c r="B28" s="120">
        <f t="array" ref="B28:B28">IF(A28="","",IFERROR(INDEX('3.員工名單'!$B:$B,MATCH(A28,'3.員工名單'!$A:$A,0)),"查無此員工"))</f>
        <v/>
      </c>
      <c r="C28" s="120">
        <f t="array" ref="C28:C28">IF(A28="","",IFERROR(INDEX('3.員工名單'!$C:$C,MATCH(A28,'3.員工名單'!$A:$A,0)),""))</f>
        <v/>
      </c>
      <c r="D28" s="120">
        <f t="array" ref="D28:D28">IF(A28="","",IFERROR(INDEX('3.員工名單'!$D:$D,MATCH(A28,'3.員工名單'!$A:$A,0)),""))</f>
        <v/>
      </c>
      <c r="E28" s="120">
        <f t="array" ref="E28:E28">IF(F28="","",IFERROR(INDEX('1.職能辭典'!$A:$A,MATCH(F28,'1.職能辭典'!$C:$C,0)),""))</f>
        <v/>
      </c>
      <c r="F28" s="94" t="n"/>
      <c r="G28" s="120">
        <f t="array" ref="G28:G28">IF(OR(D28="",F28=""),"",IFERROR(IF(AND(OR(INDEX('1.職能辭典'!$J:$J,MATCH(F28,'1.職能辭典'!$C:$C,0))="全部",INDEX('3.員工名單'!$H:$H,MATCH(A28,'3.員工名單'!$A:$A,0))="兩款共用",INDEX('3.員工名單'!$H:$H,MATCH(A28,'3.員工名單'!$A:$A,0))=INDEX('1.職能辭典'!$J:$J,MATCH(F28,'1.職能辭典'!$C:$C,0))),OR(INDEX('1.職能辭典'!$K:$K,MATCH(F28,'1.職能辭典'!$C:$C,0))="全部",SUMPRODUCT(ISNUMBER(SEARCH({"經營","管理","財務","企劃","營運","技術","數據","美術","測試","客服"},INDEX('3.員工名單'!$I:$I,MATCH(A28,'3.員工名單'!$A:$A,0))))*ISNUMBER(SEARCH({"經營","管理","財務","企劃","營運","技術","數據","美術","測試","客服"},INDEX('1.職能辭典'!$K:$K,MATCH(F28,'1.職能辭典'!$C:$C,0)))))&gt;0)),INDEX('2.職務職能需求'!$B$2:$F$28,MATCH(F28,'2.職務職能需求'!$A$2:$A$28,0),MATCH(D28,'2.職務職能需求'!$B$1:$F$1,0)),0),""))</f>
        <v/>
      </c>
      <c r="H28" s="94" t="n"/>
      <c r="I28" s="94" t="n"/>
      <c r="J28" s="120">
        <f>IF(OR(G28="",I28="",G28=0),"",I28-G28)</f>
        <v/>
      </c>
      <c r="K28" s="120">
        <f>IF(G28="","",IF(G28=0,"不適用",IF(I28="","待評核",IF(I28&gt;=G28,IF(I28&gt;G28,"超越","達標"),"待發展"))))</f>
        <v/>
      </c>
      <c r="L28" s="91" t="n"/>
      <c r="M28" s="91" t="n"/>
      <c r="N28" s="88" t="n"/>
    </row>
    <row r="29" ht="15.75" customHeight="1" s="64">
      <c r="A29" s="88" t="n"/>
      <c r="B29" s="120">
        <f t="array" ref="B29:B29">IF(A29="","",IFERROR(INDEX('3.員工名單'!$B:$B,MATCH(A29,'3.員工名單'!$A:$A,0)),"查無此員工"))</f>
        <v/>
      </c>
      <c r="C29" s="120">
        <f t="array" ref="C29:C29">IF(A29="","",IFERROR(INDEX('3.員工名單'!$C:$C,MATCH(A29,'3.員工名單'!$A:$A,0)),""))</f>
        <v/>
      </c>
      <c r="D29" s="120">
        <f t="array" ref="D29:D29">IF(A29="","",IFERROR(INDEX('3.員工名單'!$D:$D,MATCH(A29,'3.員工名單'!$A:$A,0)),""))</f>
        <v/>
      </c>
      <c r="E29" s="120">
        <f t="array" ref="E29:E29">IF(F29="","",IFERROR(INDEX('1.職能辭典'!$A:$A,MATCH(F29,'1.職能辭典'!$C:$C,0)),""))</f>
        <v/>
      </c>
      <c r="F29" s="94" t="n"/>
      <c r="G29" s="120">
        <f t="array" ref="G29:G29">IF(OR(D29="",F29=""),"",IFERROR(IF(AND(OR(INDEX('1.職能辭典'!$J:$J,MATCH(F29,'1.職能辭典'!$C:$C,0))="全部",INDEX('3.員工名單'!$H:$H,MATCH(A29,'3.員工名單'!$A:$A,0))="兩款共用",INDEX('3.員工名單'!$H:$H,MATCH(A29,'3.員工名單'!$A:$A,0))=INDEX('1.職能辭典'!$J:$J,MATCH(F29,'1.職能辭典'!$C:$C,0))),OR(INDEX('1.職能辭典'!$K:$K,MATCH(F29,'1.職能辭典'!$C:$C,0))="全部",SUMPRODUCT(ISNUMBER(SEARCH({"經營","管理","財務","企劃","營運","技術","數據","美術","測試","客服"},INDEX('3.員工名單'!$I:$I,MATCH(A29,'3.員工名單'!$A:$A,0))))*ISNUMBER(SEARCH({"經營","管理","財務","企劃","營運","技術","數據","美術","測試","客服"},INDEX('1.職能辭典'!$K:$K,MATCH(F29,'1.職能辭典'!$C:$C,0)))))&gt;0)),INDEX('2.職務職能需求'!$B$2:$F$28,MATCH(F29,'2.職務職能需求'!$A$2:$A$28,0),MATCH(D29,'2.職務職能需求'!$B$1:$F$1,0)),0),""))</f>
        <v/>
      </c>
      <c r="H29" s="94" t="n"/>
      <c r="I29" s="94" t="n"/>
      <c r="J29" s="120">
        <f>IF(OR(G29="",I29="",G29=0),"",I29-G29)</f>
        <v/>
      </c>
      <c r="K29" s="120">
        <f>IF(G29="","",IF(G29=0,"不適用",IF(I29="","待評核",IF(I29&gt;=G29,IF(I29&gt;G29,"超越","達標"),"待發展"))))</f>
        <v/>
      </c>
      <c r="L29" s="91" t="n"/>
      <c r="M29" s="91" t="n"/>
      <c r="N29" s="88" t="n"/>
    </row>
    <row r="30" ht="15.75" customHeight="1" s="64">
      <c r="A30" s="88" t="n"/>
      <c r="B30" s="120">
        <f t="array" ref="B30:B30">IF(A30="","",IFERROR(INDEX('3.員工名單'!$B:$B,MATCH(A30,'3.員工名單'!$A:$A,0)),"查無此員工"))</f>
        <v/>
      </c>
      <c r="C30" s="120">
        <f t="array" ref="C30:C30">IF(A30="","",IFERROR(INDEX('3.員工名單'!$C:$C,MATCH(A30,'3.員工名單'!$A:$A,0)),""))</f>
        <v/>
      </c>
      <c r="D30" s="120">
        <f t="array" ref="D30:D30">IF(A30="","",IFERROR(INDEX('3.員工名單'!$D:$D,MATCH(A30,'3.員工名單'!$A:$A,0)),""))</f>
        <v/>
      </c>
      <c r="E30" s="120">
        <f t="array" ref="E30:E30">IF(F30="","",IFERROR(INDEX('1.職能辭典'!$A:$A,MATCH(F30,'1.職能辭典'!$C:$C,0)),""))</f>
        <v/>
      </c>
      <c r="F30" s="94" t="n"/>
      <c r="G30" s="120">
        <f t="array" ref="G30:G30">IF(OR(D30="",F30=""),"",IFERROR(IF(AND(OR(INDEX('1.職能辭典'!$J:$J,MATCH(F30,'1.職能辭典'!$C:$C,0))="全部",INDEX('3.員工名單'!$H:$H,MATCH(A30,'3.員工名單'!$A:$A,0))="兩款共用",INDEX('3.員工名單'!$H:$H,MATCH(A30,'3.員工名單'!$A:$A,0))=INDEX('1.職能辭典'!$J:$J,MATCH(F30,'1.職能辭典'!$C:$C,0))),OR(INDEX('1.職能辭典'!$K:$K,MATCH(F30,'1.職能辭典'!$C:$C,0))="全部",SUMPRODUCT(ISNUMBER(SEARCH({"經營","管理","財務","企劃","營運","技術","數據","美術","測試","客服"},INDEX('3.員工名單'!$I:$I,MATCH(A30,'3.員工名單'!$A:$A,0))))*ISNUMBER(SEARCH({"經營","管理","財務","企劃","營運","技術","數據","美術","測試","客服"},INDEX('1.職能辭典'!$K:$K,MATCH(F30,'1.職能辭典'!$C:$C,0)))))&gt;0)),INDEX('2.職務職能需求'!$B$2:$F$28,MATCH(F30,'2.職務職能需求'!$A$2:$A$28,0),MATCH(D30,'2.職務職能需求'!$B$1:$F$1,0)),0),""))</f>
        <v/>
      </c>
      <c r="H30" s="94" t="n"/>
      <c r="I30" s="94" t="n"/>
      <c r="J30" s="120">
        <f>IF(OR(G30="",I30="",G30=0),"",I30-G30)</f>
        <v/>
      </c>
      <c r="K30" s="120">
        <f>IF(G30="","",IF(G30=0,"不適用",IF(I30="","待評核",IF(I30&gt;=G30,IF(I30&gt;G30,"超越","達標"),"待發展"))))</f>
        <v/>
      </c>
      <c r="L30" s="91" t="n"/>
      <c r="M30" s="91" t="n"/>
      <c r="N30" s="88" t="n"/>
    </row>
    <row r="31" ht="15.75" customHeight="1" s="64">
      <c r="A31" s="88" t="n"/>
      <c r="B31" s="120">
        <f t="array" ref="B31:B31">IF(A31="","",IFERROR(INDEX('3.員工名單'!$B:$B,MATCH(A31,'3.員工名單'!$A:$A,0)),"查無此員工"))</f>
        <v/>
      </c>
      <c r="C31" s="120">
        <f t="array" ref="C31:C31">IF(A31="","",IFERROR(INDEX('3.員工名單'!$C:$C,MATCH(A31,'3.員工名單'!$A:$A,0)),""))</f>
        <v/>
      </c>
      <c r="D31" s="120">
        <f t="array" ref="D31:D31">IF(A31="","",IFERROR(INDEX('3.員工名單'!$D:$D,MATCH(A31,'3.員工名單'!$A:$A,0)),""))</f>
        <v/>
      </c>
      <c r="E31" s="120">
        <f t="array" ref="E31:E31">IF(F31="","",IFERROR(INDEX('1.職能辭典'!$A:$A,MATCH(F31,'1.職能辭典'!$C:$C,0)),""))</f>
        <v/>
      </c>
      <c r="F31" s="94" t="n"/>
      <c r="G31" s="120">
        <f t="array" ref="G31:G31">IF(OR(D31="",F31=""),"",IFERROR(IF(AND(OR(INDEX('1.職能辭典'!$J:$J,MATCH(F31,'1.職能辭典'!$C:$C,0))="全部",INDEX('3.員工名單'!$H:$H,MATCH(A31,'3.員工名單'!$A:$A,0))="兩款共用",INDEX('3.員工名單'!$H:$H,MATCH(A31,'3.員工名單'!$A:$A,0))=INDEX('1.職能辭典'!$J:$J,MATCH(F31,'1.職能辭典'!$C:$C,0))),OR(INDEX('1.職能辭典'!$K:$K,MATCH(F31,'1.職能辭典'!$C:$C,0))="全部",SUMPRODUCT(ISNUMBER(SEARCH({"經營","管理","財務","企劃","營運","技術","數據","美術","測試","客服"},INDEX('3.員工名單'!$I:$I,MATCH(A31,'3.員工名單'!$A:$A,0))))*ISNUMBER(SEARCH({"經營","管理","財務","企劃","營運","技術","數據","美術","測試","客服"},INDEX('1.職能辭典'!$K:$K,MATCH(F31,'1.職能辭典'!$C:$C,0)))))&gt;0)),INDEX('2.職務職能需求'!$B$2:$F$28,MATCH(F31,'2.職務職能需求'!$A$2:$A$28,0),MATCH(D31,'2.職務職能需求'!$B$1:$F$1,0)),0),""))</f>
        <v/>
      </c>
      <c r="H31" s="94" t="n"/>
      <c r="I31" s="94" t="n"/>
      <c r="J31" s="120">
        <f>IF(OR(G31="",I31="",G31=0),"",I31-G31)</f>
        <v/>
      </c>
      <c r="K31" s="120">
        <f>IF(G31="","",IF(G31=0,"不適用",IF(I31="","待評核",IF(I31&gt;=G31,IF(I31&gt;G31,"超越","達標"),"待發展"))))</f>
        <v/>
      </c>
      <c r="L31" s="91" t="n"/>
      <c r="M31" s="91" t="n"/>
      <c r="N31" s="88" t="n"/>
    </row>
    <row r="32" ht="15.75" customHeight="1" s="64">
      <c r="A32" s="88" t="n"/>
      <c r="B32" s="120">
        <f t="array" ref="B32:B32">IF(A32="","",IFERROR(INDEX('3.員工名單'!$B:$B,MATCH(A32,'3.員工名單'!$A:$A,0)),"查無此員工"))</f>
        <v/>
      </c>
      <c r="C32" s="120">
        <f t="array" ref="C32:C32">IF(A32="","",IFERROR(INDEX('3.員工名單'!$C:$C,MATCH(A32,'3.員工名單'!$A:$A,0)),""))</f>
        <v/>
      </c>
      <c r="D32" s="120">
        <f t="array" ref="D32:D32">IF(A32="","",IFERROR(INDEX('3.員工名單'!$D:$D,MATCH(A32,'3.員工名單'!$A:$A,0)),""))</f>
        <v/>
      </c>
      <c r="E32" s="120">
        <f t="array" ref="E32:E32">IF(F32="","",IFERROR(INDEX('1.職能辭典'!$A:$A,MATCH(F32,'1.職能辭典'!$C:$C,0)),""))</f>
        <v/>
      </c>
      <c r="F32" s="94" t="n"/>
      <c r="G32" s="120">
        <f t="array" ref="G32:G32">IF(OR(D32="",F32=""),"",IFERROR(IF(AND(OR(INDEX('1.職能辭典'!$J:$J,MATCH(F32,'1.職能辭典'!$C:$C,0))="全部",INDEX('3.員工名單'!$H:$H,MATCH(A32,'3.員工名單'!$A:$A,0))="兩款共用",INDEX('3.員工名單'!$H:$H,MATCH(A32,'3.員工名單'!$A:$A,0))=INDEX('1.職能辭典'!$J:$J,MATCH(F32,'1.職能辭典'!$C:$C,0))),OR(INDEX('1.職能辭典'!$K:$K,MATCH(F32,'1.職能辭典'!$C:$C,0))="全部",SUMPRODUCT(ISNUMBER(SEARCH({"經營","管理","財務","企劃","營運","技術","數據","美術","測試","客服"},INDEX('3.員工名單'!$I:$I,MATCH(A32,'3.員工名單'!$A:$A,0))))*ISNUMBER(SEARCH({"經營","管理","財務","企劃","營運","技術","數據","美術","測試","客服"},INDEX('1.職能辭典'!$K:$K,MATCH(F32,'1.職能辭典'!$C:$C,0)))))&gt;0)),INDEX('2.職務職能需求'!$B$2:$F$28,MATCH(F32,'2.職務職能需求'!$A$2:$A$28,0),MATCH(D32,'2.職務職能需求'!$B$1:$F$1,0)),0),""))</f>
        <v/>
      </c>
      <c r="H32" s="94" t="n"/>
      <c r="I32" s="94" t="n"/>
      <c r="J32" s="120">
        <f>IF(OR(G32="",I32="",G32=0),"",I32-G32)</f>
        <v/>
      </c>
      <c r="K32" s="120">
        <f>IF(G32="","",IF(G32=0,"不適用",IF(I32="","待評核",IF(I32&gt;=G32,IF(I32&gt;G32,"超越","達標"),"待發展"))))</f>
        <v/>
      </c>
      <c r="L32" s="91" t="n"/>
      <c r="M32" s="91" t="n"/>
      <c r="N32" s="88" t="n"/>
    </row>
    <row r="33" ht="15.75" customHeight="1" s="64">
      <c r="A33" s="88" t="n"/>
      <c r="B33" s="120">
        <f t="array" ref="B33:B33">IF(A33="","",IFERROR(INDEX('3.員工名單'!$B:$B,MATCH(A33,'3.員工名單'!$A:$A,0)),"查無此員工"))</f>
        <v/>
      </c>
      <c r="C33" s="120">
        <f t="array" ref="C33:C33">IF(A33="","",IFERROR(INDEX('3.員工名單'!$C:$C,MATCH(A33,'3.員工名單'!$A:$A,0)),""))</f>
        <v/>
      </c>
      <c r="D33" s="120">
        <f t="array" ref="D33:D33">IF(A33="","",IFERROR(INDEX('3.員工名單'!$D:$D,MATCH(A33,'3.員工名單'!$A:$A,0)),""))</f>
        <v/>
      </c>
      <c r="E33" s="120">
        <f t="array" ref="E33:E33">IF(F33="","",IFERROR(INDEX('1.職能辭典'!$A:$A,MATCH(F33,'1.職能辭典'!$C:$C,0)),""))</f>
        <v/>
      </c>
      <c r="F33" s="94" t="n"/>
      <c r="G33" s="120">
        <f t="array" ref="G33:G33">IF(OR(D33="",F33=""),"",IFERROR(IF(AND(OR(INDEX('1.職能辭典'!$J:$J,MATCH(F33,'1.職能辭典'!$C:$C,0))="全部",INDEX('3.員工名單'!$H:$H,MATCH(A33,'3.員工名單'!$A:$A,0))="兩款共用",INDEX('3.員工名單'!$H:$H,MATCH(A33,'3.員工名單'!$A:$A,0))=INDEX('1.職能辭典'!$J:$J,MATCH(F33,'1.職能辭典'!$C:$C,0))),OR(INDEX('1.職能辭典'!$K:$K,MATCH(F33,'1.職能辭典'!$C:$C,0))="全部",SUMPRODUCT(ISNUMBER(SEARCH({"經營","管理","財務","企劃","營運","技術","數據","美術","測試","客服"},INDEX('3.員工名單'!$I:$I,MATCH(A33,'3.員工名單'!$A:$A,0))))*ISNUMBER(SEARCH({"經營","管理","財務","企劃","營運","技術","數據","美術","測試","客服"},INDEX('1.職能辭典'!$K:$K,MATCH(F33,'1.職能辭典'!$C:$C,0)))))&gt;0)),INDEX('2.職務職能需求'!$B$2:$F$28,MATCH(F33,'2.職務職能需求'!$A$2:$A$28,0),MATCH(D33,'2.職務職能需求'!$B$1:$F$1,0)),0),""))</f>
        <v/>
      </c>
      <c r="H33" s="94" t="n"/>
      <c r="I33" s="94" t="n"/>
      <c r="J33" s="120">
        <f>IF(OR(G33="",I33="",G33=0),"",I33-G33)</f>
        <v/>
      </c>
      <c r="K33" s="120">
        <f>IF(G33="","",IF(G33=0,"不適用",IF(I33="","待評核",IF(I33&gt;=G33,IF(I33&gt;G33,"超越","達標"),"待發展"))))</f>
        <v/>
      </c>
      <c r="L33" s="91" t="n"/>
      <c r="M33" s="91" t="n"/>
      <c r="N33" s="88" t="n"/>
    </row>
    <row r="34" ht="15.75" customHeight="1" s="64">
      <c r="A34" s="88" t="n"/>
      <c r="B34" s="120">
        <f t="array" ref="B34:B34">IF(A34="","",IFERROR(INDEX('3.員工名單'!$B:$B,MATCH(A34,'3.員工名單'!$A:$A,0)),"查無此員工"))</f>
        <v/>
      </c>
      <c r="C34" s="120">
        <f t="array" ref="C34:C34">IF(A34="","",IFERROR(INDEX('3.員工名單'!$C:$C,MATCH(A34,'3.員工名單'!$A:$A,0)),""))</f>
        <v/>
      </c>
      <c r="D34" s="120">
        <f t="array" ref="D34:D34">IF(A34="","",IFERROR(INDEX('3.員工名單'!$D:$D,MATCH(A34,'3.員工名單'!$A:$A,0)),""))</f>
        <v/>
      </c>
      <c r="E34" s="120">
        <f t="array" ref="E34:E34">IF(F34="","",IFERROR(INDEX('1.職能辭典'!$A:$A,MATCH(F34,'1.職能辭典'!$C:$C,0)),""))</f>
        <v/>
      </c>
      <c r="F34" s="94" t="n"/>
      <c r="G34" s="120">
        <f t="array" ref="G34:G34">IF(OR(D34="",F34=""),"",IFERROR(IF(AND(OR(INDEX('1.職能辭典'!$J:$J,MATCH(F34,'1.職能辭典'!$C:$C,0))="全部",INDEX('3.員工名單'!$H:$H,MATCH(A34,'3.員工名單'!$A:$A,0))="兩款共用",INDEX('3.員工名單'!$H:$H,MATCH(A34,'3.員工名單'!$A:$A,0))=INDEX('1.職能辭典'!$J:$J,MATCH(F34,'1.職能辭典'!$C:$C,0))),OR(INDEX('1.職能辭典'!$K:$K,MATCH(F34,'1.職能辭典'!$C:$C,0))="全部",SUMPRODUCT(ISNUMBER(SEARCH({"經營","管理","財務","企劃","營運","技術","數據","美術","測試","客服"},INDEX('3.員工名單'!$I:$I,MATCH(A34,'3.員工名單'!$A:$A,0))))*ISNUMBER(SEARCH({"經營","管理","財務","企劃","營運","技術","數據","美術","測試","客服"},INDEX('1.職能辭典'!$K:$K,MATCH(F34,'1.職能辭典'!$C:$C,0)))))&gt;0)),INDEX('2.職務職能需求'!$B$2:$F$28,MATCH(F34,'2.職務職能需求'!$A$2:$A$28,0),MATCH(D34,'2.職務職能需求'!$B$1:$F$1,0)),0),""))</f>
        <v/>
      </c>
      <c r="H34" s="94" t="n"/>
      <c r="I34" s="94" t="n"/>
      <c r="J34" s="120">
        <f>IF(OR(G34="",I34="",G34=0),"",I34-G34)</f>
        <v/>
      </c>
      <c r="K34" s="120">
        <f>IF(G34="","",IF(G34=0,"不適用",IF(I34="","待評核",IF(I34&gt;=G34,IF(I34&gt;G34,"超越","達標"),"待發展"))))</f>
        <v/>
      </c>
      <c r="L34" s="91" t="n"/>
      <c r="M34" s="91" t="n"/>
      <c r="N34" s="88" t="n"/>
    </row>
    <row r="35" ht="15.75" customHeight="1" s="64">
      <c r="A35" s="88" t="n"/>
      <c r="B35" s="120">
        <f t="array" ref="B35:B35">IF(A35="","",IFERROR(INDEX('3.員工名單'!$B:$B,MATCH(A35,'3.員工名單'!$A:$A,0)),"查無此員工"))</f>
        <v/>
      </c>
      <c r="C35" s="120">
        <f t="array" ref="C35:C35">IF(A35="","",IFERROR(INDEX('3.員工名單'!$C:$C,MATCH(A35,'3.員工名單'!$A:$A,0)),""))</f>
        <v/>
      </c>
      <c r="D35" s="120">
        <f t="array" ref="D35:D35">IF(A35="","",IFERROR(INDEX('3.員工名單'!$D:$D,MATCH(A35,'3.員工名單'!$A:$A,0)),""))</f>
        <v/>
      </c>
      <c r="E35" s="120">
        <f t="array" ref="E35:E35">IF(F35="","",IFERROR(INDEX('1.職能辭典'!$A:$A,MATCH(F35,'1.職能辭典'!$C:$C,0)),""))</f>
        <v/>
      </c>
      <c r="F35" s="94" t="n"/>
      <c r="G35" s="120">
        <f t="array" ref="G35:G35">IF(OR(D35="",F35=""),"",IFERROR(IF(AND(OR(INDEX('1.職能辭典'!$J:$J,MATCH(F35,'1.職能辭典'!$C:$C,0))="全部",INDEX('3.員工名單'!$H:$H,MATCH(A35,'3.員工名單'!$A:$A,0))="兩款共用",INDEX('3.員工名單'!$H:$H,MATCH(A35,'3.員工名單'!$A:$A,0))=INDEX('1.職能辭典'!$J:$J,MATCH(F35,'1.職能辭典'!$C:$C,0))),OR(INDEX('1.職能辭典'!$K:$K,MATCH(F35,'1.職能辭典'!$C:$C,0))="全部",SUMPRODUCT(ISNUMBER(SEARCH({"經營","管理","財務","企劃","營運","技術","數據","美術","測試","客服"},INDEX('3.員工名單'!$I:$I,MATCH(A35,'3.員工名單'!$A:$A,0))))*ISNUMBER(SEARCH({"經營","管理","財務","企劃","營運","技術","數據","美術","測試","客服"},INDEX('1.職能辭典'!$K:$K,MATCH(F35,'1.職能辭典'!$C:$C,0)))))&gt;0)),INDEX('2.職務職能需求'!$B$2:$F$28,MATCH(F35,'2.職務職能需求'!$A$2:$A$28,0),MATCH(D35,'2.職務職能需求'!$B$1:$F$1,0)),0),""))</f>
        <v/>
      </c>
      <c r="H35" s="94" t="n"/>
      <c r="I35" s="94" t="n"/>
      <c r="J35" s="120">
        <f>IF(OR(G35="",I35="",G35=0),"",I35-G35)</f>
        <v/>
      </c>
      <c r="K35" s="120">
        <f>IF(G35="","",IF(G35=0,"不適用",IF(I35="","待評核",IF(I35&gt;=G35,IF(I35&gt;G35,"超越","達標"),"待發展"))))</f>
        <v/>
      </c>
      <c r="L35" s="91" t="n"/>
      <c r="M35" s="91" t="n"/>
      <c r="N35" s="88" t="n"/>
    </row>
    <row r="36" ht="15.75" customHeight="1" s="64">
      <c r="A36" s="88" t="n"/>
      <c r="B36" s="120">
        <f t="array" ref="B36:B36">IF(A36="","",IFERROR(INDEX('3.員工名單'!$B:$B,MATCH(A36,'3.員工名單'!$A:$A,0)),"查無此員工"))</f>
        <v/>
      </c>
      <c r="C36" s="120">
        <f t="array" ref="C36:C36">IF(A36="","",IFERROR(INDEX('3.員工名單'!$C:$C,MATCH(A36,'3.員工名單'!$A:$A,0)),""))</f>
        <v/>
      </c>
      <c r="D36" s="120">
        <f t="array" ref="D36:D36">IF(A36="","",IFERROR(INDEX('3.員工名單'!$D:$D,MATCH(A36,'3.員工名單'!$A:$A,0)),""))</f>
        <v/>
      </c>
      <c r="E36" s="120">
        <f t="array" ref="E36:E36">IF(F36="","",IFERROR(INDEX('1.職能辭典'!$A:$A,MATCH(F36,'1.職能辭典'!$C:$C,0)),""))</f>
        <v/>
      </c>
      <c r="F36" s="94" t="n"/>
      <c r="G36" s="120">
        <f t="array" ref="G36:G36">IF(OR(D36="",F36=""),"",IFERROR(IF(AND(OR(INDEX('1.職能辭典'!$J:$J,MATCH(F36,'1.職能辭典'!$C:$C,0))="全部",INDEX('3.員工名單'!$H:$H,MATCH(A36,'3.員工名單'!$A:$A,0))="兩款共用",INDEX('3.員工名單'!$H:$H,MATCH(A36,'3.員工名單'!$A:$A,0))=INDEX('1.職能辭典'!$J:$J,MATCH(F36,'1.職能辭典'!$C:$C,0))),OR(INDEX('1.職能辭典'!$K:$K,MATCH(F36,'1.職能辭典'!$C:$C,0))="全部",SUMPRODUCT(ISNUMBER(SEARCH({"經營","管理","財務","企劃","營運","技術","數據","美術","測試","客服"},INDEX('3.員工名單'!$I:$I,MATCH(A36,'3.員工名單'!$A:$A,0))))*ISNUMBER(SEARCH({"經營","管理","財務","企劃","營運","技術","數據","美術","測試","客服"},INDEX('1.職能辭典'!$K:$K,MATCH(F36,'1.職能辭典'!$C:$C,0)))))&gt;0)),INDEX('2.職務職能需求'!$B$2:$F$28,MATCH(F36,'2.職務職能需求'!$A$2:$A$28,0),MATCH(D36,'2.職務職能需求'!$B$1:$F$1,0)),0),""))</f>
        <v/>
      </c>
      <c r="H36" s="94" t="n"/>
      <c r="I36" s="94" t="n"/>
      <c r="J36" s="120">
        <f>IF(OR(G36="",I36="",G36=0),"",I36-G36)</f>
        <v/>
      </c>
      <c r="K36" s="120">
        <f>IF(G36="","",IF(G36=0,"不適用",IF(I36="","待評核",IF(I36&gt;=G36,IF(I36&gt;G36,"超越","達標"),"待發展"))))</f>
        <v/>
      </c>
      <c r="L36" s="91" t="n"/>
      <c r="M36" s="91" t="n"/>
      <c r="N36" s="88" t="n"/>
    </row>
    <row r="37" ht="15.75" customHeight="1" s="64">
      <c r="A37" s="88" t="n"/>
      <c r="B37" s="120">
        <f t="array" ref="B37:B37">IF(A37="","",IFERROR(INDEX('3.員工名單'!$B:$B,MATCH(A37,'3.員工名單'!$A:$A,0)),"查無此員工"))</f>
        <v/>
      </c>
      <c r="C37" s="120">
        <f t="array" ref="C37:C37">IF(A37="","",IFERROR(INDEX('3.員工名單'!$C:$C,MATCH(A37,'3.員工名單'!$A:$A,0)),""))</f>
        <v/>
      </c>
      <c r="D37" s="120">
        <f t="array" ref="D37:D37">IF(A37="","",IFERROR(INDEX('3.員工名單'!$D:$D,MATCH(A37,'3.員工名單'!$A:$A,0)),""))</f>
        <v/>
      </c>
      <c r="E37" s="120">
        <f t="array" ref="E37:E37">IF(F37="","",IFERROR(INDEX('1.職能辭典'!$A:$A,MATCH(F37,'1.職能辭典'!$C:$C,0)),""))</f>
        <v/>
      </c>
      <c r="F37" s="94" t="n"/>
      <c r="G37" s="120">
        <f t="array" ref="G37:G37">IF(OR(D37="",F37=""),"",IFERROR(IF(AND(OR(INDEX('1.職能辭典'!$J:$J,MATCH(F37,'1.職能辭典'!$C:$C,0))="全部",INDEX('3.員工名單'!$H:$H,MATCH(A37,'3.員工名單'!$A:$A,0))="兩款共用",INDEX('3.員工名單'!$H:$H,MATCH(A37,'3.員工名單'!$A:$A,0))=INDEX('1.職能辭典'!$J:$J,MATCH(F37,'1.職能辭典'!$C:$C,0))),OR(INDEX('1.職能辭典'!$K:$K,MATCH(F37,'1.職能辭典'!$C:$C,0))="全部",SUMPRODUCT(ISNUMBER(SEARCH({"經營","管理","財務","企劃","營運","技術","數據","美術","測試","客服"},INDEX('3.員工名單'!$I:$I,MATCH(A37,'3.員工名單'!$A:$A,0))))*ISNUMBER(SEARCH({"經營","管理","財務","企劃","營運","技術","數據","美術","測試","客服"},INDEX('1.職能辭典'!$K:$K,MATCH(F37,'1.職能辭典'!$C:$C,0)))))&gt;0)),INDEX('2.職務職能需求'!$B$2:$F$28,MATCH(F37,'2.職務職能需求'!$A$2:$A$28,0),MATCH(D37,'2.職務職能需求'!$B$1:$F$1,0)),0),""))</f>
        <v/>
      </c>
      <c r="H37" s="94" t="n"/>
      <c r="I37" s="94" t="n"/>
      <c r="J37" s="120">
        <f>IF(OR(G37="",I37="",G37=0),"",I37-G37)</f>
        <v/>
      </c>
      <c r="K37" s="120">
        <f>IF(G37="","",IF(G37=0,"不適用",IF(I37="","待評核",IF(I37&gt;=G37,IF(I37&gt;G37,"超越","達標"),"待發展"))))</f>
        <v/>
      </c>
      <c r="L37" s="91" t="n"/>
      <c r="M37" s="91" t="n"/>
      <c r="N37" s="88" t="n"/>
    </row>
    <row r="38" ht="15.75" customHeight="1" s="64">
      <c r="A38" s="88" t="n"/>
      <c r="B38" s="120">
        <f t="array" ref="B38:B38">IF(A38="","",IFERROR(INDEX('3.員工名單'!$B:$B,MATCH(A38,'3.員工名單'!$A:$A,0)),"查無此員工"))</f>
        <v/>
      </c>
      <c r="C38" s="120">
        <f t="array" ref="C38:C38">IF(A38="","",IFERROR(INDEX('3.員工名單'!$C:$C,MATCH(A38,'3.員工名單'!$A:$A,0)),""))</f>
        <v/>
      </c>
      <c r="D38" s="120">
        <f t="array" ref="D38:D38">IF(A38="","",IFERROR(INDEX('3.員工名單'!$D:$D,MATCH(A38,'3.員工名單'!$A:$A,0)),""))</f>
        <v/>
      </c>
      <c r="E38" s="120">
        <f t="array" ref="E38:E38">IF(F38="","",IFERROR(INDEX('1.職能辭典'!$A:$A,MATCH(F38,'1.職能辭典'!$C:$C,0)),""))</f>
        <v/>
      </c>
      <c r="F38" s="94" t="n"/>
      <c r="G38" s="120">
        <f t="array" ref="G38:G38">IF(OR(D38="",F38=""),"",IFERROR(IF(AND(OR(INDEX('1.職能辭典'!$J:$J,MATCH(F38,'1.職能辭典'!$C:$C,0))="全部",INDEX('3.員工名單'!$H:$H,MATCH(A38,'3.員工名單'!$A:$A,0))="兩款共用",INDEX('3.員工名單'!$H:$H,MATCH(A38,'3.員工名單'!$A:$A,0))=INDEX('1.職能辭典'!$J:$J,MATCH(F38,'1.職能辭典'!$C:$C,0))),OR(INDEX('1.職能辭典'!$K:$K,MATCH(F38,'1.職能辭典'!$C:$C,0))="全部",SUMPRODUCT(ISNUMBER(SEARCH({"經營","管理","財務","企劃","營運","技術","數據","美術","測試","客服"},INDEX('3.員工名單'!$I:$I,MATCH(A38,'3.員工名單'!$A:$A,0))))*ISNUMBER(SEARCH({"經營","管理","財務","企劃","營運","技術","數據","美術","測試","客服"},INDEX('1.職能辭典'!$K:$K,MATCH(F38,'1.職能辭典'!$C:$C,0)))))&gt;0)),INDEX('2.職務職能需求'!$B$2:$F$28,MATCH(F38,'2.職務職能需求'!$A$2:$A$28,0),MATCH(D38,'2.職務職能需求'!$B$1:$F$1,0)),0),""))</f>
        <v/>
      </c>
      <c r="H38" s="94" t="n"/>
      <c r="I38" s="94" t="n"/>
      <c r="J38" s="120">
        <f>IF(OR(G38="",I38="",G38=0),"",I38-G38)</f>
        <v/>
      </c>
      <c r="K38" s="120">
        <f>IF(G38="","",IF(G38=0,"不適用",IF(I38="","待評核",IF(I38&gt;=G38,IF(I38&gt;G38,"超越","達標"),"待發展"))))</f>
        <v/>
      </c>
      <c r="L38" s="91" t="n"/>
      <c r="M38" s="91" t="n"/>
      <c r="N38" s="88" t="n"/>
    </row>
    <row r="39" ht="15.75" customHeight="1" s="64">
      <c r="A39" s="88" t="n"/>
      <c r="B39" s="120">
        <f t="array" ref="B39:B39">IF(A39="","",IFERROR(INDEX('3.員工名單'!$B:$B,MATCH(A39,'3.員工名單'!$A:$A,0)),"查無此員工"))</f>
        <v/>
      </c>
      <c r="C39" s="120">
        <f t="array" ref="C39:C39">IF(A39="","",IFERROR(INDEX('3.員工名單'!$C:$C,MATCH(A39,'3.員工名單'!$A:$A,0)),""))</f>
        <v/>
      </c>
      <c r="D39" s="120">
        <f t="array" ref="D39:D39">IF(A39="","",IFERROR(INDEX('3.員工名單'!$D:$D,MATCH(A39,'3.員工名單'!$A:$A,0)),""))</f>
        <v/>
      </c>
      <c r="E39" s="120">
        <f t="array" ref="E39:E39">IF(F39="","",IFERROR(INDEX('1.職能辭典'!$A:$A,MATCH(F39,'1.職能辭典'!$C:$C,0)),""))</f>
        <v/>
      </c>
      <c r="F39" s="94" t="n"/>
      <c r="G39" s="120">
        <f t="array" ref="G39:G39">IF(OR(D39="",F39=""),"",IFERROR(IF(AND(OR(INDEX('1.職能辭典'!$J:$J,MATCH(F39,'1.職能辭典'!$C:$C,0))="全部",INDEX('3.員工名單'!$H:$H,MATCH(A39,'3.員工名單'!$A:$A,0))="兩款共用",INDEX('3.員工名單'!$H:$H,MATCH(A39,'3.員工名單'!$A:$A,0))=INDEX('1.職能辭典'!$J:$J,MATCH(F39,'1.職能辭典'!$C:$C,0))),OR(INDEX('1.職能辭典'!$K:$K,MATCH(F39,'1.職能辭典'!$C:$C,0))="全部",SUMPRODUCT(ISNUMBER(SEARCH({"經營","管理","財務","企劃","營運","技術","數據","美術","測試","客服"},INDEX('3.員工名單'!$I:$I,MATCH(A39,'3.員工名單'!$A:$A,0))))*ISNUMBER(SEARCH({"經營","管理","財務","企劃","營運","技術","數據","美術","測試","客服"},INDEX('1.職能辭典'!$K:$K,MATCH(F39,'1.職能辭典'!$C:$C,0)))))&gt;0)),INDEX('2.職務職能需求'!$B$2:$F$28,MATCH(F39,'2.職務職能需求'!$A$2:$A$28,0),MATCH(D39,'2.職務職能需求'!$B$1:$F$1,0)),0),""))</f>
        <v/>
      </c>
      <c r="H39" s="94" t="n"/>
      <c r="I39" s="94" t="n"/>
      <c r="J39" s="120">
        <f>IF(OR(G39="",I39="",G39=0),"",I39-G39)</f>
        <v/>
      </c>
      <c r="K39" s="120">
        <f>IF(G39="","",IF(G39=0,"不適用",IF(I39="","待評核",IF(I39&gt;=G39,IF(I39&gt;G39,"超越","達標"),"待發展"))))</f>
        <v/>
      </c>
      <c r="L39" s="91" t="n"/>
      <c r="M39" s="91" t="n"/>
      <c r="N39" s="88" t="n"/>
    </row>
    <row r="40" ht="15.75" customHeight="1" s="64">
      <c r="A40" s="88" t="n"/>
      <c r="B40" s="120">
        <f t="array" ref="B40:B40">IF(A40="","",IFERROR(INDEX('3.員工名單'!$B:$B,MATCH(A40,'3.員工名單'!$A:$A,0)),"查無此員工"))</f>
        <v/>
      </c>
      <c r="C40" s="120">
        <f t="array" ref="C40:C40">IF(A40="","",IFERROR(INDEX('3.員工名單'!$C:$C,MATCH(A40,'3.員工名單'!$A:$A,0)),""))</f>
        <v/>
      </c>
      <c r="D40" s="120">
        <f t="array" ref="D40:D40">IF(A40="","",IFERROR(INDEX('3.員工名單'!$D:$D,MATCH(A40,'3.員工名單'!$A:$A,0)),""))</f>
        <v/>
      </c>
      <c r="E40" s="120">
        <f t="array" ref="E40:E40">IF(F40="","",IFERROR(INDEX('1.職能辭典'!$A:$A,MATCH(F40,'1.職能辭典'!$C:$C,0)),""))</f>
        <v/>
      </c>
      <c r="F40" s="94" t="n"/>
      <c r="G40" s="120">
        <f t="array" ref="G40:G40">IF(OR(D40="",F40=""),"",IFERROR(IF(AND(OR(INDEX('1.職能辭典'!$J:$J,MATCH(F40,'1.職能辭典'!$C:$C,0))="全部",INDEX('3.員工名單'!$H:$H,MATCH(A40,'3.員工名單'!$A:$A,0))="兩款共用",INDEX('3.員工名單'!$H:$H,MATCH(A40,'3.員工名單'!$A:$A,0))=INDEX('1.職能辭典'!$J:$J,MATCH(F40,'1.職能辭典'!$C:$C,0))),OR(INDEX('1.職能辭典'!$K:$K,MATCH(F40,'1.職能辭典'!$C:$C,0))="全部",SUMPRODUCT(ISNUMBER(SEARCH({"經營","管理","財務","企劃","營運","技術","數據","美術","測試","客服"},INDEX('3.員工名單'!$I:$I,MATCH(A40,'3.員工名單'!$A:$A,0))))*ISNUMBER(SEARCH({"經營","管理","財務","企劃","營運","技術","數據","美術","測試","客服"},INDEX('1.職能辭典'!$K:$K,MATCH(F40,'1.職能辭典'!$C:$C,0)))))&gt;0)),INDEX('2.職務職能需求'!$B$2:$F$28,MATCH(F40,'2.職務職能需求'!$A$2:$A$28,0),MATCH(D40,'2.職務職能需求'!$B$1:$F$1,0)),0),""))</f>
        <v/>
      </c>
      <c r="H40" s="94" t="n"/>
      <c r="I40" s="94" t="n"/>
      <c r="J40" s="120">
        <f>IF(OR(G40="",I40="",G40=0),"",I40-G40)</f>
        <v/>
      </c>
      <c r="K40" s="120">
        <f>IF(G40="","",IF(G40=0,"不適用",IF(I40="","待評核",IF(I40&gt;=G40,IF(I40&gt;G40,"超越","達標"),"待發展"))))</f>
        <v/>
      </c>
      <c r="L40" s="91" t="n"/>
      <c r="M40" s="91" t="n"/>
      <c r="N40" s="88" t="n"/>
    </row>
    <row r="41" ht="15.75" customHeight="1" s="64">
      <c r="A41" s="88" t="n"/>
      <c r="B41" s="120">
        <f t="array" ref="B41:B41">IF(A41="","",IFERROR(INDEX('3.員工名單'!$B:$B,MATCH(A41,'3.員工名單'!$A:$A,0)),"查無此員工"))</f>
        <v/>
      </c>
      <c r="C41" s="120">
        <f t="array" ref="C41:C41">IF(A41="","",IFERROR(INDEX('3.員工名單'!$C:$C,MATCH(A41,'3.員工名單'!$A:$A,0)),""))</f>
        <v/>
      </c>
      <c r="D41" s="120">
        <f t="array" ref="D41:D41">IF(A41="","",IFERROR(INDEX('3.員工名單'!$D:$D,MATCH(A41,'3.員工名單'!$A:$A,0)),""))</f>
        <v/>
      </c>
      <c r="E41" s="120">
        <f t="array" ref="E41:E41">IF(F41="","",IFERROR(INDEX('1.職能辭典'!$A:$A,MATCH(F41,'1.職能辭典'!$C:$C,0)),""))</f>
        <v/>
      </c>
      <c r="F41" s="94" t="n"/>
      <c r="G41" s="120">
        <f t="array" ref="G41:G41">IF(OR(D41="",F41=""),"",IFERROR(IF(AND(OR(INDEX('1.職能辭典'!$J:$J,MATCH(F41,'1.職能辭典'!$C:$C,0))="全部",INDEX('3.員工名單'!$H:$H,MATCH(A41,'3.員工名單'!$A:$A,0))="兩款共用",INDEX('3.員工名單'!$H:$H,MATCH(A41,'3.員工名單'!$A:$A,0))=INDEX('1.職能辭典'!$J:$J,MATCH(F41,'1.職能辭典'!$C:$C,0))),OR(INDEX('1.職能辭典'!$K:$K,MATCH(F41,'1.職能辭典'!$C:$C,0))="全部",SUMPRODUCT(ISNUMBER(SEARCH({"經營","管理","財務","企劃","營運","技術","數據","美術","測試","客服"},INDEX('3.員工名單'!$I:$I,MATCH(A41,'3.員工名單'!$A:$A,0))))*ISNUMBER(SEARCH({"經營","管理","財務","企劃","營運","技術","數據","美術","測試","客服"},INDEX('1.職能辭典'!$K:$K,MATCH(F41,'1.職能辭典'!$C:$C,0)))))&gt;0)),INDEX('2.職務職能需求'!$B$2:$F$28,MATCH(F41,'2.職務職能需求'!$A$2:$A$28,0),MATCH(D41,'2.職務職能需求'!$B$1:$F$1,0)),0),""))</f>
        <v/>
      </c>
      <c r="H41" s="94" t="n"/>
      <c r="I41" s="94" t="n"/>
      <c r="J41" s="120">
        <f>IF(OR(G41="",I41="",G41=0),"",I41-G41)</f>
        <v/>
      </c>
      <c r="K41" s="120">
        <f>IF(G41="","",IF(G41=0,"不適用",IF(I41="","待評核",IF(I41&gt;=G41,IF(I41&gt;G41,"超越","達標"),"待發展"))))</f>
        <v/>
      </c>
      <c r="L41" s="91" t="n"/>
      <c r="M41" s="91" t="n"/>
      <c r="N41" s="88" t="n"/>
    </row>
    <row r="42" ht="15.75" customHeight="1" s="64">
      <c r="A42" s="88" t="n"/>
      <c r="B42" s="120">
        <f t="array" ref="B42:B42">IF(A42="","",IFERROR(INDEX('3.員工名單'!$B:$B,MATCH(A42,'3.員工名單'!$A:$A,0)),"查無此員工"))</f>
        <v/>
      </c>
      <c r="C42" s="120">
        <f t="array" ref="C42:C42">IF(A42="","",IFERROR(INDEX('3.員工名單'!$C:$C,MATCH(A42,'3.員工名單'!$A:$A,0)),""))</f>
        <v/>
      </c>
      <c r="D42" s="120">
        <f t="array" ref="D42:D42">IF(A42="","",IFERROR(INDEX('3.員工名單'!$D:$D,MATCH(A42,'3.員工名單'!$A:$A,0)),""))</f>
        <v/>
      </c>
      <c r="E42" s="120">
        <f t="array" ref="E42:E42">IF(F42="","",IFERROR(INDEX('1.職能辭典'!$A:$A,MATCH(F42,'1.職能辭典'!$C:$C,0)),""))</f>
        <v/>
      </c>
      <c r="F42" s="94" t="n"/>
      <c r="G42" s="120">
        <f t="array" ref="G42:G42">IF(OR(D42="",F42=""),"",IFERROR(IF(AND(OR(INDEX('1.職能辭典'!$J:$J,MATCH(F42,'1.職能辭典'!$C:$C,0))="全部",INDEX('3.員工名單'!$H:$H,MATCH(A42,'3.員工名單'!$A:$A,0))="兩款共用",INDEX('3.員工名單'!$H:$H,MATCH(A42,'3.員工名單'!$A:$A,0))=INDEX('1.職能辭典'!$J:$J,MATCH(F42,'1.職能辭典'!$C:$C,0))),OR(INDEX('1.職能辭典'!$K:$K,MATCH(F42,'1.職能辭典'!$C:$C,0))="全部",SUMPRODUCT(ISNUMBER(SEARCH({"經營","管理","財務","企劃","營運","技術","數據","美術","測試","客服"},INDEX('3.員工名單'!$I:$I,MATCH(A42,'3.員工名單'!$A:$A,0))))*ISNUMBER(SEARCH({"經營","管理","財務","企劃","營運","技術","數據","美術","測試","客服"},INDEX('1.職能辭典'!$K:$K,MATCH(F42,'1.職能辭典'!$C:$C,0)))))&gt;0)),INDEX('2.職務職能需求'!$B$2:$F$28,MATCH(F42,'2.職務職能需求'!$A$2:$A$28,0),MATCH(D42,'2.職務職能需求'!$B$1:$F$1,0)),0),""))</f>
        <v/>
      </c>
      <c r="H42" s="94" t="n"/>
      <c r="I42" s="94" t="n"/>
      <c r="J42" s="120">
        <f>IF(OR(G42="",I42="",G42=0),"",I42-G42)</f>
        <v/>
      </c>
      <c r="K42" s="120">
        <f>IF(G42="","",IF(G42=0,"不適用",IF(I42="","待評核",IF(I42&gt;=G42,IF(I42&gt;G42,"超越","達標"),"待發展"))))</f>
        <v/>
      </c>
      <c r="L42" s="91" t="n"/>
      <c r="M42" s="91" t="n"/>
      <c r="N42" s="88" t="n"/>
    </row>
    <row r="43" ht="15.75" customHeight="1" s="64">
      <c r="A43" s="88" t="n"/>
      <c r="B43" s="120">
        <f t="array" ref="B43:B43">IF(A43="","",IFERROR(INDEX('3.員工名單'!$B:$B,MATCH(A43,'3.員工名單'!$A:$A,0)),"查無此員工"))</f>
        <v/>
      </c>
      <c r="C43" s="120">
        <f t="array" ref="C43:C43">IF(A43="","",IFERROR(INDEX('3.員工名單'!$C:$C,MATCH(A43,'3.員工名單'!$A:$A,0)),""))</f>
        <v/>
      </c>
      <c r="D43" s="120">
        <f t="array" ref="D43:D43">IF(A43="","",IFERROR(INDEX('3.員工名單'!$D:$D,MATCH(A43,'3.員工名單'!$A:$A,0)),""))</f>
        <v/>
      </c>
      <c r="E43" s="120">
        <f t="array" ref="E43:E43">IF(F43="","",IFERROR(INDEX('1.職能辭典'!$A:$A,MATCH(F43,'1.職能辭典'!$C:$C,0)),""))</f>
        <v/>
      </c>
      <c r="F43" s="94" t="n"/>
      <c r="G43" s="120">
        <f t="array" ref="G43:G43">IF(OR(D43="",F43=""),"",IFERROR(IF(AND(OR(INDEX('1.職能辭典'!$J:$J,MATCH(F43,'1.職能辭典'!$C:$C,0))="全部",INDEX('3.員工名單'!$H:$H,MATCH(A43,'3.員工名單'!$A:$A,0))="兩款共用",INDEX('3.員工名單'!$H:$H,MATCH(A43,'3.員工名單'!$A:$A,0))=INDEX('1.職能辭典'!$J:$J,MATCH(F43,'1.職能辭典'!$C:$C,0))),OR(INDEX('1.職能辭典'!$K:$K,MATCH(F43,'1.職能辭典'!$C:$C,0))="全部",SUMPRODUCT(ISNUMBER(SEARCH({"經營","管理","財務","企劃","營運","技術","數據","美術","測試","客服"},INDEX('3.員工名單'!$I:$I,MATCH(A43,'3.員工名單'!$A:$A,0))))*ISNUMBER(SEARCH({"經營","管理","財務","企劃","營運","技術","數據","美術","測試","客服"},INDEX('1.職能辭典'!$K:$K,MATCH(F43,'1.職能辭典'!$C:$C,0)))))&gt;0)),INDEX('2.職務職能需求'!$B$2:$F$28,MATCH(F43,'2.職務職能需求'!$A$2:$A$28,0),MATCH(D43,'2.職務職能需求'!$B$1:$F$1,0)),0),""))</f>
        <v/>
      </c>
      <c r="H43" s="94" t="n"/>
      <c r="I43" s="94" t="n"/>
      <c r="J43" s="120">
        <f>IF(OR(G43="",I43="",G43=0),"",I43-G43)</f>
        <v/>
      </c>
      <c r="K43" s="120">
        <f>IF(G43="","",IF(G43=0,"不適用",IF(I43="","待評核",IF(I43&gt;=G43,IF(I43&gt;G43,"超越","達標"),"待發展"))))</f>
        <v/>
      </c>
      <c r="L43" s="91" t="n"/>
      <c r="M43" s="91" t="n"/>
      <c r="N43" s="88" t="n"/>
    </row>
    <row r="44" ht="15.75" customHeight="1" s="64">
      <c r="A44" s="88" t="n"/>
      <c r="B44" s="120">
        <f t="array" ref="B44:B44">IF(A44="","",IFERROR(INDEX('3.員工名單'!$B:$B,MATCH(A44,'3.員工名單'!$A:$A,0)),"查無此員工"))</f>
        <v/>
      </c>
      <c r="C44" s="120">
        <f t="array" ref="C44:C44">IF(A44="","",IFERROR(INDEX('3.員工名單'!$C:$C,MATCH(A44,'3.員工名單'!$A:$A,0)),""))</f>
        <v/>
      </c>
      <c r="D44" s="120">
        <f t="array" ref="D44:D44">IF(A44="","",IFERROR(INDEX('3.員工名單'!$D:$D,MATCH(A44,'3.員工名單'!$A:$A,0)),""))</f>
        <v/>
      </c>
      <c r="E44" s="120">
        <f t="array" ref="E44:E44">IF(F44="","",IFERROR(INDEX('1.職能辭典'!$A:$A,MATCH(F44,'1.職能辭典'!$C:$C,0)),""))</f>
        <v/>
      </c>
      <c r="F44" s="94" t="n"/>
      <c r="G44" s="120">
        <f t="array" ref="G44:G44">IF(OR(D44="",F44=""),"",IFERROR(IF(AND(OR(INDEX('1.職能辭典'!$J:$J,MATCH(F44,'1.職能辭典'!$C:$C,0))="全部",INDEX('3.員工名單'!$H:$H,MATCH(A44,'3.員工名單'!$A:$A,0))="兩款共用",INDEX('3.員工名單'!$H:$H,MATCH(A44,'3.員工名單'!$A:$A,0))=INDEX('1.職能辭典'!$J:$J,MATCH(F44,'1.職能辭典'!$C:$C,0))),OR(INDEX('1.職能辭典'!$K:$K,MATCH(F44,'1.職能辭典'!$C:$C,0))="全部",SUMPRODUCT(ISNUMBER(SEARCH({"經營","管理","財務","企劃","營運","技術","數據","美術","測試","客服"},INDEX('3.員工名單'!$I:$I,MATCH(A44,'3.員工名單'!$A:$A,0))))*ISNUMBER(SEARCH({"經營","管理","財務","企劃","營運","技術","數據","美術","測試","客服"},INDEX('1.職能辭典'!$K:$K,MATCH(F44,'1.職能辭典'!$C:$C,0)))))&gt;0)),INDEX('2.職務職能需求'!$B$2:$F$28,MATCH(F44,'2.職務職能需求'!$A$2:$A$28,0),MATCH(D44,'2.職務職能需求'!$B$1:$F$1,0)),0),""))</f>
        <v/>
      </c>
      <c r="H44" s="94" t="n"/>
      <c r="I44" s="94" t="n"/>
      <c r="J44" s="120">
        <f>IF(OR(G44="",I44="",G44=0),"",I44-G44)</f>
        <v/>
      </c>
      <c r="K44" s="120">
        <f>IF(G44="","",IF(G44=0,"不適用",IF(I44="","待評核",IF(I44&gt;=G44,IF(I44&gt;G44,"超越","達標"),"待發展"))))</f>
        <v/>
      </c>
      <c r="L44" s="91" t="n"/>
      <c r="M44" s="91" t="n"/>
      <c r="N44" s="88" t="n"/>
    </row>
    <row r="45" ht="15.75" customHeight="1" s="64">
      <c r="A45" s="88" t="n"/>
      <c r="B45" s="120">
        <f t="array" ref="B45:B45">IF(A45="","",IFERROR(INDEX('3.員工名單'!$B:$B,MATCH(A45,'3.員工名單'!$A:$A,0)),"查無此員工"))</f>
        <v/>
      </c>
      <c r="C45" s="120">
        <f t="array" ref="C45:C45">IF(A45="","",IFERROR(INDEX('3.員工名單'!$C:$C,MATCH(A45,'3.員工名單'!$A:$A,0)),""))</f>
        <v/>
      </c>
      <c r="D45" s="120">
        <f t="array" ref="D45:D45">IF(A45="","",IFERROR(INDEX('3.員工名單'!$D:$D,MATCH(A45,'3.員工名單'!$A:$A,0)),""))</f>
        <v/>
      </c>
      <c r="E45" s="120">
        <f t="array" ref="E45:E45">IF(F45="","",IFERROR(INDEX('1.職能辭典'!$A:$A,MATCH(F45,'1.職能辭典'!$C:$C,0)),""))</f>
        <v/>
      </c>
      <c r="F45" s="94" t="n"/>
      <c r="G45" s="120">
        <f t="array" ref="G45:G45">IF(OR(D45="",F45=""),"",IFERROR(IF(AND(OR(INDEX('1.職能辭典'!$J:$J,MATCH(F45,'1.職能辭典'!$C:$C,0))="全部",INDEX('3.員工名單'!$H:$H,MATCH(A45,'3.員工名單'!$A:$A,0))="兩款共用",INDEX('3.員工名單'!$H:$H,MATCH(A45,'3.員工名單'!$A:$A,0))=INDEX('1.職能辭典'!$J:$J,MATCH(F45,'1.職能辭典'!$C:$C,0))),OR(INDEX('1.職能辭典'!$K:$K,MATCH(F45,'1.職能辭典'!$C:$C,0))="全部",SUMPRODUCT(ISNUMBER(SEARCH({"經營","管理","財務","企劃","營運","技術","數據","美術","測試","客服"},INDEX('3.員工名單'!$I:$I,MATCH(A45,'3.員工名單'!$A:$A,0))))*ISNUMBER(SEARCH({"經營","管理","財務","企劃","營運","技術","數據","美術","測試","客服"},INDEX('1.職能辭典'!$K:$K,MATCH(F45,'1.職能辭典'!$C:$C,0)))))&gt;0)),INDEX('2.職務職能需求'!$B$2:$F$28,MATCH(F45,'2.職務職能需求'!$A$2:$A$28,0),MATCH(D45,'2.職務職能需求'!$B$1:$F$1,0)),0),""))</f>
        <v/>
      </c>
      <c r="H45" s="94" t="n"/>
      <c r="I45" s="94" t="n"/>
      <c r="J45" s="120">
        <f>IF(OR(G45="",I45="",G45=0),"",I45-G45)</f>
        <v/>
      </c>
      <c r="K45" s="120">
        <f>IF(G45="","",IF(G45=0,"不適用",IF(I45="","待評核",IF(I45&gt;=G45,IF(I45&gt;G45,"超越","達標"),"待發展"))))</f>
        <v/>
      </c>
      <c r="L45" s="91" t="n"/>
      <c r="M45" s="91" t="n"/>
      <c r="N45" s="88" t="n"/>
    </row>
    <row r="46" ht="15.75" customHeight="1" s="64">
      <c r="A46" s="88" t="n"/>
      <c r="B46" s="120">
        <f t="array" ref="B46:B46">IF(A46="","",IFERROR(INDEX('3.員工名單'!$B:$B,MATCH(A46,'3.員工名單'!$A:$A,0)),"查無此員工"))</f>
        <v/>
      </c>
      <c r="C46" s="120">
        <f t="array" ref="C46:C46">IF(A46="","",IFERROR(INDEX('3.員工名單'!$C:$C,MATCH(A46,'3.員工名單'!$A:$A,0)),""))</f>
        <v/>
      </c>
      <c r="D46" s="120">
        <f t="array" ref="D46:D46">IF(A46="","",IFERROR(INDEX('3.員工名單'!$D:$D,MATCH(A46,'3.員工名單'!$A:$A,0)),""))</f>
        <v/>
      </c>
      <c r="E46" s="120">
        <f t="array" ref="E46:E46">IF(F46="","",IFERROR(INDEX('1.職能辭典'!$A:$A,MATCH(F46,'1.職能辭典'!$C:$C,0)),""))</f>
        <v/>
      </c>
      <c r="F46" s="94" t="n"/>
      <c r="G46" s="120">
        <f t="array" ref="G46:G46">IF(OR(D46="",F46=""),"",IFERROR(IF(AND(OR(INDEX('1.職能辭典'!$J:$J,MATCH(F46,'1.職能辭典'!$C:$C,0))="全部",INDEX('3.員工名單'!$H:$H,MATCH(A46,'3.員工名單'!$A:$A,0))="兩款共用",INDEX('3.員工名單'!$H:$H,MATCH(A46,'3.員工名單'!$A:$A,0))=INDEX('1.職能辭典'!$J:$J,MATCH(F46,'1.職能辭典'!$C:$C,0))),OR(INDEX('1.職能辭典'!$K:$K,MATCH(F46,'1.職能辭典'!$C:$C,0))="全部",SUMPRODUCT(ISNUMBER(SEARCH({"經營","管理","財務","企劃","營運","技術","數據","美術","測試","客服"},INDEX('3.員工名單'!$I:$I,MATCH(A46,'3.員工名單'!$A:$A,0))))*ISNUMBER(SEARCH({"經營","管理","財務","企劃","營運","技術","數據","美術","測試","客服"},INDEX('1.職能辭典'!$K:$K,MATCH(F46,'1.職能辭典'!$C:$C,0)))))&gt;0)),INDEX('2.職務職能需求'!$B$2:$F$28,MATCH(F46,'2.職務職能需求'!$A$2:$A$28,0),MATCH(D46,'2.職務職能需求'!$B$1:$F$1,0)),0),""))</f>
        <v/>
      </c>
      <c r="H46" s="94" t="n"/>
      <c r="I46" s="94" t="n"/>
      <c r="J46" s="120">
        <f>IF(OR(G46="",I46="",G46=0),"",I46-G46)</f>
        <v/>
      </c>
      <c r="K46" s="120">
        <f>IF(G46="","",IF(G46=0,"不適用",IF(I46="","待評核",IF(I46&gt;=G46,IF(I46&gt;G46,"超越","達標"),"待發展"))))</f>
        <v/>
      </c>
      <c r="L46" s="91" t="n"/>
      <c r="M46" s="91" t="n"/>
      <c r="N46" s="88" t="n"/>
    </row>
    <row r="47" ht="15.75" customHeight="1" s="64">
      <c r="A47" s="88" t="n"/>
      <c r="B47" s="120">
        <f t="array" ref="B47:B47">IF(A47="","",IFERROR(INDEX('3.員工名單'!$B:$B,MATCH(A47,'3.員工名單'!$A:$A,0)),"查無此員工"))</f>
        <v/>
      </c>
      <c r="C47" s="120">
        <f t="array" ref="C47:C47">IF(A47="","",IFERROR(INDEX('3.員工名單'!$C:$C,MATCH(A47,'3.員工名單'!$A:$A,0)),""))</f>
        <v/>
      </c>
      <c r="D47" s="120">
        <f t="array" ref="D47:D47">IF(A47="","",IFERROR(INDEX('3.員工名單'!$D:$D,MATCH(A47,'3.員工名單'!$A:$A,0)),""))</f>
        <v/>
      </c>
      <c r="E47" s="120">
        <f t="array" ref="E47:E47">IF(F47="","",IFERROR(INDEX('1.職能辭典'!$A:$A,MATCH(F47,'1.職能辭典'!$C:$C,0)),""))</f>
        <v/>
      </c>
      <c r="F47" s="94" t="n"/>
      <c r="G47" s="120">
        <f t="array" ref="G47:G47">IF(OR(D47="",F47=""),"",IFERROR(IF(AND(OR(INDEX('1.職能辭典'!$J:$J,MATCH(F47,'1.職能辭典'!$C:$C,0))="全部",INDEX('3.員工名單'!$H:$H,MATCH(A47,'3.員工名單'!$A:$A,0))="兩款共用",INDEX('3.員工名單'!$H:$H,MATCH(A47,'3.員工名單'!$A:$A,0))=INDEX('1.職能辭典'!$J:$J,MATCH(F47,'1.職能辭典'!$C:$C,0))),OR(INDEX('1.職能辭典'!$K:$K,MATCH(F47,'1.職能辭典'!$C:$C,0))="全部",SUMPRODUCT(ISNUMBER(SEARCH({"經營","管理","財務","企劃","營運","技術","數據","美術","測試","客服"},INDEX('3.員工名單'!$I:$I,MATCH(A47,'3.員工名單'!$A:$A,0))))*ISNUMBER(SEARCH({"經營","管理","財務","企劃","營運","技術","數據","美術","測試","客服"},INDEX('1.職能辭典'!$K:$K,MATCH(F47,'1.職能辭典'!$C:$C,0)))))&gt;0)),INDEX('2.職務職能需求'!$B$2:$F$28,MATCH(F47,'2.職務職能需求'!$A$2:$A$28,0),MATCH(D47,'2.職務職能需求'!$B$1:$F$1,0)),0),""))</f>
        <v/>
      </c>
      <c r="H47" s="94" t="n"/>
      <c r="I47" s="94" t="n"/>
      <c r="J47" s="120">
        <f>IF(OR(G47="",I47="",G47=0),"",I47-G47)</f>
        <v/>
      </c>
      <c r="K47" s="120">
        <f>IF(G47="","",IF(G47=0,"不適用",IF(I47="","待評核",IF(I47&gt;=G47,IF(I47&gt;G47,"超越","達標"),"待發展"))))</f>
        <v/>
      </c>
      <c r="L47" s="91" t="n"/>
      <c r="M47" s="91" t="n"/>
      <c r="N47" s="88" t="n"/>
    </row>
    <row r="48" ht="15.75" customHeight="1" s="64">
      <c r="A48" s="88" t="n"/>
      <c r="B48" s="120">
        <f t="array" ref="B48:B48">IF(A48="","",IFERROR(INDEX('3.員工名單'!$B:$B,MATCH(A48,'3.員工名單'!$A:$A,0)),"查無此員工"))</f>
        <v/>
      </c>
      <c r="C48" s="120">
        <f t="array" ref="C48:C48">IF(A48="","",IFERROR(INDEX('3.員工名單'!$C:$C,MATCH(A48,'3.員工名單'!$A:$A,0)),""))</f>
        <v/>
      </c>
      <c r="D48" s="120">
        <f t="array" ref="D48:D48">IF(A48="","",IFERROR(INDEX('3.員工名單'!$D:$D,MATCH(A48,'3.員工名單'!$A:$A,0)),""))</f>
        <v/>
      </c>
      <c r="E48" s="120">
        <f t="array" ref="E48:E48">IF(F48="","",IFERROR(INDEX('1.職能辭典'!$A:$A,MATCH(F48,'1.職能辭典'!$C:$C,0)),""))</f>
        <v/>
      </c>
      <c r="F48" s="94" t="n"/>
      <c r="G48" s="120">
        <f t="array" ref="G48:G48">IF(OR(D48="",F48=""),"",IFERROR(IF(AND(OR(INDEX('1.職能辭典'!$J:$J,MATCH(F48,'1.職能辭典'!$C:$C,0))="全部",INDEX('3.員工名單'!$H:$H,MATCH(A48,'3.員工名單'!$A:$A,0))="兩款共用",INDEX('3.員工名單'!$H:$H,MATCH(A48,'3.員工名單'!$A:$A,0))=INDEX('1.職能辭典'!$J:$J,MATCH(F48,'1.職能辭典'!$C:$C,0))),OR(INDEX('1.職能辭典'!$K:$K,MATCH(F48,'1.職能辭典'!$C:$C,0))="全部",SUMPRODUCT(ISNUMBER(SEARCH({"經營","管理","財務","企劃","營運","技術","數據","美術","測試","客服"},INDEX('3.員工名單'!$I:$I,MATCH(A48,'3.員工名單'!$A:$A,0))))*ISNUMBER(SEARCH({"經營","管理","財務","企劃","營運","技術","數據","美術","測試","客服"},INDEX('1.職能辭典'!$K:$K,MATCH(F48,'1.職能辭典'!$C:$C,0)))))&gt;0)),INDEX('2.職務職能需求'!$B$2:$F$28,MATCH(F48,'2.職務職能需求'!$A$2:$A$28,0),MATCH(D48,'2.職務職能需求'!$B$1:$F$1,0)),0),""))</f>
        <v/>
      </c>
      <c r="H48" s="94" t="n"/>
      <c r="I48" s="94" t="n"/>
      <c r="J48" s="120">
        <f>IF(OR(G48="",I48="",G48=0),"",I48-G48)</f>
        <v/>
      </c>
      <c r="K48" s="120">
        <f>IF(G48="","",IF(G48=0,"不適用",IF(I48="","待評核",IF(I48&gt;=G48,IF(I48&gt;G48,"超越","達標"),"待發展"))))</f>
        <v/>
      </c>
      <c r="L48" s="91" t="n"/>
      <c r="M48" s="91" t="n"/>
      <c r="N48" s="88" t="n"/>
    </row>
    <row r="49" ht="15.75" customHeight="1" s="64">
      <c r="A49" s="88" t="n"/>
      <c r="B49" s="120">
        <f t="array" ref="B49:B49">IF(A49="","",IFERROR(INDEX('3.員工名單'!$B:$B,MATCH(A49,'3.員工名單'!$A:$A,0)),"查無此員工"))</f>
        <v/>
      </c>
      <c r="C49" s="120">
        <f t="array" ref="C49:C49">IF(A49="","",IFERROR(INDEX('3.員工名單'!$C:$C,MATCH(A49,'3.員工名單'!$A:$A,0)),""))</f>
        <v/>
      </c>
      <c r="D49" s="120">
        <f t="array" ref="D49:D49">IF(A49="","",IFERROR(INDEX('3.員工名單'!$D:$D,MATCH(A49,'3.員工名單'!$A:$A,0)),""))</f>
        <v/>
      </c>
      <c r="E49" s="120">
        <f t="array" ref="E49:E49">IF(F49="","",IFERROR(INDEX('1.職能辭典'!$A:$A,MATCH(F49,'1.職能辭典'!$C:$C,0)),""))</f>
        <v/>
      </c>
      <c r="F49" s="94" t="n"/>
      <c r="G49" s="120">
        <f t="array" ref="G49:G49">IF(OR(D49="",F49=""),"",IFERROR(IF(AND(OR(INDEX('1.職能辭典'!$J:$J,MATCH(F49,'1.職能辭典'!$C:$C,0))="全部",INDEX('3.員工名單'!$H:$H,MATCH(A49,'3.員工名單'!$A:$A,0))="兩款共用",INDEX('3.員工名單'!$H:$H,MATCH(A49,'3.員工名單'!$A:$A,0))=INDEX('1.職能辭典'!$J:$J,MATCH(F49,'1.職能辭典'!$C:$C,0))),OR(INDEX('1.職能辭典'!$K:$K,MATCH(F49,'1.職能辭典'!$C:$C,0))="全部",SUMPRODUCT(ISNUMBER(SEARCH({"經營","管理","財務","企劃","營運","技術","數據","美術","測試","客服"},INDEX('3.員工名單'!$I:$I,MATCH(A49,'3.員工名單'!$A:$A,0))))*ISNUMBER(SEARCH({"經營","管理","財務","企劃","營運","技術","數據","美術","測試","客服"},INDEX('1.職能辭典'!$K:$K,MATCH(F49,'1.職能辭典'!$C:$C,0)))))&gt;0)),INDEX('2.職務職能需求'!$B$2:$F$28,MATCH(F49,'2.職務職能需求'!$A$2:$A$28,0),MATCH(D49,'2.職務職能需求'!$B$1:$F$1,0)),0),""))</f>
        <v/>
      </c>
      <c r="H49" s="94" t="n"/>
      <c r="I49" s="94" t="n"/>
      <c r="J49" s="120">
        <f>IF(OR(G49="",I49="",G49=0),"",I49-G49)</f>
        <v/>
      </c>
      <c r="K49" s="120">
        <f>IF(G49="","",IF(G49=0,"不適用",IF(I49="","待評核",IF(I49&gt;=G49,IF(I49&gt;G49,"超越","達標"),"待發展"))))</f>
        <v/>
      </c>
      <c r="L49" s="91" t="n"/>
      <c r="M49" s="91" t="n"/>
      <c r="N49" s="88" t="n"/>
    </row>
    <row r="50" ht="15.75" customHeight="1" s="64">
      <c r="A50" s="88" t="n"/>
      <c r="B50" s="120">
        <f t="array" ref="B50:B50">IF(A50="","",IFERROR(INDEX('3.員工名單'!$B:$B,MATCH(A50,'3.員工名單'!$A:$A,0)),"查無此員工"))</f>
        <v/>
      </c>
      <c r="C50" s="120">
        <f t="array" ref="C50:C50">IF(A50="","",IFERROR(INDEX('3.員工名單'!$C:$C,MATCH(A50,'3.員工名單'!$A:$A,0)),""))</f>
        <v/>
      </c>
      <c r="D50" s="120">
        <f t="array" ref="D50:D50">IF(A50="","",IFERROR(INDEX('3.員工名單'!$D:$D,MATCH(A50,'3.員工名單'!$A:$A,0)),""))</f>
        <v/>
      </c>
      <c r="E50" s="120">
        <f t="array" ref="E50:E50">IF(F50="","",IFERROR(INDEX('1.職能辭典'!$A:$A,MATCH(F50,'1.職能辭典'!$C:$C,0)),""))</f>
        <v/>
      </c>
      <c r="F50" s="94" t="n"/>
      <c r="G50" s="120">
        <f t="array" ref="G50:G50">IF(OR(D50="",F50=""),"",IFERROR(IF(AND(OR(INDEX('1.職能辭典'!$J:$J,MATCH(F50,'1.職能辭典'!$C:$C,0))="全部",INDEX('3.員工名單'!$H:$H,MATCH(A50,'3.員工名單'!$A:$A,0))="兩款共用",INDEX('3.員工名單'!$H:$H,MATCH(A50,'3.員工名單'!$A:$A,0))=INDEX('1.職能辭典'!$J:$J,MATCH(F50,'1.職能辭典'!$C:$C,0))),OR(INDEX('1.職能辭典'!$K:$K,MATCH(F50,'1.職能辭典'!$C:$C,0))="全部",SUMPRODUCT(ISNUMBER(SEARCH({"經營","管理","財務","企劃","營運","技術","數據","美術","測試","客服"},INDEX('3.員工名單'!$I:$I,MATCH(A50,'3.員工名單'!$A:$A,0))))*ISNUMBER(SEARCH({"經營","管理","財務","企劃","營運","技術","數據","美術","測試","客服"},INDEX('1.職能辭典'!$K:$K,MATCH(F50,'1.職能辭典'!$C:$C,0)))))&gt;0)),INDEX('2.職務職能需求'!$B$2:$F$28,MATCH(F50,'2.職務職能需求'!$A$2:$A$28,0),MATCH(D50,'2.職務職能需求'!$B$1:$F$1,0)),0),""))</f>
        <v/>
      </c>
      <c r="H50" s="94" t="n"/>
      <c r="I50" s="94" t="n"/>
      <c r="J50" s="120">
        <f>IF(OR(G50="",I50="",G50=0),"",I50-G50)</f>
        <v/>
      </c>
      <c r="K50" s="120">
        <f>IF(G50="","",IF(G50=0,"不適用",IF(I50="","待評核",IF(I50&gt;=G50,IF(I50&gt;G50,"超越","達標"),"待發展"))))</f>
        <v/>
      </c>
      <c r="L50" s="91" t="n"/>
      <c r="M50" s="91" t="n"/>
      <c r="N50" s="88" t="n"/>
    </row>
    <row r="51" ht="15.75" customHeight="1" s="64">
      <c r="A51" s="88" t="n"/>
      <c r="B51" s="120">
        <f t="array" ref="B51:B51">IF(A51="","",IFERROR(INDEX('3.員工名單'!$B:$B,MATCH(A51,'3.員工名單'!$A:$A,0)),"查無此員工"))</f>
        <v/>
      </c>
      <c r="C51" s="120">
        <f t="array" ref="C51:C51">IF(A51="","",IFERROR(INDEX('3.員工名單'!$C:$C,MATCH(A51,'3.員工名單'!$A:$A,0)),""))</f>
        <v/>
      </c>
      <c r="D51" s="120">
        <f t="array" ref="D51:D51">IF(A51="","",IFERROR(INDEX('3.員工名單'!$D:$D,MATCH(A51,'3.員工名單'!$A:$A,0)),""))</f>
        <v/>
      </c>
      <c r="E51" s="120">
        <f t="array" ref="E51:E51">IF(F51="","",IFERROR(INDEX('1.職能辭典'!$A:$A,MATCH(F51,'1.職能辭典'!$C:$C,0)),""))</f>
        <v/>
      </c>
      <c r="F51" s="94" t="n"/>
      <c r="G51" s="120">
        <f t="array" ref="G51:G51">IF(OR(D51="",F51=""),"",IFERROR(IF(AND(OR(INDEX('1.職能辭典'!$J:$J,MATCH(F51,'1.職能辭典'!$C:$C,0))="全部",INDEX('3.員工名單'!$H:$H,MATCH(A51,'3.員工名單'!$A:$A,0))="兩款共用",INDEX('3.員工名單'!$H:$H,MATCH(A51,'3.員工名單'!$A:$A,0))=INDEX('1.職能辭典'!$J:$J,MATCH(F51,'1.職能辭典'!$C:$C,0))),OR(INDEX('1.職能辭典'!$K:$K,MATCH(F51,'1.職能辭典'!$C:$C,0))="全部",SUMPRODUCT(ISNUMBER(SEARCH({"經營","管理","財務","企劃","營運","技術","數據","美術","測試","客服"},INDEX('3.員工名單'!$I:$I,MATCH(A51,'3.員工名單'!$A:$A,0))))*ISNUMBER(SEARCH({"經營","管理","財務","企劃","營運","技術","數據","美術","測試","客服"},INDEX('1.職能辭典'!$K:$K,MATCH(F51,'1.職能辭典'!$C:$C,0)))))&gt;0)),INDEX('2.職務職能需求'!$B$2:$F$28,MATCH(F51,'2.職務職能需求'!$A$2:$A$28,0),MATCH(D51,'2.職務職能需求'!$B$1:$F$1,0)),0),""))</f>
        <v/>
      </c>
      <c r="H51" s="94" t="n"/>
      <c r="I51" s="94" t="n"/>
      <c r="J51" s="120">
        <f>IF(OR(G51="",I51="",G51=0),"",I51-G51)</f>
        <v/>
      </c>
      <c r="K51" s="120">
        <f>IF(G51="","",IF(G51=0,"不適用",IF(I51="","待評核",IF(I51&gt;=G51,IF(I51&gt;G51,"超越","達標"),"待發展"))))</f>
        <v/>
      </c>
      <c r="L51" s="91" t="n"/>
      <c r="M51" s="91" t="n"/>
      <c r="N51" s="88" t="n"/>
    </row>
    <row r="52" ht="15.75" customHeight="1" s="64">
      <c r="A52" s="88" t="n"/>
      <c r="B52" s="120">
        <f t="array" ref="B52:B52">IF(A52="","",IFERROR(INDEX('3.員工名單'!$B:$B,MATCH(A52,'3.員工名單'!$A:$A,0)),"查無此員工"))</f>
        <v/>
      </c>
      <c r="C52" s="120">
        <f t="array" ref="C52:C52">IF(A52="","",IFERROR(INDEX('3.員工名單'!$C:$C,MATCH(A52,'3.員工名單'!$A:$A,0)),""))</f>
        <v/>
      </c>
      <c r="D52" s="120">
        <f t="array" ref="D52:D52">IF(A52="","",IFERROR(INDEX('3.員工名單'!$D:$D,MATCH(A52,'3.員工名單'!$A:$A,0)),""))</f>
        <v/>
      </c>
      <c r="E52" s="120">
        <f t="array" ref="E52:E52">IF(F52="","",IFERROR(INDEX('1.職能辭典'!$A:$A,MATCH(F52,'1.職能辭典'!$C:$C,0)),""))</f>
        <v/>
      </c>
      <c r="F52" s="94" t="n"/>
      <c r="G52" s="120">
        <f t="array" ref="G52:G52">IF(OR(D52="",F52=""),"",IFERROR(IF(AND(OR(INDEX('1.職能辭典'!$J:$J,MATCH(F52,'1.職能辭典'!$C:$C,0))="全部",INDEX('3.員工名單'!$H:$H,MATCH(A52,'3.員工名單'!$A:$A,0))="兩款共用",INDEX('3.員工名單'!$H:$H,MATCH(A52,'3.員工名單'!$A:$A,0))=INDEX('1.職能辭典'!$J:$J,MATCH(F52,'1.職能辭典'!$C:$C,0))),OR(INDEX('1.職能辭典'!$K:$K,MATCH(F52,'1.職能辭典'!$C:$C,0))="全部",SUMPRODUCT(ISNUMBER(SEARCH({"經營","管理","財務","企劃","營運","技術","數據","美術","測試","客服"},INDEX('3.員工名單'!$I:$I,MATCH(A52,'3.員工名單'!$A:$A,0))))*ISNUMBER(SEARCH({"經營","管理","財務","企劃","營運","技術","數據","美術","測試","客服"},INDEX('1.職能辭典'!$K:$K,MATCH(F52,'1.職能辭典'!$C:$C,0)))))&gt;0)),INDEX('2.職務職能需求'!$B$2:$F$28,MATCH(F52,'2.職務職能需求'!$A$2:$A$28,0),MATCH(D52,'2.職務職能需求'!$B$1:$F$1,0)),0),""))</f>
        <v/>
      </c>
      <c r="H52" s="94" t="n"/>
      <c r="I52" s="94" t="n"/>
      <c r="J52" s="120">
        <f>IF(OR(G52="",I52="",G52=0),"",I52-G52)</f>
        <v/>
      </c>
      <c r="K52" s="120">
        <f>IF(G52="","",IF(G52=0,"不適用",IF(I52="","待評核",IF(I52&gt;=G52,IF(I52&gt;G52,"超越","達標"),"待發展"))))</f>
        <v/>
      </c>
      <c r="L52" s="91" t="n"/>
      <c r="M52" s="91" t="n"/>
      <c r="N52" s="88" t="n"/>
    </row>
    <row r="53" ht="15.75" customHeight="1" s="64">
      <c r="A53" s="88" t="n"/>
      <c r="B53" s="120">
        <f t="array" ref="B53:B53">IF(A53="","",IFERROR(INDEX('3.員工名單'!$B:$B,MATCH(A53,'3.員工名單'!$A:$A,0)),"查無此員工"))</f>
        <v/>
      </c>
      <c r="C53" s="120">
        <f t="array" ref="C53:C53">IF(A53="","",IFERROR(INDEX('3.員工名單'!$C:$C,MATCH(A53,'3.員工名單'!$A:$A,0)),""))</f>
        <v/>
      </c>
      <c r="D53" s="120">
        <f t="array" ref="D53:D53">IF(A53="","",IFERROR(INDEX('3.員工名單'!$D:$D,MATCH(A53,'3.員工名單'!$A:$A,0)),""))</f>
        <v/>
      </c>
      <c r="E53" s="120">
        <f t="array" ref="E53:E53">IF(F53="","",IFERROR(INDEX('1.職能辭典'!$A:$A,MATCH(F53,'1.職能辭典'!$C:$C,0)),""))</f>
        <v/>
      </c>
      <c r="F53" s="94" t="n"/>
      <c r="G53" s="120">
        <f t="array" ref="G53:G53">IF(OR(D53="",F53=""),"",IFERROR(IF(AND(OR(INDEX('1.職能辭典'!$J:$J,MATCH(F53,'1.職能辭典'!$C:$C,0))="全部",INDEX('3.員工名單'!$H:$H,MATCH(A53,'3.員工名單'!$A:$A,0))="兩款共用",INDEX('3.員工名單'!$H:$H,MATCH(A53,'3.員工名單'!$A:$A,0))=INDEX('1.職能辭典'!$J:$J,MATCH(F53,'1.職能辭典'!$C:$C,0))),OR(INDEX('1.職能辭典'!$K:$K,MATCH(F53,'1.職能辭典'!$C:$C,0))="全部",SUMPRODUCT(ISNUMBER(SEARCH({"經營","管理","財務","企劃","營運","技術","數據","美術","測試","客服"},INDEX('3.員工名單'!$I:$I,MATCH(A53,'3.員工名單'!$A:$A,0))))*ISNUMBER(SEARCH({"經營","管理","財務","企劃","營運","技術","數據","美術","測試","客服"},INDEX('1.職能辭典'!$K:$K,MATCH(F53,'1.職能辭典'!$C:$C,0)))))&gt;0)),INDEX('2.職務職能需求'!$B$2:$F$28,MATCH(F53,'2.職務職能需求'!$A$2:$A$28,0),MATCH(D53,'2.職務職能需求'!$B$1:$F$1,0)),0),""))</f>
        <v/>
      </c>
      <c r="H53" s="94" t="n"/>
      <c r="I53" s="94" t="n"/>
      <c r="J53" s="120">
        <f>IF(OR(G53="",I53="",G53=0),"",I53-G53)</f>
        <v/>
      </c>
      <c r="K53" s="120">
        <f>IF(G53="","",IF(G53=0,"不適用",IF(I53="","待評核",IF(I53&gt;=G53,IF(I53&gt;G53,"超越","達標"),"待發展"))))</f>
        <v/>
      </c>
      <c r="L53" s="91" t="n"/>
      <c r="M53" s="91" t="n"/>
      <c r="N53" s="88" t="n"/>
    </row>
    <row r="54" ht="15.75" customHeight="1" s="64">
      <c r="A54" s="88" t="n"/>
      <c r="B54" s="120">
        <f t="array" ref="B54:B54">IF(A54="","",IFERROR(INDEX('3.員工名單'!$B:$B,MATCH(A54,'3.員工名單'!$A:$A,0)),"查無此員工"))</f>
        <v/>
      </c>
      <c r="C54" s="120">
        <f t="array" ref="C54:C54">IF(A54="","",IFERROR(INDEX('3.員工名單'!$C:$C,MATCH(A54,'3.員工名單'!$A:$A,0)),""))</f>
        <v/>
      </c>
      <c r="D54" s="120">
        <f t="array" ref="D54:D54">IF(A54="","",IFERROR(INDEX('3.員工名單'!$D:$D,MATCH(A54,'3.員工名單'!$A:$A,0)),""))</f>
        <v/>
      </c>
      <c r="E54" s="120">
        <f t="array" ref="E54:E54">IF(F54="","",IFERROR(INDEX('1.職能辭典'!$A:$A,MATCH(F54,'1.職能辭典'!$C:$C,0)),""))</f>
        <v/>
      </c>
      <c r="F54" s="94" t="n"/>
      <c r="G54" s="120">
        <f t="array" ref="G54:G54">IF(OR(D54="",F54=""),"",IFERROR(IF(AND(OR(INDEX('1.職能辭典'!$J:$J,MATCH(F54,'1.職能辭典'!$C:$C,0))="全部",INDEX('3.員工名單'!$H:$H,MATCH(A54,'3.員工名單'!$A:$A,0))="兩款共用",INDEX('3.員工名單'!$H:$H,MATCH(A54,'3.員工名單'!$A:$A,0))=INDEX('1.職能辭典'!$J:$J,MATCH(F54,'1.職能辭典'!$C:$C,0))),OR(INDEX('1.職能辭典'!$K:$K,MATCH(F54,'1.職能辭典'!$C:$C,0))="全部",SUMPRODUCT(ISNUMBER(SEARCH({"經營","管理","財務","企劃","營運","技術","數據","美術","測試","客服"},INDEX('3.員工名單'!$I:$I,MATCH(A54,'3.員工名單'!$A:$A,0))))*ISNUMBER(SEARCH({"經營","管理","財務","企劃","營運","技術","數據","美術","測試","客服"},INDEX('1.職能辭典'!$K:$K,MATCH(F54,'1.職能辭典'!$C:$C,0)))))&gt;0)),INDEX('2.職務職能需求'!$B$2:$F$28,MATCH(F54,'2.職務職能需求'!$A$2:$A$28,0),MATCH(D54,'2.職務職能需求'!$B$1:$F$1,0)),0),""))</f>
        <v/>
      </c>
      <c r="H54" s="94" t="n"/>
      <c r="I54" s="94" t="n"/>
      <c r="J54" s="120">
        <f>IF(OR(G54="",I54="",G54=0),"",I54-G54)</f>
        <v/>
      </c>
      <c r="K54" s="120">
        <f>IF(G54="","",IF(G54=0,"不適用",IF(I54="","待評核",IF(I54&gt;=G54,IF(I54&gt;G54,"超越","達標"),"待發展"))))</f>
        <v/>
      </c>
      <c r="L54" s="91" t="n"/>
      <c r="M54" s="91" t="n"/>
      <c r="N54" s="88" t="n"/>
    </row>
    <row r="55" ht="15.75" customHeight="1" s="64">
      <c r="A55" s="88" t="n"/>
      <c r="B55" s="120">
        <f t="array" ref="B55:B55">IF(A55="","",IFERROR(INDEX('3.員工名單'!$B:$B,MATCH(A55,'3.員工名單'!$A:$A,0)),"查無此員工"))</f>
        <v/>
      </c>
      <c r="C55" s="120">
        <f t="array" ref="C55:C55">IF(A55="","",IFERROR(INDEX('3.員工名單'!$C:$C,MATCH(A55,'3.員工名單'!$A:$A,0)),""))</f>
        <v/>
      </c>
      <c r="D55" s="120">
        <f t="array" ref="D55:D55">IF(A55="","",IFERROR(INDEX('3.員工名單'!$D:$D,MATCH(A55,'3.員工名單'!$A:$A,0)),""))</f>
        <v/>
      </c>
      <c r="E55" s="120">
        <f t="array" ref="E55:E55">IF(F55="","",IFERROR(INDEX('1.職能辭典'!$A:$A,MATCH(F55,'1.職能辭典'!$C:$C,0)),""))</f>
        <v/>
      </c>
      <c r="F55" s="94" t="n"/>
      <c r="G55" s="120">
        <f t="array" ref="G55:G55">IF(OR(D55="",F55=""),"",IFERROR(IF(AND(OR(INDEX('1.職能辭典'!$J:$J,MATCH(F55,'1.職能辭典'!$C:$C,0))="全部",INDEX('3.員工名單'!$H:$H,MATCH(A55,'3.員工名單'!$A:$A,0))="兩款共用",INDEX('3.員工名單'!$H:$H,MATCH(A55,'3.員工名單'!$A:$A,0))=INDEX('1.職能辭典'!$J:$J,MATCH(F55,'1.職能辭典'!$C:$C,0))),OR(INDEX('1.職能辭典'!$K:$K,MATCH(F55,'1.職能辭典'!$C:$C,0))="全部",SUMPRODUCT(ISNUMBER(SEARCH({"經營","管理","財務","企劃","營運","技術","數據","美術","測試","客服"},INDEX('3.員工名單'!$I:$I,MATCH(A55,'3.員工名單'!$A:$A,0))))*ISNUMBER(SEARCH({"經營","管理","財務","企劃","營運","技術","數據","美術","測試","客服"},INDEX('1.職能辭典'!$K:$K,MATCH(F55,'1.職能辭典'!$C:$C,0)))))&gt;0)),INDEX('2.職務職能需求'!$B$2:$F$28,MATCH(F55,'2.職務職能需求'!$A$2:$A$28,0),MATCH(D55,'2.職務職能需求'!$B$1:$F$1,0)),0),""))</f>
        <v/>
      </c>
      <c r="H55" s="94" t="n"/>
      <c r="I55" s="94" t="n"/>
      <c r="J55" s="120">
        <f>IF(OR(G55="",I55="",G55=0),"",I55-G55)</f>
        <v/>
      </c>
      <c r="K55" s="120">
        <f>IF(G55="","",IF(G55=0,"不適用",IF(I55="","待評核",IF(I55&gt;=G55,IF(I55&gt;G55,"超越","達標"),"待發展"))))</f>
        <v/>
      </c>
      <c r="L55" s="91" t="n"/>
      <c r="M55" s="91" t="n"/>
      <c r="N55" s="88" t="n"/>
    </row>
    <row r="56" ht="15.75" customHeight="1" s="64">
      <c r="A56" s="88" t="n"/>
      <c r="B56" s="120">
        <f t="array" ref="B56:B56">IF(A56="","",IFERROR(INDEX('3.員工名單'!$B:$B,MATCH(A56,'3.員工名單'!$A:$A,0)),"查無此員工"))</f>
        <v/>
      </c>
      <c r="C56" s="120">
        <f t="array" ref="C56:C56">IF(A56="","",IFERROR(INDEX('3.員工名單'!$C:$C,MATCH(A56,'3.員工名單'!$A:$A,0)),""))</f>
        <v/>
      </c>
      <c r="D56" s="120">
        <f t="array" ref="D56:D56">IF(A56="","",IFERROR(INDEX('3.員工名單'!$D:$D,MATCH(A56,'3.員工名單'!$A:$A,0)),""))</f>
        <v/>
      </c>
      <c r="E56" s="120">
        <f t="array" ref="E56:E56">IF(F56="","",IFERROR(INDEX('1.職能辭典'!$A:$A,MATCH(F56,'1.職能辭典'!$C:$C,0)),""))</f>
        <v/>
      </c>
      <c r="F56" s="94" t="n"/>
      <c r="G56" s="120">
        <f t="array" ref="G56:G56">IF(OR(D56="",F56=""),"",IFERROR(IF(AND(OR(INDEX('1.職能辭典'!$J:$J,MATCH(F56,'1.職能辭典'!$C:$C,0))="全部",INDEX('3.員工名單'!$H:$H,MATCH(A56,'3.員工名單'!$A:$A,0))="兩款共用",INDEX('3.員工名單'!$H:$H,MATCH(A56,'3.員工名單'!$A:$A,0))=INDEX('1.職能辭典'!$J:$J,MATCH(F56,'1.職能辭典'!$C:$C,0))),OR(INDEX('1.職能辭典'!$K:$K,MATCH(F56,'1.職能辭典'!$C:$C,0))="全部",SUMPRODUCT(ISNUMBER(SEARCH({"經營","管理","財務","企劃","營運","技術","數據","美術","測試","客服"},INDEX('3.員工名單'!$I:$I,MATCH(A56,'3.員工名單'!$A:$A,0))))*ISNUMBER(SEARCH({"經營","管理","財務","企劃","營運","技術","數據","美術","測試","客服"},INDEX('1.職能辭典'!$K:$K,MATCH(F56,'1.職能辭典'!$C:$C,0)))))&gt;0)),INDEX('2.職務職能需求'!$B$2:$F$28,MATCH(F56,'2.職務職能需求'!$A$2:$A$28,0),MATCH(D56,'2.職務職能需求'!$B$1:$F$1,0)),0),""))</f>
        <v/>
      </c>
      <c r="H56" s="94" t="n"/>
      <c r="I56" s="94" t="n"/>
      <c r="J56" s="120">
        <f>IF(OR(G56="",I56="",G56=0),"",I56-G56)</f>
        <v/>
      </c>
      <c r="K56" s="120">
        <f>IF(G56="","",IF(G56=0,"不適用",IF(I56="","待評核",IF(I56&gt;=G56,IF(I56&gt;G56,"超越","達標"),"待發展"))))</f>
        <v/>
      </c>
      <c r="L56" s="91" t="n"/>
      <c r="M56" s="91" t="n"/>
      <c r="N56" s="88" t="n"/>
    </row>
    <row r="57" ht="15.75" customHeight="1" s="64">
      <c r="A57" s="88" t="n"/>
      <c r="B57" s="120">
        <f t="array" ref="B57:B57">IF(A57="","",IFERROR(INDEX('3.員工名單'!$B:$B,MATCH(A57,'3.員工名單'!$A:$A,0)),"查無此員工"))</f>
        <v/>
      </c>
      <c r="C57" s="120">
        <f t="array" ref="C57:C57">IF(A57="","",IFERROR(INDEX('3.員工名單'!$C:$C,MATCH(A57,'3.員工名單'!$A:$A,0)),""))</f>
        <v/>
      </c>
      <c r="D57" s="120">
        <f t="array" ref="D57:D57">IF(A57="","",IFERROR(INDEX('3.員工名單'!$D:$D,MATCH(A57,'3.員工名單'!$A:$A,0)),""))</f>
        <v/>
      </c>
      <c r="E57" s="120">
        <f t="array" ref="E57:E57">IF(F57="","",IFERROR(INDEX('1.職能辭典'!$A:$A,MATCH(F57,'1.職能辭典'!$C:$C,0)),""))</f>
        <v/>
      </c>
      <c r="F57" s="94" t="n"/>
      <c r="G57" s="120">
        <f t="array" ref="G57:G57">IF(OR(D57="",F57=""),"",IFERROR(IF(AND(OR(INDEX('1.職能辭典'!$J:$J,MATCH(F57,'1.職能辭典'!$C:$C,0))="全部",INDEX('3.員工名單'!$H:$H,MATCH(A57,'3.員工名單'!$A:$A,0))="兩款共用",INDEX('3.員工名單'!$H:$H,MATCH(A57,'3.員工名單'!$A:$A,0))=INDEX('1.職能辭典'!$J:$J,MATCH(F57,'1.職能辭典'!$C:$C,0))),OR(INDEX('1.職能辭典'!$K:$K,MATCH(F57,'1.職能辭典'!$C:$C,0))="全部",SUMPRODUCT(ISNUMBER(SEARCH({"經營","管理","財務","企劃","營運","技術","數據","美術","測試","客服"},INDEX('3.員工名單'!$I:$I,MATCH(A57,'3.員工名單'!$A:$A,0))))*ISNUMBER(SEARCH({"經營","管理","財務","企劃","營運","技術","數據","美術","測試","客服"},INDEX('1.職能辭典'!$K:$K,MATCH(F57,'1.職能辭典'!$C:$C,0)))))&gt;0)),INDEX('2.職務職能需求'!$B$2:$F$28,MATCH(F57,'2.職務職能需求'!$A$2:$A$28,0),MATCH(D57,'2.職務職能需求'!$B$1:$F$1,0)),0),""))</f>
        <v/>
      </c>
      <c r="H57" s="94" t="n"/>
      <c r="I57" s="94" t="n"/>
      <c r="J57" s="120">
        <f>IF(OR(G57="",I57="",G57=0),"",I57-G57)</f>
        <v/>
      </c>
      <c r="K57" s="120">
        <f>IF(G57="","",IF(G57=0,"不適用",IF(I57="","待評核",IF(I57&gt;=G57,IF(I57&gt;G57,"超越","達標"),"待發展"))))</f>
        <v/>
      </c>
      <c r="L57" s="91" t="n"/>
      <c r="M57" s="91" t="n"/>
      <c r="N57" s="88" t="n"/>
    </row>
    <row r="58" ht="15.75" customHeight="1" s="64">
      <c r="A58" s="88" t="n"/>
      <c r="B58" s="120">
        <f t="array" ref="B58:B58">IF(A58="","",IFERROR(INDEX('3.員工名單'!$B:$B,MATCH(A58,'3.員工名單'!$A:$A,0)),"查無此員工"))</f>
        <v/>
      </c>
      <c r="C58" s="120">
        <f t="array" ref="C58:C58">IF(A58="","",IFERROR(INDEX('3.員工名單'!$C:$C,MATCH(A58,'3.員工名單'!$A:$A,0)),""))</f>
        <v/>
      </c>
      <c r="D58" s="120">
        <f t="array" ref="D58:D58">IF(A58="","",IFERROR(INDEX('3.員工名單'!$D:$D,MATCH(A58,'3.員工名單'!$A:$A,0)),""))</f>
        <v/>
      </c>
      <c r="E58" s="120">
        <f t="array" ref="E58:E58">IF(F58="","",IFERROR(INDEX('1.職能辭典'!$A:$A,MATCH(F58,'1.職能辭典'!$C:$C,0)),""))</f>
        <v/>
      </c>
      <c r="F58" s="94" t="n"/>
      <c r="G58" s="120">
        <f t="array" ref="G58:G58">IF(OR(D58="",F58=""),"",IFERROR(IF(AND(OR(INDEX('1.職能辭典'!$J:$J,MATCH(F58,'1.職能辭典'!$C:$C,0))="全部",INDEX('3.員工名單'!$H:$H,MATCH(A58,'3.員工名單'!$A:$A,0))="兩款共用",INDEX('3.員工名單'!$H:$H,MATCH(A58,'3.員工名單'!$A:$A,0))=INDEX('1.職能辭典'!$J:$J,MATCH(F58,'1.職能辭典'!$C:$C,0))),OR(INDEX('1.職能辭典'!$K:$K,MATCH(F58,'1.職能辭典'!$C:$C,0))="全部",SUMPRODUCT(ISNUMBER(SEARCH({"經營","管理","財務","企劃","營運","技術","數據","美術","測試","客服"},INDEX('3.員工名單'!$I:$I,MATCH(A58,'3.員工名單'!$A:$A,0))))*ISNUMBER(SEARCH({"經營","管理","財務","企劃","營運","技術","數據","美術","測試","客服"},INDEX('1.職能辭典'!$K:$K,MATCH(F58,'1.職能辭典'!$C:$C,0)))))&gt;0)),INDEX('2.職務職能需求'!$B$2:$F$28,MATCH(F58,'2.職務職能需求'!$A$2:$A$28,0),MATCH(D58,'2.職務職能需求'!$B$1:$F$1,0)),0),""))</f>
        <v/>
      </c>
      <c r="H58" s="94" t="n"/>
      <c r="I58" s="94" t="n"/>
      <c r="J58" s="120">
        <f>IF(OR(G58="",I58="",G58=0),"",I58-G58)</f>
        <v/>
      </c>
      <c r="K58" s="120">
        <f>IF(G58="","",IF(G58=0,"不適用",IF(I58="","待評核",IF(I58&gt;=G58,IF(I58&gt;G58,"超越","達標"),"待發展"))))</f>
        <v/>
      </c>
      <c r="L58" s="91" t="n"/>
      <c r="M58" s="91" t="n"/>
      <c r="N58" s="88" t="n"/>
    </row>
    <row r="59" ht="15.75" customHeight="1" s="64">
      <c r="A59" s="88" t="n"/>
      <c r="B59" s="120">
        <f t="array" ref="B59:B59">IF(A59="","",IFERROR(INDEX('3.員工名單'!$B:$B,MATCH(A59,'3.員工名單'!$A:$A,0)),"查無此員工"))</f>
        <v/>
      </c>
      <c r="C59" s="120">
        <f t="array" ref="C59:C59">IF(A59="","",IFERROR(INDEX('3.員工名單'!$C:$C,MATCH(A59,'3.員工名單'!$A:$A,0)),""))</f>
        <v/>
      </c>
      <c r="D59" s="120">
        <f t="array" ref="D59:D59">IF(A59="","",IFERROR(INDEX('3.員工名單'!$D:$D,MATCH(A59,'3.員工名單'!$A:$A,0)),""))</f>
        <v/>
      </c>
      <c r="E59" s="120">
        <f t="array" ref="E59:E59">IF(F59="","",IFERROR(INDEX('1.職能辭典'!$A:$A,MATCH(F59,'1.職能辭典'!$C:$C,0)),""))</f>
        <v/>
      </c>
      <c r="F59" s="94" t="n"/>
      <c r="G59" s="120">
        <f t="array" ref="G59:G59">IF(OR(D59="",F59=""),"",IFERROR(IF(AND(OR(INDEX('1.職能辭典'!$J:$J,MATCH(F59,'1.職能辭典'!$C:$C,0))="全部",INDEX('3.員工名單'!$H:$H,MATCH(A59,'3.員工名單'!$A:$A,0))="兩款共用",INDEX('3.員工名單'!$H:$H,MATCH(A59,'3.員工名單'!$A:$A,0))=INDEX('1.職能辭典'!$J:$J,MATCH(F59,'1.職能辭典'!$C:$C,0))),OR(INDEX('1.職能辭典'!$K:$K,MATCH(F59,'1.職能辭典'!$C:$C,0))="全部",SUMPRODUCT(ISNUMBER(SEARCH({"經營","管理","財務","企劃","營運","技術","數據","美術","測試","客服"},INDEX('3.員工名單'!$I:$I,MATCH(A59,'3.員工名單'!$A:$A,0))))*ISNUMBER(SEARCH({"經營","管理","財務","企劃","營運","技術","數據","美術","測試","客服"},INDEX('1.職能辭典'!$K:$K,MATCH(F59,'1.職能辭典'!$C:$C,0)))))&gt;0)),INDEX('2.職務職能需求'!$B$2:$F$28,MATCH(F59,'2.職務職能需求'!$A$2:$A$28,0),MATCH(D59,'2.職務職能需求'!$B$1:$F$1,0)),0),""))</f>
        <v/>
      </c>
      <c r="H59" s="94" t="n"/>
      <c r="I59" s="94" t="n"/>
      <c r="J59" s="120">
        <f>IF(OR(G59="",I59="",G59=0),"",I59-G59)</f>
        <v/>
      </c>
      <c r="K59" s="120">
        <f>IF(G59="","",IF(G59=0,"不適用",IF(I59="","待評核",IF(I59&gt;=G59,IF(I59&gt;G59,"超越","達標"),"待發展"))))</f>
        <v/>
      </c>
      <c r="L59" s="91" t="n"/>
      <c r="M59" s="91" t="n"/>
      <c r="N59" s="88" t="n"/>
    </row>
    <row r="60" ht="15.75" customHeight="1" s="64">
      <c r="A60" s="88" t="n"/>
      <c r="B60" s="120">
        <f t="array" ref="B60:B60">IF(A60="","",IFERROR(INDEX('3.員工名單'!$B:$B,MATCH(A60,'3.員工名單'!$A:$A,0)),"查無此員工"))</f>
        <v/>
      </c>
      <c r="C60" s="120">
        <f t="array" ref="C60:C60">IF(A60="","",IFERROR(INDEX('3.員工名單'!$C:$C,MATCH(A60,'3.員工名單'!$A:$A,0)),""))</f>
        <v/>
      </c>
      <c r="D60" s="120">
        <f t="array" ref="D60:D60">IF(A60="","",IFERROR(INDEX('3.員工名單'!$D:$D,MATCH(A60,'3.員工名單'!$A:$A,0)),""))</f>
        <v/>
      </c>
      <c r="E60" s="120">
        <f t="array" ref="E60:E60">IF(F60="","",IFERROR(INDEX('1.職能辭典'!$A:$A,MATCH(F60,'1.職能辭典'!$C:$C,0)),""))</f>
        <v/>
      </c>
      <c r="F60" s="94" t="n"/>
      <c r="G60" s="120">
        <f t="array" ref="G60:G60">IF(OR(D60="",F60=""),"",IFERROR(IF(AND(OR(INDEX('1.職能辭典'!$J:$J,MATCH(F60,'1.職能辭典'!$C:$C,0))="全部",INDEX('3.員工名單'!$H:$H,MATCH(A60,'3.員工名單'!$A:$A,0))="兩款共用",INDEX('3.員工名單'!$H:$H,MATCH(A60,'3.員工名單'!$A:$A,0))=INDEX('1.職能辭典'!$J:$J,MATCH(F60,'1.職能辭典'!$C:$C,0))),OR(INDEX('1.職能辭典'!$K:$K,MATCH(F60,'1.職能辭典'!$C:$C,0))="全部",SUMPRODUCT(ISNUMBER(SEARCH({"經營","管理","財務","企劃","營運","技術","數據","美術","測試","客服"},INDEX('3.員工名單'!$I:$I,MATCH(A60,'3.員工名單'!$A:$A,0))))*ISNUMBER(SEARCH({"經營","管理","財務","企劃","營運","技術","數據","美術","測試","客服"},INDEX('1.職能辭典'!$K:$K,MATCH(F60,'1.職能辭典'!$C:$C,0)))))&gt;0)),INDEX('2.職務職能需求'!$B$2:$F$28,MATCH(F60,'2.職務職能需求'!$A$2:$A$28,0),MATCH(D60,'2.職務職能需求'!$B$1:$F$1,0)),0),""))</f>
        <v/>
      </c>
      <c r="H60" s="94" t="n"/>
      <c r="I60" s="94" t="n"/>
      <c r="J60" s="120">
        <f>IF(OR(G60="",I60="",G60=0),"",I60-G60)</f>
        <v/>
      </c>
      <c r="K60" s="120">
        <f>IF(G60="","",IF(G60=0,"不適用",IF(I60="","待評核",IF(I60&gt;=G60,IF(I60&gt;G60,"超越","達標"),"待發展"))))</f>
        <v/>
      </c>
      <c r="L60" s="91" t="n"/>
      <c r="M60" s="91" t="n"/>
      <c r="N60" s="88" t="n"/>
    </row>
    <row r="61" ht="15.75" customHeight="1" s="64">
      <c r="A61" s="88" t="n"/>
      <c r="B61" s="120">
        <f t="array" ref="B61:B61">IF(A61="","",IFERROR(INDEX('3.員工名單'!$B:$B,MATCH(A61,'3.員工名單'!$A:$A,0)),"查無此員工"))</f>
        <v/>
      </c>
      <c r="C61" s="120">
        <f t="array" ref="C61:C61">IF(A61="","",IFERROR(INDEX('3.員工名單'!$C:$C,MATCH(A61,'3.員工名單'!$A:$A,0)),""))</f>
        <v/>
      </c>
      <c r="D61" s="120">
        <f t="array" ref="D61:D61">IF(A61="","",IFERROR(INDEX('3.員工名單'!$D:$D,MATCH(A61,'3.員工名單'!$A:$A,0)),""))</f>
        <v/>
      </c>
      <c r="E61" s="120">
        <f t="array" ref="E61:E61">IF(F61="","",IFERROR(INDEX('1.職能辭典'!$A:$A,MATCH(F61,'1.職能辭典'!$C:$C,0)),""))</f>
        <v/>
      </c>
      <c r="F61" s="94" t="n"/>
      <c r="G61" s="120">
        <f t="array" ref="G61:G61">IF(OR(D61="",F61=""),"",IFERROR(IF(AND(OR(INDEX('1.職能辭典'!$J:$J,MATCH(F61,'1.職能辭典'!$C:$C,0))="全部",INDEX('3.員工名單'!$H:$H,MATCH(A61,'3.員工名單'!$A:$A,0))="兩款共用",INDEX('3.員工名單'!$H:$H,MATCH(A61,'3.員工名單'!$A:$A,0))=INDEX('1.職能辭典'!$J:$J,MATCH(F61,'1.職能辭典'!$C:$C,0))),OR(INDEX('1.職能辭典'!$K:$K,MATCH(F61,'1.職能辭典'!$C:$C,0))="全部",SUMPRODUCT(ISNUMBER(SEARCH({"經營","管理","財務","企劃","營運","技術","數據","美術","測試","客服"},INDEX('3.員工名單'!$I:$I,MATCH(A61,'3.員工名單'!$A:$A,0))))*ISNUMBER(SEARCH({"經營","管理","財務","企劃","營運","技術","數據","美術","測試","客服"},INDEX('1.職能辭典'!$K:$K,MATCH(F61,'1.職能辭典'!$C:$C,0)))))&gt;0)),INDEX('2.職務職能需求'!$B$2:$F$28,MATCH(F61,'2.職務職能需求'!$A$2:$A$28,0),MATCH(D61,'2.職務職能需求'!$B$1:$F$1,0)),0),""))</f>
        <v/>
      </c>
      <c r="H61" s="94" t="n"/>
      <c r="I61" s="94" t="n"/>
      <c r="J61" s="120">
        <f>IF(OR(G61="",I61="",G61=0),"",I61-G61)</f>
        <v/>
      </c>
      <c r="K61" s="120">
        <f>IF(G61="","",IF(G61=0,"不適用",IF(I61="","待評核",IF(I61&gt;=G61,IF(I61&gt;G61,"超越","達標"),"待發展"))))</f>
        <v/>
      </c>
      <c r="L61" s="91" t="n"/>
      <c r="M61" s="91" t="n"/>
      <c r="N61" s="88" t="n"/>
    </row>
    <row r="62" ht="15.75" customHeight="1" s="64">
      <c r="A62" s="88" t="n"/>
      <c r="B62" s="120">
        <f t="array" ref="B62:B62">IF(A62="","",IFERROR(INDEX('3.員工名單'!$B:$B,MATCH(A62,'3.員工名單'!$A:$A,0)),"查無此員工"))</f>
        <v/>
      </c>
      <c r="C62" s="120">
        <f t="array" ref="C62:C62">IF(A62="","",IFERROR(INDEX('3.員工名單'!$C:$C,MATCH(A62,'3.員工名單'!$A:$A,0)),""))</f>
        <v/>
      </c>
      <c r="D62" s="120">
        <f t="array" ref="D62:D62">IF(A62="","",IFERROR(INDEX('3.員工名單'!$D:$D,MATCH(A62,'3.員工名單'!$A:$A,0)),""))</f>
        <v/>
      </c>
      <c r="E62" s="120">
        <f t="array" ref="E62:E62">IF(F62="","",IFERROR(INDEX('1.職能辭典'!$A:$A,MATCH(F62,'1.職能辭典'!$C:$C,0)),""))</f>
        <v/>
      </c>
      <c r="F62" s="94" t="n"/>
      <c r="G62" s="120">
        <f t="array" ref="G62:G62">IF(OR(D62="",F62=""),"",IFERROR(IF(AND(OR(INDEX('1.職能辭典'!$J:$J,MATCH(F62,'1.職能辭典'!$C:$C,0))="全部",INDEX('3.員工名單'!$H:$H,MATCH(A62,'3.員工名單'!$A:$A,0))="兩款共用",INDEX('3.員工名單'!$H:$H,MATCH(A62,'3.員工名單'!$A:$A,0))=INDEX('1.職能辭典'!$J:$J,MATCH(F62,'1.職能辭典'!$C:$C,0))),OR(INDEX('1.職能辭典'!$K:$K,MATCH(F62,'1.職能辭典'!$C:$C,0))="全部",SUMPRODUCT(ISNUMBER(SEARCH({"經營","管理","財務","企劃","營運","技術","數據","美術","測試","客服"},INDEX('3.員工名單'!$I:$I,MATCH(A62,'3.員工名單'!$A:$A,0))))*ISNUMBER(SEARCH({"經營","管理","財務","企劃","營運","技術","數據","美術","測試","客服"},INDEX('1.職能辭典'!$K:$K,MATCH(F62,'1.職能辭典'!$C:$C,0)))))&gt;0)),INDEX('2.職務職能需求'!$B$2:$F$28,MATCH(F62,'2.職務職能需求'!$A$2:$A$28,0),MATCH(D62,'2.職務職能需求'!$B$1:$F$1,0)),0),""))</f>
        <v/>
      </c>
      <c r="H62" s="94" t="n"/>
      <c r="I62" s="94" t="n"/>
      <c r="J62" s="120">
        <f>IF(OR(G62="",I62="",G62=0),"",I62-G62)</f>
        <v/>
      </c>
      <c r="K62" s="120">
        <f>IF(G62="","",IF(G62=0,"不適用",IF(I62="","待評核",IF(I62&gt;=G62,IF(I62&gt;G62,"超越","達標"),"待發展"))))</f>
        <v/>
      </c>
      <c r="L62" s="91" t="n"/>
      <c r="M62" s="91" t="n"/>
      <c r="N62" s="88" t="n"/>
    </row>
    <row r="63" ht="15.75" customHeight="1" s="64">
      <c r="A63" s="88" t="n"/>
      <c r="B63" s="120">
        <f t="array" ref="B63:B63">IF(A63="","",IFERROR(INDEX('3.員工名單'!$B:$B,MATCH(A63,'3.員工名單'!$A:$A,0)),"查無此員工"))</f>
        <v/>
      </c>
      <c r="C63" s="120">
        <f t="array" ref="C63:C63">IF(A63="","",IFERROR(INDEX('3.員工名單'!$C:$C,MATCH(A63,'3.員工名單'!$A:$A,0)),""))</f>
        <v/>
      </c>
      <c r="D63" s="120">
        <f t="array" ref="D63:D63">IF(A63="","",IFERROR(INDEX('3.員工名單'!$D:$D,MATCH(A63,'3.員工名單'!$A:$A,0)),""))</f>
        <v/>
      </c>
      <c r="E63" s="120">
        <f t="array" ref="E63:E63">IF(F63="","",IFERROR(INDEX('1.職能辭典'!$A:$A,MATCH(F63,'1.職能辭典'!$C:$C,0)),""))</f>
        <v/>
      </c>
      <c r="F63" s="94" t="n"/>
      <c r="G63" s="120">
        <f t="array" ref="G63:G63">IF(OR(D63="",F63=""),"",IFERROR(IF(AND(OR(INDEX('1.職能辭典'!$J:$J,MATCH(F63,'1.職能辭典'!$C:$C,0))="全部",INDEX('3.員工名單'!$H:$H,MATCH(A63,'3.員工名單'!$A:$A,0))="兩款共用",INDEX('3.員工名單'!$H:$H,MATCH(A63,'3.員工名單'!$A:$A,0))=INDEX('1.職能辭典'!$J:$J,MATCH(F63,'1.職能辭典'!$C:$C,0))),OR(INDEX('1.職能辭典'!$K:$K,MATCH(F63,'1.職能辭典'!$C:$C,0))="全部",SUMPRODUCT(ISNUMBER(SEARCH({"經營","管理","財務","企劃","營運","技術","數據","美術","測試","客服"},INDEX('3.員工名單'!$I:$I,MATCH(A63,'3.員工名單'!$A:$A,0))))*ISNUMBER(SEARCH({"經營","管理","財務","企劃","營運","技術","數據","美術","測試","客服"},INDEX('1.職能辭典'!$K:$K,MATCH(F63,'1.職能辭典'!$C:$C,0)))))&gt;0)),INDEX('2.職務職能需求'!$B$2:$F$28,MATCH(F63,'2.職務職能需求'!$A$2:$A$28,0),MATCH(D63,'2.職務職能需求'!$B$1:$F$1,0)),0),""))</f>
        <v/>
      </c>
      <c r="H63" s="94" t="n"/>
      <c r="I63" s="94" t="n"/>
      <c r="J63" s="120">
        <f>IF(OR(G63="",I63="",G63=0),"",I63-G63)</f>
        <v/>
      </c>
      <c r="K63" s="120">
        <f>IF(G63="","",IF(G63=0,"不適用",IF(I63="","待評核",IF(I63&gt;=G63,IF(I63&gt;G63,"超越","達標"),"待發展"))))</f>
        <v/>
      </c>
      <c r="L63" s="91" t="n"/>
      <c r="M63" s="91" t="n"/>
      <c r="N63" s="88" t="n"/>
    </row>
    <row r="64" ht="15.75" customHeight="1" s="64">
      <c r="A64" s="88" t="n"/>
      <c r="B64" s="120">
        <f t="array" ref="B64:B64">IF(A64="","",IFERROR(INDEX('3.員工名單'!$B:$B,MATCH(A64,'3.員工名單'!$A:$A,0)),"查無此員工"))</f>
        <v/>
      </c>
      <c r="C64" s="120">
        <f t="array" ref="C64:C64">IF(A64="","",IFERROR(INDEX('3.員工名單'!$C:$C,MATCH(A64,'3.員工名單'!$A:$A,0)),""))</f>
        <v/>
      </c>
      <c r="D64" s="120">
        <f t="array" ref="D64:D64">IF(A64="","",IFERROR(INDEX('3.員工名單'!$D:$D,MATCH(A64,'3.員工名單'!$A:$A,0)),""))</f>
        <v/>
      </c>
      <c r="E64" s="120">
        <f t="array" ref="E64:E64">IF(F64="","",IFERROR(INDEX('1.職能辭典'!$A:$A,MATCH(F64,'1.職能辭典'!$C:$C,0)),""))</f>
        <v/>
      </c>
      <c r="F64" s="94" t="n"/>
      <c r="G64" s="120">
        <f t="array" ref="G64:G64">IF(OR(D64="",F64=""),"",IFERROR(IF(AND(OR(INDEX('1.職能辭典'!$J:$J,MATCH(F64,'1.職能辭典'!$C:$C,0))="全部",INDEX('3.員工名單'!$H:$H,MATCH(A64,'3.員工名單'!$A:$A,0))="兩款共用",INDEX('3.員工名單'!$H:$H,MATCH(A64,'3.員工名單'!$A:$A,0))=INDEX('1.職能辭典'!$J:$J,MATCH(F64,'1.職能辭典'!$C:$C,0))),OR(INDEX('1.職能辭典'!$K:$K,MATCH(F64,'1.職能辭典'!$C:$C,0))="全部",SUMPRODUCT(ISNUMBER(SEARCH({"經營","管理","財務","企劃","營運","技術","數據","美術","測試","客服"},INDEX('3.員工名單'!$I:$I,MATCH(A64,'3.員工名單'!$A:$A,0))))*ISNUMBER(SEARCH({"經營","管理","財務","企劃","營運","技術","數據","美術","測試","客服"},INDEX('1.職能辭典'!$K:$K,MATCH(F64,'1.職能辭典'!$C:$C,0)))))&gt;0)),INDEX('2.職務職能需求'!$B$2:$F$28,MATCH(F64,'2.職務職能需求'!$A$2:$A$28,0),MATCH(D64,'2.職務職能需求'!$B$1:$F$1,0)),0),""))</f>
        <v/>
      </c>
      <c r="H64" s="94" t="n"/>
      <c r="I64" s="94" t="n"/>
      <c r="J64" s="120">
        <f>IF(OR(G64="",I64="",G64=0),"",I64-G64)</f>
        <v/>
      </c>
      <c r="K64" s="120">
        <f>IF(G64="","",IF(G64=0,"不適用",IF(I64="","待評核",IF(I64&gt;=G64,IF(I64&gt;G64,"超越","達標"),"待發展"))))</f>
        <v/>
      </c>
      <c r="L64" s="91" t="n"/>
      <c r="M64" s="91" t="n"/>
      <c r="N64" s="88" t="n"/>
    </row>
    <row r="65" ht="15.75" customHeight="1" s="64">
      <c r="A65" s="88" t="n"/>
      <c r="B65" s="120">
        <f t="array" ref="B65:B65">IF(A65="","",IFERROR(INDEX('3.員工名單'!$B:$B,MATCH(A65,'3.員工名單'!$A:$A,0)),"查無此員工"))</f>
        <v/>
      </c>
      <c r="C65" s="120">
        <f t="array" ref="C65:C65">IF(A65="","",IFERROR(INDEX('3.員工名單'!$C:$C,MATCH(A65,'3.員工名單'!$A:$A,0)),""))</f>
        <v/>
      </c>
      <c r="D65" s="120">
        <f t="array" ref="D65:D65">IF(A65="","",IFERROR(INDEX('3.員工名單'!$D:$D,MATCH(A65,'3.員工名單'!$A:$A,0)),""))</f>
        <v/>
      </c>
      <c r="E65" s="120">
        <f t="array" ref="E65:E65">IF(F65="","",IFERROR(INDEX('1.職能辭典'!$A:$A,MATCH(F65,'1.職能辭典'!$C:$C,0)),""))</f>
        <v/>
      </c>
      <c r="F65" s="94" t="n"/>
      <c r="G65" s="120">
        <f t="array" ref="G65:G65">IF(OR(D65="",F65=""),"",IFERROR(IF(AND(OR(INDEX('1.職能辭典'!$J:$J,MATCH(F65,'1.職能辭典'!$C:$C,0))="全部",INDEX('3.員工名單'!$H:$H,MATCH(A65,'3.員工名單'!$A:$A,0))="兩款共用",INDEX('3.員工名單'!$H:$H,MATCH(A65,'3.員工名單'!$A:$A,0))=INDEX('1.職能辭典'!$J:$J,MATCH(F65,'1.職能辭典'!$C:$C,0))),OR(INDEX('1.職能辭典'!$K:$K,MATCH(F65,'1.職能辭典'!$C:$C,0))="全部",SUMPRODUCT(ISNUMBER(SEARCH({"經營","管理","財務","企劃","營運","技術","數據","美術","測試","客服"},INDEX('3.員工名單'!$I:$I,MATCH(A65,'3.員工名單'!$A:$A,0))))*ISNUMBER(SEARCH({"經營","管理","財務","企劃","營運","技術","數據","美術","測試","客服"},INDEX('1.職能辭典'!$K:$K,MATCH(F65,'1.職能辭典'!$C:$C,0)))))&gt;0)),INDEX('2.職務職能需求'!$B$2:$F$28,MATCH(F65,'2.職務職能需求'!$A$2:$A$28,0),MATCH(D65,'2.職務職能需求'!$B$1:$F$1,0)),0),""))</f>
        <v/>
      </c>
      <c r="H65" s="94" t="n"/>
      <c r="I65" s="94" t="n"/>
      <c r="J65" s="120">
        <f>IF(OR(G65="",I65="",G65=0),"",I65-G65)</f>
        <v/>
      </c>
      <c r="K65" s="120">
        <f>IF(G65="","",IF(G65=0,"不適用",IF(I65="","待評核",IF(I65&gt;=G65,IF(I65&gt;G65,"超越","達標"),"待發展"))))</f>
        <v/>
      </c>
      <c r="L65" s="91" t="n"/>
      <c r="M65" s="91" t="n"/>
      <c r="N65" s="88" t="n"/>
    </row>
    <row r="66" ht="15.75" customHeight="1" s="64">
      <c r="A66" s="88" t="n"/>
      <c r="B66" s="120">
        <f t="array" ref="B66:B66">IF(A66="","",IFERROR(INDEX('3.員工名單'!$B:$B,MATCH(A66,'3.員工名單'!$A:$A,0)),"查無此員工"))</f>
        <v/>
      </c>
      <c r="C66" s="120">
        <f t="array" ref="C66:C66">IF(A66="","",IFERROR(INDEX('3.員工名單'!$C:$C,MATCH(A66,'3.員工名單'!$A:$A,0)),""))</f>
        <v/>
      </c>
      <c r="D66" s="120">
        <f t="array" ref="D66:D66">IF(A66="","",IFERROR(INDEX('3.員工名單'!$D:$D,MATCH(A66,'3.員工名單'!$A:$A,0)),""))</f>
        <v/>
      </c>
      <c r="E66" s="120">
        <f t="array" ref="E66:E66">IF(F66="","",IFERROR(INDEX('1.職能辭典'!$A:$A,MATCH(F66,'1.職能辭典'!$C:$C,0)),""))</f>
        <v/>
      </c>
      <c r="F66" s="94" t="n"/>
      <c r="G66" s="120">
        <f t="array" ref="G66:G66">IF(OR(D66="",F66=""),"",IFERROR(IF(AND(OR(INDEX('1.職能辭典'!$J:$J,MATCH(F66,'1.職能辭典'!$C:$C,0))="全部",INDEX('3.員工名單'!$H:$H,MATCH(A66,'3.員工名單'!$A:$A,0))="兩款共用",INDEX('3.員工名單'!$H:$H,MATCH(A66,'3.員工名單'!$A:$A,0))=INDEX('1.職能辭典'!$J:$J,MATCH(F66,'1.職能辭典'!$C:$C,0))),OR(INDEX('1.職能辭典'!$K:$K,MATCH(F66,'1.職能辭典'!$C:$C,0))="全部",SUMPRODUCT(ISNUMBER(SEARCH({"經營","管理","財務","企劃","營運","技術","數據","美術","測試","客服"},INDEX('3.員工名單'!$I:$I,MATCH(A66,'3.員工名單'!$A:$A,0))))*ISNUMBER(SEARCH({"經營","管理","財務","企劃","營運","技術","數據","美術","測試","客服"},INDEX('1.職能辭典'!$K:$K,MATCH(F66,'1.職能辭典'!$C:$C,0)))))&gt;0)),INDEX('2.職務職能需求'!$B$2:$F$28,MATCH(F66,'2.職務職能需求'!$A$2:$A$28,0),MATCH(D66,'2.職務職能需求'!$B$1:$F$1,0)),0),""))</f>
        <v/>
      </c>
      <c r="H66" s="94" t="n"/>
      <c r="I66" s="94" t="n"/>
      <c r="J66" s="120">
        <f>IF(OR(G66="",I66="",G66=0),"",I66-G66)</f>
        <v/>
      </c>
      <c r="K66" s="120">
        <f>IF(G66="","",IF(G66=0,"不適用",IF(I66="","待評核",IF(I66&gt;=G66,IF(I66&gt;G66,"超越","達標"),"待發展"))))</f>
        <v/>
      </c>
      <c r="L66" s="91" t="n"/>
      <c r="M66" s="91" t="n"/>
      <c r="N66" s="88" t="n"/>
    </row>
    <row r="67" ht="15.75" customHeight="1" s="64">
      <c r="A67" s="88" t="n"/>
      <c r="B67" s="120">
        <f t="array" ref="B67:B67">IF(A67="","",IFERROR(INDEX('3.員工名單'!$B:$B,MATCH(A67,'3.員工名單'!$A:$A,0)),"查無此員工"))</f>
        <v/>
      </c>
      <c r="C67" s="120">
        <f t="array" ref="C67:C67">IF(A67="","",IFERROR(INDEX('3.員工名單'!$C:$C,MATCH(A67,'3.員工名單'!$A:$A,0)),""))</f>
        <v/>
      </c>
      <c r="D67" s="120">
        <f t="array" ref="D67:D67">IF(A67="","",IFERROR(INDEX('3.員工名單'!$D:$D,MATCH(A67,'3.員工名單'!$A:$A,0)),""))</f>
        <v/>
      </c>
      <c r="E67" s="120">
        <f t="array" ref="E67:E67">IF(F67="","",IFERROR(INDEX('1.職能辭典'!$A:$A,MATCH(F67,'1.職能辭典'!$C:$C,0)),""))</f>
        <v/>
      </c>
      <c r="F67" s="94" t="n"/>
      <c r="G67" s="120">
        <f t="array" ref="G67:G67">IF(OR(D67="",F67=""),"",IFERROR(IF(AND(OR(INDEX('1.職能辭典'!$J:$J,MATCH(F67,'1.職能辭典'!$C:$C,0))="全部",INDEX('3.員工名單'!$H:$H,MATCH(A67,'3.員工名單'!$A:$A,0))="兩款共用",INDEX('3.員工名單'!$H:$H,MATCH(A67,'3.員工名單'!$A:$A,0))=INDEX('1.職能辭典'!$J:$J,MATCH(F67,'1.職能辭典'!$C:$C,0))),OR(INDEX('1.職能辭典'!$K:$K,MATCH(F67,'1.職能辭典'!$C:$C,0))="全部",SUMPRODUCT(ISNUMBER(SEARCH({"經營","管理","財務","企劃","營運","技術","數據","美術","測試","客服"},INDEX('3.員工名單'!$I:$I,MATCH(A67,'3.員工名單'!$A:$A,0))))*ISNUMBER(SEARCH({"經營","管理","財務","企劃","營運","技術","數據","美術","測試","客服"},INDEX('1.職能辭典'!$K:$K,MATCH(F67,'1.職能辭典'!$C:$C,0)))))&gt;0)),INDEX('2.職務職能需求'!$B$2:$F$28,MATCH(F67,'2.職務職能需求'!$A$2:$A$28,0),MATCH(D67,'2.職務職能需求'!$B$1:$F$1,0)),0),""))</f>
        <v/>
      </c>
      <c r="H67" s="94" t="n"/>
      <c r="I67" s="94" t="n"/>
      <c r="J67" s="120">
        <f>IF(OR(G67="",I67="",G67=0),"",I67-G67)</f>
        <v/>
      </c>
      <c r="K67" s="120">
        <f>IF(G67="","",IF(G67=0,"不適用",IF(I67="","待評核",IF(I67&gt;=G67,IF(I67&gt;G67,"超越","達標"),"待發展"))))</f>
        <v/>
      </c>
      <c r="L67" s="91" t="n"/>
      <c r="M67" s="91" t="n"/>
      <c r="N67" s="88" t="n"/>
    </row>
    <row r="68" ht="15.75" customHeight="1" s="64">
      <c r="A68" s="88" t="n"/>
      <c r="B68" s="120">
        <f t="array" ref="B68:B68">IF(A68="","",IFERROR(INDEX('3.員工名單'!$B:$B,MATCH(A68,'3.員工名單'!$A:$A,0)),"查無此員工"))</f>
        <v/>
      </c>
      <c r="C68" s="120">
        <f t="array" ref="C68:C68">IF(A68="","",IFERROR(INDEX('3.員工名單'!$C:$C,MATCH(A68,'3.員工名單'!$A:$A,0)),""))</f>
        <v/>
      </c>
      <c r="D68" s="120">
        <f t="array" ref="D68:D68">IF(A68="","",IFERROR(INDEX('3.員工名單'!$D:$D,MATCH(A68,'3.員工名單'!$A:$A,0)),""))</f>
        <v/>
      </c>
      <c r="E68" s="120">
        <f t="array" ref="E68:E68">IF(F68="","",IFERROR(INDEX('1.職能辭典'!$A:$A,MATCH(F68,'1.職能辭典'!$C:$C,0)),""))</f>
        <v/>
      </c>
      <c r="F68" s="94" t="n"/>
      <c r="G68" s="120">
        <f t="array" ref="G68:G68">IF(OR(D68="",F68=""),"",IFERROR(IF(AND(OR(INDEX('1.職能辭典'!$J:$J,MATCH(F68,'1.職能辭典'!$C:$C,0))="全部",INDEX('3.員工名單'!$H:$H,MATCH(A68,'3.員工名單'!$A:$A,0))="兩款共用",INDEX('3.員工名單'!$H:$H,MATCH(A68,'3.員工名單'!$A:$A,0))=INDEX('1.職能辭典'!$J:$J,MATCH(F68,'1.職能辭典'!$C:$C,0))),OR(INDEX('1.職能辭典'!$K:$K,MATCH(F68,'1.職能辭典'!$C:$C,0))="全部",SUMPRODUCT(ISNUMBER(SEARCH({"經營","管理","財務","企劃","營運","技術","數據","美術","測試","客服"},INDEX('3.員工名單'!$I:$I,MATCH(A68,'3.員工名單'!$A:$A,0))))*ISNUMBER(SEARCH({"經營","管理","財務","企劃","營運","技術","數據","美術","測試","客服"},INDEX('1.職能辭典'!$K:$K,MATCH(F68,'1.職能辭典'!$C:$C,0)))))&gt;0)),INDEX('2.職務職能需求'!$B$2:$F$28,MATCH(F68,'2.職務職能需求'!$A$2:$A$28,0),MATCH(D68,'2.職務職能需求'!$B$1:$F$1,0)),0),""))</f>
        <v/>
      </c>
      <c r="H68" s="94" t="n"/>
      <c r="I68" s="94" t="n"/>
      <c r="J68" s="120">
        <f>IF(OR(G68="",I68="",G68=0),"",I68-G68)</f>
        <v/>
      </c>
      <c r="K68" s="120">
        <f>IF(G68="","",IF(G68=0,"不適用",IF(I68="","待評核",IF(I68&gt;=G68,IF(I68&gt;G68,"超越","達標"),"待發展"))))</f>
        <v/>
      </c>
      <c r="L68" s="91" t="n"/>
      <c r="M68" s="91" t="n"/>
      <c r="N68" s="88" t="n"/>
    </row>
    <row r="69" ht="15.75" customHeight="1" s="64">
      <c r="A69" s="88" t="n"/>
      <c r="B69" s="120">
        <f t="array" ref="B69:B69">IF(A69="","",IFERROR(INDEX('3.員工名單'!$B:$B,MATCH(A69,'3.員工名單'!$A:$A,0)),"查無此員工"))</f>
        <v/>
      </c>
      <c r="C69" s="120">
        <f t="array" ref="C69:C69">IF(A69="","",IFERROR(INDEX('3.員工名單'!$C:$C,MATCH(A69,'3.員工名單'!$A:$A,0)),""))</f>
        <v/>
      </c>
      <c r="D69" s="120">
        <f t="array" ref="D69:D69">IF(A69="","",IFERROR(INDEX('3.員工名單'!$D:$D,MATCH(A69,'3.員工名單'!$A:$A,0)),""))</f>
        <v/>
      </c>
      <c r="E69" s="120">
        <f t="array" ref="E69:E69">IF(F69="","",IFERROR(INDEX('1.職能辭典'!$A:$A,MATCH(F69,'1.職能辭典'!$C:$C,0)),""))</f>
        <v/>
      </c>
      <c r="F69" s="94" t="n"/>
      <c r="G69" s="120">
        <f t="array" ref="G69:G69">IF(OR(D69="",F69=""),"",IFERROR(IF(AND(OR(INDEX('1.職能辭典'!$J:$J,MATCH(F69,'1.職能辭典'!$C:$C,0))="全部",INDEX('3.員工名單'!$H:$H,MATCH(A69,'3.員工名單'!$A:$A,0))="兩款共用",INDEX('3.員工名單'!$H:$H,MATCH(A69,'3.員工名單'!$A:$A,0))=INDEX('1.職能辭典'!$J:$J,MATCH(F69,'1.職能辭典'!$C:$C,0))),OR(INDEX('1.職能辭典'!$K:$K,MATCH(F69,'1.職能辭典'!$C:$C,0))="全部",SUMPRODUCT(ISNUMBER(SEARCH({"經營","管理","財務","企劃","營運","技術","數據","美術","測試","客服"},INDEX('3.員工名單'!$I:$I,MATCH(A69,'3.員工名單'!$A:$A,0))))*ISNUMBER(SEARCH({"經營","管理","財務","企劃","營運","技術","數據","美術","測試","客服"},INDEX('1.職能辭典'!$K:$K,MATCH(F69,'1.職能辭典'!$C:$C,0)))))&gt;0)),INDEX('2.職務職能需求'!$B$2:$F$28,MATCH(F69,'2.職務職能需求'!$A$2:$A$28,0),MATCH(D69,'2.職務職能需求'!$B$1:$F$1,0)),0),""))</f>
        <v/>
      </c>
      <c r="H69" s="94" t="n"/>
      <c r="I69" s="94" t="n"/>
      <c r="J69" s="120">
        <f>IF(OR(G69="",I69="",G69=0),"",I69-G69)</f>
        <v/>
      </c>
      <c r="K69" s="120">
        <f>IF(G69="","",IF(G69=0,"不適用",IF(I69="","待評核",IF(I69&gt;=G69,IF(I69&gt;G69,"超越","達標"),"待發展"))))</f>
        <v/>
      </c>
      <c r="L69" s="91" t="n"/>
      <c r="M69" s="91" t="n"/>
      <c r="N69" s="88" t="n"/>
    </row>
    <row r="70" ht="15.75" customHeight="1" s="64">
      <c r="A70" s="88" t="n"/>
      <c r="B70" s="120">
        <f t="array" ref="B70:B70">IF(A70="","",IFERROR(INDEX('3.員工名單'!$B:$B,MATCH(A70,'3.員工名單'!$A:$A,0)),"查無此員工"))</f>
        <v/>
      </c>
      <c r="C70" s="120">
        <f t="array" ref="C70:C70">IF(A70="","",IFERROR(INDEX('3.員工名單'!$C:$C,MATCH(A70,'3.員工名單'!$A:$A,0)),""))</f>
        <v/>
      </c>
      <c r="D70" s="120">
        <f t="array" ref="D70:D70">IF(A70="","",IFERROR(INDEX('3.員工名單'!$D:$D,MATCH(A70,'3.員工名單'!$A:$A,0)),""))</f>
        <v/>
      </c>
      <c r="E70" s="120">
        <f t="array" ref="E70:E70">IF(F70="","",IFERROR(INDEX('1.職能辭典'!$A:$A,MATCH(F70,'1.職能辭典'!$C:$C,0)),""))</f>
        <v/>
      </c>
      <c r="F70" s="94" t="n"/>
      <c r="G70" s="120">
        <f t="array" ref="G70:G70">IF(OR(D70="",F70=""),"",IFERROR(IF(AND(OR(INDEX('1.職能辭典'!$J:$J,MATCH(F70,'1.職能辭典'!$C:$C,0))="全部",INDEX('3.員工名單'!$H:$H,MATCH(A70,'3.員工名單'!$A:$A,0))="兩款共用",INDEX('3.員工名單'!$H:$H,MATCH(A70,'3.員工名單'!$A:$A,0))=INDEX('1.職能辭典'!$J:$J,MATCH(F70,'1.職能辭典'!$C:$C,0))),OR(INDEX('1.職能辭典'!$K:$K,MATCH(F70,'1.職能辭典'!$C:$C,0))="全部",SUMPRODUCT(ISNUMBER(SEARCH({"經營","管理","財務","企劃","營運","技術","數據","美術","測試","客服"},INDEX('3.員工名單'!$I:$I,MATCH(A70,'3.員工名單'!$A:$A,0))))*ISNUMBER(SEARCH({"經營","管理","財務","企劃","營運","技術","數據","美術","測試","客服"},INDEX('1.職能辭典'!$K:$K,MATCH(F70,'1.職能辭典'!$C:$C,0)))))&gt;0)),INDEX('2.職務職能需求'!$B$2:$F$28,MATCH(F70,'2.職務職能需求'!$A$2:$A$28,0),MATCH(D70,'2.職務職能需求'!$B$1:$F$1,0)),0),""))</f>
        <v/>
      </c>
      <c r="H70" s="94" t="n"/>
      <c r="I70" s="94" t="n"/>
      <c r="J70" s="120">
        <f>IF(OR(G70="",I70="",G70=0),"",I70-G70)</f>
        <v/>
      </c>
      <c r="K70" s="120">
        <f>IF(G70="","",IF(G70=0,"不適用",IF(I70="","待評核",IF(I70&gt;=G70,IF(I70&gt;G70,"超越","達標"),"待發展"))))</f>
        <v/>
      </c>
      <c r="L70" s="91" t="n"/>
      <c r="M70" s="91" t="n"/>
      <c r="N70" s="88" t="n"/>
    </row>
    <row r="71" ht="15.75" customHeight="1" s="64">
      <c r="A71" s="88" t="n"/>
      <c r="B71" s="120">
        <f t="array" ref="B71:B71">IF(A71="","",IFERROR(INDEX('3.員工名單'!$B:$B,MATCH(A71,'3.員工名單'!$A:$A,0)),"查無此員工"))</f>
        <v/>
      </c>
      <c r="C71" s="120">
        <f t="array" ref="C71:C71">IF(A71="","",IFERROR(INDEX('3.員工名單'!$C:$C,MATCH(A71,'3.員工名單'!$A:$A,0)),""))</f>
        <v/>
      </c>
      <c r="D71" s="120">
        <f t="array" ref="D71:D71">IF(A71="","",IFERROR(INDEX('3.員工名單'!$D:$D,MATCH(A71,'3.員工名單'!$A:$A,0)),""))</f>
        <v/>
      </c>
      <c r="E71" s="120">
        <f t="array" ref="E71:E71">IF(F71="","",IFERROR(INDEX('1.職能辭典'!$A:$A,MATCH(F71,'1.職能辭典'!$C:$C,0)),""))</f>
        <v/>
      </c>
      <c r="F71" s="94" t="n"/>
      <c r="G71" s="120">
        <f t="array" ref="G71:G71">IF(OR(D71="",F71=""),"",IFERROR(IF(AND(OR(INDEX('1.職能辭典'!$J:$J,MATCH(F71,'1.職能辭典'!$C:$C,0))="全部",INDEX('3.員工名單'!$H:$H,MATCH(A71,'3.員工名單'!$A:$A,0))="兩款共用",INDEX('3.員工名單'!$H:$H,MATCH(A71,'3.員工名單'!$A:$A,0))=INDEX('1.職能辭典'!$J:$J,MATCH(F71,'1.職能辭典'!$C:$C,0))),OR(INDEX('1.職能辭典'!$K:$K,MATCH(F71,'1.職能辭典'!$C:$C,0))="全部",SUMPRODUCT(ISNUMBER(SEARCH({"經營","管理","財務","企劃","營運","技術","數據","美術","測試","客服"},INDEX('3.員工名單'!$I:$I,MATCH(A71,'3.員工名單'!$A:$A,0))))*ISNUMBER(SEARCH({"經營","管理","財務","企劃","營運","技術","數據","美術","測試","客服"},INDEX('1.職能辭典'!$K:$K,MATCH(F71,'1.職能辭典'!$C:$C,0)))))&gt;0)),INDEX('2.職務職能需求'!$B$2:$F$28,MATCH(F71,'2.職務職能需求'!$A$2:$A$28,0),MATCH(D71,'2.職務職能需求'!$B$1:$F$1,0)),0),""))</f>
        <v/>
      </c>
      <c r="H71" s="94" t="n"/>
      <c r="I71" s="94" t="n"/>
      <c r="J71" s="120">
        <f>IF(OR(G71="",I71="",G71=0),"",I71-G71)</f>
        <v/>
      </c>
      <c r="K71" s="120">
        <f>IF(G71="","",IF(G71=0,"不適用",IF(I71="","待評核",IF(I71&gt;=G71,IF(I71&gt;G71,"超越","達標"),"待發展"))))</f>
        <v/>
      </c>
      <c r="L71" s="91" t="n"/>
      <c r="M71" s="91" t="n"/>
      <c r="N71" s="88" t="n"/>
    </row>
    <row r="72" ht="15.75" customHeight="1" s="64">
      <c r="A72" s="88" t="n"/>
      <c r="B72" s="120">
        <f t="array" ref="B72:B72">IF(A72="","",IFERROR(INDEX('3.員工名單'!$B:$B,MATCH(A72,'3.員工名單'!$A:$A,0)),"查無此員工"))</f>
        <v/>
      </c>
      <c r="C72" s="120">
        <f t="array" ref="C72:C72">IF(A72="","",IFERROR(INDEX('3.員工名單'!$C:$C,MATCH(A72,'3.員工名單'!$A:$A,0)),""))</f>
        <v/>
      </c>
      <c r="D72" s="120">
        <f t="array" ref="D72:D72">IF(A72="","",IFERROR(INDEX('3.員工名單'!$D:$D,MATCH(A72,'3.員工名單'!$A:$A,0)),""))</f>
        <v/>
      </c>
      <c r="E72" s="120">
        <f t="array" ref="E72:E72">IF(F72="","",IFERROR(INDEX('1.職能辭典'!$A:$A,MATCH(F72,'1.職能辭典'!$C:$C,0)),""))</f>
        <v/>
      </c>
      <c r="F72" s="94" t="n"/>
      <c r="G72" s="120">
        <f t="array" ref="G72:G72">IF(OR(D72="",F72=""),"",IFERROR(IF(AND(OR(INDEX('1.職能辭典'!$J:$J,MATCH(F72,'1.職能辭典'!$C:$C,0))="全部",INDEX('3.員工名單'!$H:$H,MATCH(A72,'3.員工名單'!$A:$A,0))="兩款共用",INDEX('3.員工名單'!$H:$H,MATCH(A72,'3.員工名單'!$A:$A,0))=INDEX('1.職能辭典'!$J:$J,MATCH(F72,'1.職能辭典'!$C:$C,0))),OR(INDEX('1.職能辭典'!$K:$K,MATCH(F72,'1.職能辭典'!$C:$C,0))="全部",SUMPRODUCT(ISNUMBER(SEARCH({"經營","管理","財務","企劃","營運","技術","數據","美術","測試","客服"},INDEX('3.員工名單'!$I:$I,MATCH(A72,'3.員工名單'!$A:$A,0))))*ISNUMBER(SEARCH({"經營","管理","財務","企劃","營運","技術","數據","美術","測試","客服"},INDEX('1.職能辭典'!$K:$K,MATCH(F72,'1.職能辭典'!$C:$C,0)))))&gt;0)),INDEX('2.職務職能需求'!$B$2:$F$28,MATCH(F72,'2.職務職能需求'!$A$2:$A$28,0),MATCH(D72,'2.職務職能需求'!$B$1:$F$1,0)),0),""))</f>
        <v/>
      </c>
      <c r="H72" s="94" t="n"/>
      <c r="I72" s="94" t="n"/>
      <c r="J72" s="120">
        <f>IF(OR(G72="",I72="",G72=0),"",I72-G72)</f>
        <v/>
      </c>
      <c r="K72" s="120">
        <f>IF(G72="","",IF(G72=0,"不適用",IF(I72="","待評核",IF(I72&gt;=G72,IF(I72&gt;G72,"超越","達標"),"待發展"))))</f>
        <v/>
      </c>
      <c r="L72" s="91" t="n"/>
      <c r="M72" s="91" t="n"/>
      <c r="N72" s="88" t="n"/>
    </row>
    <row r="73" ht="15.75" customHeight="1" s="64">
      <c r="A73" s="88" t="n"/>
      <c r="B73" s="120">
        <f t="array" ref="B73:B73">IF(A73="","",IFERROR(INDEX('3.員工名單'!$B:$B,MATCH(A73,'3.員工名單'!$A:$A,0)),"查無此員工"))</f>
        <v/>
      </c>
      <c r="C73" s="120">
        <f t="array" ref="C73:C73">IF(A73="","",IFERROR(INDEX('3.員工名單'!$C:$C,MATCH(A73,'3.員工名單'!$A:$A,0)),""))</f>
        <v/>
      </c>
      <c r="D73" s="120">
        <f t="array" ref="D73:D73">IF(A73="","",IFERROR(INDEX('3.員工名單'!$D:$D,MATCH(A73,'3.員工名單'!$A:$A,0)),""))</f>
        <v/>
      </c>
      <c r="E73" s="120">
        <f t="array" ref="E73:E73">IF(F73="","",IFERROR(INDEX('1.職能辭典'!$A:$A,MATCH(F73,'1.職能辭典'!$C:$C,0)),""))</f>
        <v/>
      </c>
      <c r="F73" s="94" t="n"/>
      <c r="G73" s="120">
        <f t="array" ref="G73:G73">IF(OR(D73="",F73=""),"",IFERROR(IF(AND(OR(INDEX('1.職能辭典'!$J:$J,MATCH(F73,'1.職能辭典'!$C:$C,0))="全部",INDEX('3.員工名單'!$H:$H,MATCH(A73,'3.員工名單'!$A:$A,0))="兩款共用",INDEX('3.員工名單'!$H:$H,MATCH(A73,'3.員工名單'!$A:$A,0))=INDEX('1.職能辭典'!$J:$J,MATCH(F73,'1.職能辭典'!$C:$C,0))),OR(INDEX('1.職能辭典'!$K:$K,MATCH(F73,'1.職能辭典'!$C:$C,0))="全部",SUMPRODUCT(ISNUMBER(SEARCH({"經營","管理","財務","企劃","營運","技術","數據","美術","測試","客服"},INDEX('3.員工名單'!$I:$I,MATCH(A73,'3.員工名單'!$A:$A,0))))*ISNUMBER(SEARCH({"經營","管理","財務","企劃","營運","技術","數據","美術","測試","客服"},INDEX('1.職能辭典'!$K:$K,MATCH(F73,'1.職能辭典'!$C:$C,0)))))&gt;0)),INDEX('2.職務職能需求'!$B$2:$F$28,MATCH(F73,'2.職務職能需求'!$A$2:$A$28,0),MATCH(D73,'2.職務職能需求'!$B$1:$F$1,0)),0),""))</f>
        <v/>
      </c>
      <c r="H73" s="94" t="n"/>
      <c r="I73" s="94" t="n"/>
      <c r="J73" s="120">
        <f>IF(OR(G73="",I73="",G73=0),"",I73-G73)</f>
        <v/>
      </c>
      <c r="K73" s="120">
        <f>IF(G73="","",IF(G73=0,"不適用",IF(I73="","待評核",IF(I73&gt;=G73,IF(I73&gt;G73,"超越","達標"),"待發展"))))</f>
        <v/>
      </c>
      <c r="L73" s="91" t="n"/>
      <c r="M73" s="91" t="n"/>
      <c r="N73" s="88" t="n"/>
    </row>
    <row r="74" ht="15.75" customHeight="1" s="64">
      <c r="A74" s="88" t="n"/>
      <c r="B74" s="120">
        <f t="array" ref="B74:B74">IF(A74="","",IFERROR(INDEX('3.員工名單'!$B:$B,MATCH(A74,'3.員工名單'!$A:$A,0)),"查無此員工"))</f>
        <v/>
      </c>
      <c r="C74" s="120">
        <f t="array" ref="C74:C74">IF(A74="","",IFERROR(INDEX('3.員工名單'!$C:$C,MATCH(A74,'3.員工名單'!$A:$A,0)),""))</f>
        <v/>
      </c>
      <c r="D74" s="120">
        <f t="array" ref="D74:D74">IF(A74="","",IFERROR(INDEX('3.員工名單'!$D:$D,MATCH(A74,'3.員工名單'!$A:$A,0)),""))</f>
        <v/>
      </c>
      <c r="E74" s="120">
        <f t="array" ref="E74:E74">IF(F74="","",IFERROR(INDEX('1.職能辭典'!$A:$A,MATCH(F74,'1.職能辭典'!$C:$C,0)),""))</f>
        <v/>
      </c>
      <c r="F74" s="94" t="n"/>
      <c r="G74" s="120">
        <f t="array" ref="G74:G74">IF(OR(D74="",F74=""),"",IFERROR(IF(AND(OR(INDEX('1.職能辭典'!$J:$J,MATCH(F74,'1.職能辭典'!$C:$C,0))="全部",INDEX('3.員工名單'!$H:$H,MATCH(A74,'3.員工名單'!$A:$A,0))="兩款共用",INDEX('3.員工名單'!$H:$H,MATCH(A74,'3.員工名單'!$A:$A,0))=INDEX('1.職能辭典'!$J:$J,MATCH(F74,'1.職能辭典'!$C:$C,0))),OR(INDEX('1.職能辭典'!$K:$K,MATCH(F74,'1.職能辭典'!$C:$C,0))="全部",SUMPRODUCT(ISNUMBER(SEARCH({"經營","管理","財務","企劃","營運","技術","數據","美術","測試","客服"},INDEX('3.員工名單'!$I:$I,MATCH(A74,'3.員工名單'!$A:$A,0))))*ISNUMBER(SEARCH({"經營","管理","財務","企劃","營運","技術","數據","美術","測試","客服"},INDEX('1.職能辭典'!$K:$K,MATCH(F74,'1.職能辭典'!$C:$C,0)))))&gt;0)),INDEX('2.職務職能需求'!$B$2:$F$28,MATCH(F74,'2.職務職能需求'!$A$2:$A$28,0),MATCH(D74,'2.職務職能需求'!$B$1:$F$1,0)),0),""))</f>
        <v/>
      </c>
      <c r="H74" s="94" t="n"/>
      <c r="I74" s="94" t="n"/>
      <c r="J74" s="120">
        <f>IF(OR(G74="",I74="",G74=0),"",I74-G74)</f>
        <v/>
      </c>
      <c r="K74" s="120">
        <f>IF(G74="","",IF(G74=0,"不適用",IF(I74="","待評核",IF(I74&gt;=G74,IF(I74&gt;G74,"超越","達標"),"待發展"))))</f>
        <v/>
      </c>
      <c r="L74" s="91" t="n"/>
      <c r="M74" s="91" t="n"/>
      <c r="N74" s="88" t="n"/>
    </row>
    <row r="75" ht="15.75" customHeight="1" s="64">
      <c r="A75" s="88" t="n"/>
      <c r="B75" s="120">
        <f t="array" ref="B75:B75">IF(A75="","",IFERROR(INDEX('3.員工名單'!$B:$B,MATCH(A75,'3.員工名單'!$A:$A,0)),"查無此員工"))</f>
        <v/>
      </c>
      <c r="C75" s="120">
        <f t="array" ref="C75:C75">IF(A75="","",IFERROR(INDEX('3.員工名單'!$C:$C,MATCH(A75,'3.員工名單'!$A:$A,0)),""))</f>
        <v/>
      </c>
      <c r="D75" s="120">
        <f t="array" ref="D75:D75">IF(A75="","",IFERROR(INDEX('3.員工名單'!$D:$D,MATCH(A75,'3.員工名單'!$A:$A,0)),""))</f>
        <v/>
      </c>
      <c r="E75" s="120">
        <f t="array" ref="E75:E75">IF(F75="","",IFERROR(INDEX('1.職能辭典'!$A:$A,MATCH(F75,'1.職能辭典'!$C:$C,0)),""))</f>
        <v/>
      </c>
      <c r="F75" s="94" t="n"/>
      <c r="G75" s="120">
        <f t="array" ref="G75:G75">IF(OR(D75="",F75=""),"",IFERROR(IF(AND(OR(INDEX('1.職能辭典'!$J:$J,MATCH(F75,'1.職能辭典'!$C:$C,0))="全部",INDEX('3.員工名單'!$H:$H,MATCH(A75,'3.員工名單'!$A:$A,0))="兩款共用",INDEX('3.員工名單'!$H:$H,MATCH(A75,'3.員工名單'!$A:$A,0))=INDEX('1.職能辭典'!$J:$J,MATCH(F75,'1.職能辭典'!$C:$C,0))),OR(INDEX('1.職能辭典'!$K:$K,MATCH(F75,'1.職能辭典'!$C:$C,0))="全部",SUMPRODUCT(ISNUMBER(SEARCH({"經營","管理","財務","企劃","營運","技術","數據","美術","測試","客服"},INDEX('3.員工名單'!$I:$I,MATCH(A75,'3.員工名單'!$A:$A,0))))*ISNUMBER(SEARCH({"經營","管理","財務","企劃","營運","技術","數據","美術","測試","客服"},INDEX('1.職能辭典'!$K:$K,MATCH(F75,'1.職能辭典'!$C:$C,0)))))&gt;0)),INDEX('2.職務職能需求'!$B$2:$F$28,MATCH(F75,'2.職務職能需求'!$A$2:$A$28,0),MATCH(D75,'2.職務職能需求'!$B$1:$F$1,0)),0),""))</f>
        <v/>
      </c>
      <c r="H75" s="94" t="n"/>
      <c r="I75" s="94" t="n"/>
      <c r="J75" s="120">
        <f>IF(OR(G75="",I75="",G75=0),"",I75-G75)</f>
        <v/>
      </c>
      <c r="K75" s="120">
        <f>IF(G75="","",IF(G75=0,"不適用",IF(I75="","待評核",IF(I75&gt;=G75,IF(I75&gt;G75,"超越","達標"),"待發展"))))</f>
        <v/>
      </c>
      <c r="L75" s="91" t="n"/>
      <c r="M75" s="91" t="n"/>
      <c r="N75" s="88" t="n"/>
    </row>
    <row r="76" ht="15.75" customHeight="1" s="64">
      <c r="A76" s="88" t="n"/>
      <c r="B76" s="120">
        <f t="array" ref="B76:B76">IF(A76="","",IFERROR(INDEX('3.員工名單'!$B:$B,MATCH(A76,'3.員工名單'!$A:$A,0)),"查無此員工"))</f>
        <v/>
      </c>
      <c r="C76" s="120">
        <f t="array" ref="C76:C76">IF(A76="","",IFERROR(INDEX('3.員工名單'!$C:$C,MATCH(A76,'3.員工名單'!$A:$A,0)),""))</f>
        <v/>
      </c>
      <c r="D76" s="120">
        <f t="array" ref="D76:D76">IF(A76="","",IFERROR(INDEX('3.員工名單'!$D:$D,MATCH(A76,'3.員工名單'!$A:$A,0)),""))</f>
        <v/>
      </c>
      <c r="E76" s="120">
        <f t="array" ref="E76:E76">IF(F76="","",IFERROR(INDEX('1.職能辭典'!$A:$A,MATCH(F76,'1.職能辭典'!$C:$C,0)),""))</f>
        <v/>
      </c>
      <c r="F76" s="94" t="n"/>
      <c r="G76" s="120">
        <f t="array" ref="G76:G76">IF(OR(D76="",F76=""),"",IFERROR(IF(AND(OR(INDEX('1.職能辭典'!$J:$J,MATCH(F76,'1.職能辭典'!$C:$C,0))="全部",INDEX('3.員工名單'!$H:$H,MATCH(A76,'3.員工名單'!$A:$A,0))="兩款共用",INDEX('3.員工名單'!$H:$H,MATCH(A76,'3.員工名單'!$A:$A,0))=INDEX('1.職能辭典'!$J:$J,MATCH(F76,'1.職能辭典'!$C:$C,0))),OR(INDEX('1.職能辭典'!$K:$K,MATCH(F76,'1.職能辭典'!$C:$C,0))="全部",SUMPRODUCT(ISNUMBER(SEARCH({"經營","管理","財務","企劃","營運","技術","數據","美術","測試","客服"},INDEX('3.員工名單'!$I:$I,MATCH(A76,'3.員工名單'!$A:$A,0))))*ISNUMBER(SEARCH({"經營","管理","財務","企劃","營運","技術","數據","美術","測試","客服"},INDEX('1.職能辭典'!$K:$K,MATCH(F76,'1.職能辭典'!$C:$C,0)))))&gt;0)),INDEX('2.職務職能需求'!$B$2:$F$28,MATCH(F76,'2.職務職能需求'!$A$2:$A$28,0),MATCH(D76,'2.職務職能需求'!$B$1:$F$1,0)),0),""))</f>
        <v/>
      </c>
      <c r="H76" s="94" t="n"/>
      <c r="I76" s="94" t="n"/>
      <c r="J76" s="120">
        <f>IF(OR(G76="",I76="",G76=0),"",I76-G76)</f>
        <v/>
      </c>
      <c r="K76" s="120">
        <f>IF(G76="","",IF(G76=0,"不適用",IF(I76="","待評核",IF(I76&gt;=G76,IF(I76&gt;G76,"超越","達標"),"待發展"))))</f>
        <v/>
      </c>
      <c r="L76" s="91" t="n"/>
      <c r="M76" s="91" t="n"/>
      <c r="N76" s="88" t="n"/>
    </row>
    <row r="77" ht="15.75" customHeight="1" s="64">
      <c r="A77" s="88" t="n"/>
      <c r="B77" s="120">
        <f t="array" ref="B77:B77">IF(A77="","",IFERROR(INDEX('3.員工名單'!$B:$B,MATCH(A77,'3.員工名單'!$A:$A,0)),"查無此員工"))</f>
        <v/>
      </c>
      <c r="C77" s="120">
        <f t="array" ref="C77:C77">IF(A77="","",IFERROR(INDEX('3.員工名單'!$C:$C,MATCH(A77,'3.員工名單'!$A:$A,0)),""))</f>
        <v/>
      </c>
      <c r="D77" s="120">
        <f t="array" ref="D77:D77">IF(A77="","",IFERROR(INDEX('3.員工名單'!$D:$D,MATCH(A77,'3.員工名單'!$A:$A,0)),""))</f>
        <v/>
      </c>
      <c r="E77" s="120">
        <f t="array" ref="E77:E77">IF(F77="","",IFERROR(INDEX('1.職能辭典'!$A:$A,MATCH(F77,'1.職能辭典'!$C:$C,0)),""))</f>
        <v/>
      </c>
      <c r="F77" s="94" t="n"/>
      <c r="G77" s="120">
        <f t="array" ref="G77:G77">IF(OR(D77="",F77=""),"",IFERROR(IF(AND(OR(INDEX('1.職能辭典'!$J:$J,MATCH(F77,'1.職能辭典'!$C:$C,0))="全部",INDEX('3.員工名單'!$H:$H,MATCH(A77,'3.員工名單'!$A:$A,0))="兩款共用",INDEX('3.員工名單'!$H:$H,MATCH(A77,'3.員工名單'!$A:$A,0))=INDEX('1.職能辭典'!$J:$J,MATCH(F77,'1.職能辭典'!$C:$C,0))),OR(INDEX('1.職能辭典'!$K:$K,MATCH(F77,'1.職能辭典'!$C:$C,0))="全部",SUMPRODUCT(ISNUMBER(SEARCH({"經營","管理","財務","企劃","營運","技術","數據","美術","測試","客服"},INDEX('3.員工名單'!$I:$I,MATCH(A77,'3.員工名單'!$A:$A,0))))*ISNUMBER(SEARCH({"經營","管理","財務","企劃","營運","技術","數據","美術","測試","客服"},INDEX('1.職能辭典'!$K:$K,MATCH(F77,'1.職能辭典'!$C:$C,0)))))&gt;0)),INDEX('2.職務職能需求'!$B$2:$F$28,MATCH(F77,'2.職務職能需求'!$A$2:$A$28,0),MATCH(D77,'2.職務職能需求'!$B$1:$F$1,0)),0),""))</f>
        <v/>
      </c>
      <c r="H77" s="94" t="n"/>
      <c r="I77" s="94" t="n"/>
      <c r="J77" s="120">
        <f>IF(OR(G77="",I77="",G77=0),"",I77-G77)</f>
        <v/>
      </c>
      <c r="K77" s="120">
        <f>IF(G77="","",IF(G77=0,"不適用",IF(I77="","待評核",IF(I77&gt;=G77,IF(I77&gt;G77,"超越","達標"),"待發展"))))</f>
        <v/>
      </c>
      <c r="L77" s="91" t="n"/>
      <c r="M77" s="91" t="n"/>
      <c r="N77" s="88" t="n"/>
    </row>
    <row r="78" ht="15.75" customHeight="1" s="64">
      <c r="A78" s="88" t="n"/>
      <c r="B78" s="120">
        <f t="array" ref="B78:B78">IF(A78="","",IFERROR(INDEX('3.員工名單'!$B:$B,MATCH(A78,'3.員工名單'!$A:$A,0)),"查無此員工"))</f>
        <v/>
      </c>
      <c r="C78" s="120">
        <f t="array" ref="C78:C78">IF(A78="","",IFERROR(INDEX('3.員工名單'!$C:$C,MATCH(A78,'3.員工名單'!$A:$A,0)),""))</f>
        <v/>
      </c>
      <c r="D78" s="120">
        <f t="array" ref="D78:D78">IF(A78="","",IFERROR(INDEX('3.員工名單'!$D:$D,MATCH(A78,'3.員工名單'!$A:$A,0)),""))</f>
        <v/>
      </c>
      <c r="E78" s="120">
        <f t="array" ref="E78:E78">IF(F78="","",IFERROR(INDEX('1.職能辭典'!$A:$A,MATCH(F78,'1.職能辭典'!$C:$C,0)),""))</f>
        <v/>
      </c>
      <c r="F78" s="94" t="n"/>
      <c r="G78" s="120">
        <f t="array" ref="G78:G78">IF(OR(D78="",F78=""),"",IFERROR(IF(AND(OR(INDEX('1.職能辭典'!$J:$J,MATCH(F78,'1.職能辭典'!$C:$C,0))="全部",INDEX('3.員工名單'!$H:$H,MATCH(A78,'3.員工名單'!$A:$A,0))="兩款共用",INDEX('3.員工名單'!$H:$H,MATCH(A78,'3.員工名單'!$A:$A,0))=INDEX('1.職能辭典'!$J:$J,MATCH(F78,'1.職能辭典'!$C:$C,0))),OR(INDEX('1.職能辭典'!$K:$K,MATCH(F78,'1.職能辭典'!$C:$C,0))="全部",SUMPRODUCT(ISNUMBER(SEARCH({"經營","管理","財務","企劃","營運","技術","數據","美術","測試","客服"},INDEX('3.員工名單'!$I:$I,MATCH(A78,'3.員工名單'!$A:$A,0))))*ISNUMBER(SEARCH({"經營","管理","財務","企劃","營運","技術","數據","美術","測試","客服"},INDEX('1.職能辭典'!$K:$K,MATCH(F78,'1.職能辭典'!$C:$C,0)))))&gt;0)),INDEX('2.職務職能需求'!$B$2:$F$28,MATCH(F78,'2.職務職能需求'!$A$2:$A$28,0),MATCH(D78,'2.職務職能需求'!$B$1:$F$1,0)),0),""))</f>
        <v/>
      </c>
      <c r="H78" s="94" t="n"/>
      <c r="I78" s="94" t="n"/>
      <c r="J78" s="120">
        <f>IF(OR(G78="",I78="",G78=0),"",I78-G78)</f>
        <v/>
      </c>
      <c r="K78" s="120">
        <f>IF(G78="","",IF(G78=0,"不適用",IF(I78="","待評核",IF(I78&gt;=G78,IF(I78&gt;G78,"超越","達標"),"待發展"))))</f>
        <v/>
      </c>
      <c r="L78" s="91" t="n"/>
      <c r="M78" s="91" t="n"/>
      <c r="N78" s="88" t="n"/>
    </row>
    <row r="79" ht="15.75" customHeight="1" s="64">
      <c r="A79" s="88" t="n"/>
      <c r="B79" s="120">
        <f t="array" ref="B79:B79">IF(A79="","",IFERROR(INDEX('3.員工名單'!$B:$B,MATCH(A79,'3.員工名單'!$A:$A,0)),"查無此員工"))</f>
        <v/>
      </c>
      <c r="C79" s="120">
        <f t="array" ref="C79:C79">IF(A79="","",IFERROR(INDEX('3.員工名單'!$C:$C,MATCH(A79,'3.員工名單'!$A:$A,0)),""))</f>
        <v/>
      </c>
      <c r="D79" s="120">
        <f t="array" ref="D79:D79">IF(A79="","",IFERROR(INDEX('3.員工名單'!$D:$D,MATCH(A79,'3.員工名單'!$A:$A,0)),""))</f>
        <v/>
      </c>
      <c r="E79" s="120">
        <f t="array" ref="E79:E79">IF(F79="","",IFERROR(INDEX('1.職能辭典'!$A:$A,MATCH(F79,'1.職能辭典'!$C:$C,0)),""))</f>
        <v/>
      </c>
      <c r="F79" s="94" t="n"/>
      <c r="G79" s="120">
        <f t="array" ref="G79:G79">IF(OR(D79="",F79=""),"",IFERROR(IF(AND(OR(INDEX('1.職能辭典'!$J:$J,MATCH(F79,'1.職能辭典'!$C:$C,0))="全部",INDEX('3.員工名單'!$H:$H,MATCH(A79,'3.員工名單'!$A:$A,0))="兩款共用",INDEX('3.員工名單'!$H:$H,MATCH(A79,'3.員工名單'!$A:$A,0))=INDEX('1.職能辭典'!$J:$J,MATCH(F79,'1.職能辭典'!$C:$C,0))),OR(INDEX('1.職能辭典'!$K:$K,MATCH(F79,'1.職能辭典'!$C:$C,0))="全部",SUMPRODUCT(ISNUMBER(SEARCH({"經營","管理","財務","企劃","營運","技術","數據","美術","測試","客服"},INDEX('3.員工名單'!$I:$I,MATCH(A79,'3.員工名單'!$A:$A,0))))*ISNUMBER(SEARCH({"經營","管理","財務","企劃","營運","技術","數據","美術","測試","客服"},INDEX('1.職能辭典'!$K:$K,MATCH(F79,'1.職能辭典'!$C:$C,0)))))&gt;0)),INDEX('2.職務職能需求'!$B$2:$F$28,MATCH(F79,'2.職務職能需求'!$A$2:$A$28,0),MATCH(D79,'2.職務職能需求'!$B$1:$F$1,0)),0),""))</f>
        <v/>
      </c>
      <c r="H79" s="94" t="n"/>
      <c r="I79" s="94" t="n"/>
      <c r="J79" s="120">
        <f>IF(OR(G79="",I79="",G79=0),"",I79-G79)</f>
        <v/>
      </c>
      <c r="K79" s="120">
        <f>IF(G79="","",IF(G79=0,"不適用",IF(I79="","待評核",IF(I79&gt;=G79,IF(I79&gt;G79,"超越","達標"),"待發展"))))</f>
        <v/>
      </c>
      <c r="L79" s="91" t="n"/>
      <c r="M79" s="91" t="n"/>
      <c r="N79" s="88" t="n"/>
    </row>
    <row r="80" ht="15.75" customHeight="1" s="64">
      <c r="A80" s="88" t="n"/>
      <c r="B80" s="120">
        <f t="array" ref="B80:B80">IF(A80="","",IFERROR(INDEX('3.員工名單'!$B:$B,MATCH(A80,'3.員工名單'!$A:$A,0)),"查無此員工"))</f>
        <v/>
      </c>
      <c r="C80" s="120">
        <f t="array" ref="C80:C80">IF(A80="","",IFERROR(INDEX('3.員工名單'!$C:$C,MATCH(A80,'3.員工名單'!$A:$A,0)),""))</f>
        <v/>
      </c>
      <c r="D80" s="120">
        <f t="array" ref="D80:D80">IF(A80="","",IFERROR(INDEX('3.員工名單'!$D:$D,MATCH(A80,'3.員工名單'!$A:$A,0)),""))</f>
        <v/>
      </c>
      <c r="E80" s="120">
        <f t="array" ref="E80:E80">IF(F80="","",IFERROR(INDEX('1.職能辭典'!$A:$A,MATCH(F80,'1.職能辭典'!$C:$C,0)),""))</f>
        <v/>
      </c>
      <c r="F80" s="94" t="n"/>
      <c r="G80" s="120">
        <f t="array" ref="G80:G80">IF(OR(D80="",F80=""),"",IFERROR(IF(AND(OR(INDEX('1.職能辭典'!$J:$J,MATCH(F80,'1.職能辭典'!$C:$C,0))="全部",INDEX('3.員工名單'!$H:$H,MATCH(A80,'3.員工名單'!$A:$A,0))="兩款共用",INDEX('3.員工名單'!$H:$H,MATCH(A80,'3.員工名單'!$A:$A,0))=INDEX('1.職能辭典'!$J:$J,MATCH(F80,'1.職能辭典'!$C:$C,0))),OR(INDEX('1.職能辭典'!$K:$K,MATCH(F80,'1.職能辭典'!$C:$C,0))="全部",SUMPRODUCT(ISNUMBER(SEARCH({"經營","管理","財務","企劃","營運","技術","數據","美術","測試","客服"},INDEX('3.員工名單'!$I:$I,MATCH(A80,'3.員工名單'!$A:$A,0))))*ISNUMBER(SEARCH({"經營","管理","財務","企劃","營運","技術","數據","美術","測試","客服"},INDEX('1.職能辭典'!$K:$K,MATCH(F80,'1.職能辭典'!$C:$C,0)))))&gt;0)),INDEX('2.職務職能需求'!$B$2:$F$28,MATCH(F80,'2.職務職能需求'!$A$2:$A$28,0),MATCH(D80,'2.職務職能需求'!$B$1:$F$1,0)),0),""))</f>
        <v/>
      </c>
      <c r="H80" s="94" t="n"/>
      <c r="I80" s="94" t="n"/>
      <c r="J80" s="120">
        <f>IF(OR(G80="",I80="",G80=0),"",I80-G80)</f>
        <v/>
      </c>
      <c r="K80" s="120">
        <f>IF(G80="","",IF(G80=0,"不適用",IF(I80="","待評核",IF(I80&gt;=G80,IF(I80&gt;G80,"超越","達標"),"待發展"))))</f>
        <v/>
      </c>
      <c r="L80" s="91" t="n"/>
      <c r="M80" s="91" t="n"/>
      <c r="N80" s="88" t="n"/>
    </row>
    <row r="81" ht="15.75" customHeight="1" s="64">
      <c r="A81" s="88" t="n"/>
      <c r="B81" s="120">
        <f t="array" ref="B81:B81">IF(A81="","",IFERROR(INDEX('3.員工名單'!$B:$B,MATCH(A81,'3.員工名單'!$A:$A,0)),"查無此員工"))</f>
        <v/>
      </c>
      <c r="C81" s="120">
        <f t="array" ref="C81:C81">IF(A81="","",IFERROR(INDEX('3.員工名單'!$C:$C,MATCH(A81,'3.員工名單'!$A:$A,0)),""))</f>
        <v/>
      </c>
      <c r="D81" s="120">
        <f t="array" ref="D81:D81">IF(A81="","",IFERROR(INDEX('3.員工名單'!$D:$D,MATCH(A81,'3.員工名單'!$A:$A,0)),""))</f>
        <v/>
      </c>
      <c r="E81" s="120">
        <f t="array" ref="E81:E81">IF(F81="","",IFERROR(INDEX('1.職能辭典'!$A:$A,MATCH(F81,'1.職能辭典'!$C:$C,0)),""))</f>
        <v/>
      </c>
      <c r="F81" s="94" t="n"/>
      <c r="G81" s="120">
        <f t="array" ref="G81:G81">IF(OR(D81="",F81=""),"",IFERROR(IF(AND(OR(INDEX('1.職能辭典'!$J:$J,MATCH(F81,'1.職能辭典'!$C:$C,0))="全部",INDEX('3.員工名單'!$H:$H,MATCH(A81,'3.員工名單'!$A:$A,0))="兩款共用",INDEX('3.員工名單'!$H:$H,MATCH(A81,'3.員工名單'!$A:$A,0))=INDEX('1.職能辭典'!$J:$J,MATCH(F81,'1.職能辭典'!$C:$C,0))),OR(INDEX('1.職能辭典'!$K:$K,MATCH(F81,'1.職能辭典'!$C:$C,0))="全部",SUMPRODUCT(ISNUMBER(SEARCH({"經營","管理","財務","企劃","營運","技術","數據","美術","測試","客服"},INDEX('3.員工名單'!$I:$I,MATCH(A81,'3.員工名單'!$A:$A,0))))*ISNUMBER(SEARCH({"經營","管理","財務","企劃","營運","技術","數據","美術","測試","客服"},INDEX('1.職能辭典'!$K:$K,MATCH(F81,'1.職能辭典'!$C:$C,0)))))&gt;0)),INDEX('2.職務職能需求'!$B$2:$F$28,MATCH(F81,'2.職務職能需求'!$A$2:$A$28,0),MATCH(D81,'2.職務職能需求'!$B$1:$F$1,0)),0),""))</f>
        <v/>
      </c>
      <c r="H81" s="94" t="n"/>
      <c r="I81" s="94" t="n"/>
      <c r="J81" s="120">
        <f>IF(OR(G81="",I81="",G81=0),"",I81-G81)</f>
        <v/>
      </c>
      <c r="K81" s="120">
        <f>IF(G81="","",IF(G81=0,"不適用",IF(I81="","待評核",IF(I81&gt;=G81,IF(I81&gt;G81,"超越","達標"),"待發展"))))</f>
        <v/>
      </c>
      <c r="L81" s="91" t="n"/>
      <c r="M81" s="91" t="n"/>
      <c r="N81" s="88" t="n"/>
    </row>
    <row r="82" ht="15.75" customHeight="1" s="64">
      <c r="A82" s="88" t="n"/>
      <c r="B82" s="120">
        <f t="array" ref="B82:B82">IF(A82="","",IFERROR(INDEX('3.員工名單'!$B:$B,MATCH(A82,'3.員工名單'!$A:$A,0)),"查無此員工"))</f>
        <v/>
      </c>
      <c r="C82" s="120">
        <f t="array" ref="C82:C82">IF(A82="","",IFERROR(INDEX('3.員工名單'!$C:$C,MATCH(A82,'3.員工名單'!$A:$A,0)),""))</f>
        <v/>
      </c>
      <c r="D82" s="120">
        <f t="array" ref="D82:D82">IF(A82="","",IFERROR(INDEX('3.員工名單'!$D:$D,MATCH(A82,'3.員工名單'!$A:$A,0)),""))</f>
        <v/>
      </c>
      <c r="E82" s="120">
        <f t="array" ref="E82:E82">IF(F82="","",IFERROR(INDEX('1.職能辭典'!$A:$A,MATCH(F82,'1.職能辭典'!$C:$C,0)),""))</f>
        <v/>
      </c>
      <c r="F82" s="94" t="n"/>
      <c r="G82" s="120">
        <f t="array" ref="G82:G82">IF(OR(D82="",F82=""),"",IFERROR(IF(AND(OR(INDEX('1.職能辭典'!$J:$J,MATCH(F82,'1.職能辭典'!$C:$C,0))="全部",INDEX('3.員工名單'!$H:$H,MATCH(A82,'3.員工名單'!$A:$A,0))="兩款共用",INDEX('3.員工名單'!$H:$H,MATCH(A82,'3.員工名單'!$A:$A,0))=INDEX('1.職能辭典'!$J:$J,MATCH(F82,'1.職能辭典'!$C:$C,0))),OR(INDEX('1.職能辭典'!$K:$K,MATCH(F82,'1.職能辭典'!$C:$C,0))="全部",SUMPRODUCT(ISNUMBER(SEARCH({"經營","管理","財務","企劃","營運","技術","數據","美術","測試","客服"},INDEX('3.員工名單'!$I:$I,MATCH(A82,'3.員工名單'!$A:$A,0))))*ISNUMBER(SEARCH({"經營","管理","財務","企劃","營運","技術","數據","美術","測試","客服"},INDEX('1.職能辭典'!$K:$K,MATCH(F82,'1.職能辭典'!$C:$C,0)))))&gt;0)),INDEX('2.職務職能需求'!$B$2:$F$28,MATCH(F82,'2.職務職能需求'!$A$2:$A$28,0),MATCH(D82,'2.職務職能需求'!$B$1:$F$1,0)),0),""))</f>
        <v/>
      </c>
      <c r="H82" s="94" t="n"/>
      <c r="I82" s="94" t="n"/>
      <c r="J82" s="120">
        <f>IF(OR(G82="",I82="",G82=0),"",I82-G82)</f>
        <v/>
      </c>
      <c r="K82" s="120">
        <f>IF(G82="","",IF(G82=0,"不適用",IF(I82="","待評核",IF(I82&gt;=G82,IF(I82&gt;G82,"超越","達標"),"待發展"))))</f>
        <v/>
      </c>
      <c r="L82" s="91" t="n"/>
      <c r="M82" s="91" t="n"/>
      <c r="N82" s="88" t="n"/>
    </row>
    <row r="83" ht="15.75" customHeight="1" s="64">
      <c r="A83" s="88" t="n"/>
      <c r="B83" s="120">
        <f t="array" ref="B83:B83">IF(A83="","",IFERROR(INDEX('3.員工名單'!$B:$B,MATCH(A83,'3.員工名單'!$A:$A,0)),"查無此員工"))</f>
        <v/>
      </c>
      <c r="C83" s="120">
        <f t="array" ref="C83:C83">IF(A83="","",IFERROR(INDEX('3.員工名單'!$C:$C,MATCH(A83,'3.員工名單'!$A:$A,0)),""))</f>
        <v/>
      </c>
      <c r="D83" s="120">
        <f t="array" ref="D83:D83">IF(A83="","",IFERROR(INDEX('3.員工名單'!$D:$D,MATCH(A83,'3.員工名單'!$A:$A,0)),""))</f>
        <v/>
      </c>
      <c r="E83" s="120">
        <f t="array" ref="E83:E83">IF(F83="","",IFERROR(INDEX('1.職能辭典'!$A:$A,MATCH(F83,'1.職能辭典'!$C:$C,0)),""))</f>
        <v/>
      </c>
      <c r="F83" s="94" t="n"/>
      <c r="G83" s="120">
        <f t="array" ref="G83:G83">IF(OR(D83="",F83=""),"",IFERROR(IF(AND(OR(INDEX('1.職能辭典'!$J:$J,MATCH(F83,'1.職能辭典'!$C:$C,0))="全部",INDEX('3.員工名單'!$H:$H,MATCH(A83,'3.員工名單'!$A:$A,0))="兩款共用",INDEX('3.員工名單'!$H:$H,MATCH(A83,'3.員工名單'!$A:$A,0))=INDEX('1.職能辭典'!$J:$J,MATCH(F83,'1.職能辭典'!$C:$C,0))),OR(INDEX('1.職能辭典'!$K:$K,MATCH(F83,'1.職能辭典'!$C:$C,0))="全部",SUMPRODUCT(ISNUMBER(SEARCH({"經營","管理","財務","企劃","營運","技術","數據","美術","測試","客服"},INDEX('3.員工名單'!$I:$I,MATCH(A83,'3.員工名單'!$A:$A,0))))*ISNUMBER(SEARCH({"經營","管理","財務","企劃","營運","技術","數據","美術","測試","客服"},INDEX('1.職能辭典'!$K:$K,MATCH(F83,'1.職能辭典'!$C:$C,0)))))&gt;0)),INDEX('2.職務職能需求'!$B$2:$F$28,MATCH(F83,'2.職務職能需求'!$A$2:$A$28,0),MATCH(D83,'2.職務職能需求'!$B$1:$F$1,0)),0),""))</f>
        <v/>
      </c>
      <c r="H83" s="94" t="n"/>
      <c r="I83" s="94" t="n"/>
      <c r="J83" s="120">
        <f>IF(OR(G83="",I83="",G83=0),"",I83-G83)</f>
        <v/>
      </c>
      <c r="K83" s="120">
        <f>IF(G83="","",IF(G83=0,"不適用",IF(I83="","待評核",IF(I83&gt;=G83,IF(I83&gt;G83,"超越","達標"),"待發展"))))</f>
        <v/>
      </c>
      <c r="L83" s="91" t="n"/>
      <c r="M83" s="91" t="n"/>
      <c r="N83" s="88" t="n"/>
    </row>
    <row r="84" ht="15.75" customHeight="1" s="64">
      <c r="A84" s="88" t="n"/>
      <c r="B84" s="120">
        <f t="array" ref="B84:B84">IF(A84="","",IFERROR(INDEX('3.員工名單'!$B:$B,MATCH(A84,'3.員工名單'!$A:$A,0)),"查無此員工"))</f>
        <v/>
      </c>
      <c r="C84" s="120">
        <f t="array" ref="C84:C84">IF(A84="","",IFERROR(INDEX('3.員工名單'!$C:$C,MATCH(A84,'3.員工名單'!$A:$A,0)),""))</f>
        <v/>
      </c>
      <c r="D84" s="120">
        <f t="array" ref="D84:D84">IF(A84="","",IFERROR(INDEX('3.員工名單'!$D:$D,MATCH(A84,'3.員工名單'!$A:$A,0)),""))</f>
        <v/>
      </c>
      <c r="E84" s="120">
        <f t="array" ref="E84:E84">IF(F84="","",IFERROR(INDEX('1.職能辭典'!$A:$A,MATCH(F84,'1.職能辭典'!$C:$C,0)),""))</f>
        <v/>
      </c>
      <c r="F84" s="94" t="n"/>
      <c r="G84" s="120">
        <f t="array" ref="G84:G84">IF(OR(D84="",F84=""),"",IFERROR(IF(AND(OR(INDEX('1.職能辭典'!$J:$J,MATCH(F84,'1.職能辭典'!$C:$C,0))="全部",INDEX('3.員工名單'!$H:$H,MATCH(A84,'3.員工名單'!$A:$A,0))="兩款共用",INDEX('3.員工名單'!$H:$H,MATCH(A84,'3.員工名單'!$A:$A,0))=INDEX('1.職能辭典'!$J:$J,MATCH(F84,'1.職能辭典'!$C:$C,0))),OR(INDEX('1.職能辭典'!$K:$K,MATCH(F84,'1.職能辭典'!$C:$C,0))="全部",SUMPRODUCT(ISNUMBER(SEARCH({"經營","管理","財務","企劃","營運","技術","數據","美術","測試","客服"},INDEX('3.員工名單'!$I:$I,MATCH(A84,'3.員工名單'!$A:$A,0))))*ISNUMBER(SEARCH({"經營","管理","財務","企劃","營運","技術","數據","美術","測試","客服"},INDEX('1.職能辭典'!$K:$K,MATCH(F84,'1.職能辭典'!$C:$C,0)))))&gt;0)),INDEX('2.職務職能需求'!$B$2:$F$28,MATCH(F84,'2.職務職能需求'!$A$2:$A$28,0),MATCH(D84,'2.職務職能需求'!$B$1:$F$1,0)),0),""))</f>
        <v/>
      </c>
      <c r="H84" s="94" t="n"/>
      <c r="I84" s="94" t="n"/>
      <c r="J84" s="120">
        <f>IF(OR(G84="",I84="",G84=0),"",I84-G84)</f>
        <v/>
      </c>
      <c r="K84" s="120">
        <f>IF(G84="","",IF(G84=0,"不適用",IF(I84="","待評核",IF(I84&gt;=G84,IF(I84&gt;G84,"超越","達標"),"待發展"))))</f>
        <v/>
      </c>
      <c r="L84" s="91" t="n"/>
      <c r="M84" s="91" t="n"/>
      <c r="N84" s="88" t="n"/>
    </row>
    <row r="85" ht="15.75" customHeight="1" s="64">
      <c r="A85" s="88" t="n"/>
      <c r="B85" s="120">
        <f t="array" ref="B85:B85">IF(A85="","",IFERROR(INDEX('3.員工名單'!$B:$B,MATCH(A85,'3.員工名單'!$A:$A,0)),"查無此員工"))</f>
        <v/>
      </c>
      <c r="C85" s="120">
        <f t="array" ref="C85:C85">IF(A85="","",IFERROR(INDEX('3.員工名單'!$C:$C,MATCH(A85,'3.員工名單'!$A:$A,0)),""))</f>
        <v/>
      </c>
      <c r="D85" s="120">
        <f t="array" ref="D85:D85">IF(A85="","",IFERROR(INDEX('3.員工名單'!$D:$D,MATCH(A85,'3.員工名單'!$A:$A,0)),""))</f>
        <v/>
      </c>
      <c r="E85" s="120">
        <f t="array" ref="E85:E85">IF(F85="","",IFERROR(INDEX('1.職能辭典'!$A:$A,MATCH(F85,'1.職能辭典'!$C:$C,0)),""))</f>
        <v/>
      </c>
      <c r="F85" s="94" t="n"/>
      <c r="G85" s="120">
        <f t="array" ref="G85:G85">IF(OR(D85="",F85=""),"",IFERROR(IF(AND(OR(INDEX('1.職能辭典'!$J:$J,MATCH(F85,'1.職能辭典'!$C:$C,0))="全部",INDEX('3.員工名單'!$H:$H,MATCH(A85,'3.員工名單'!$A:$A,0))="兩款共用",INDEX('3.員工名單'!$H:$H,MATCH(A85,'3.員工名單'!$A:$A,0))=INDEX('1.職能辭典'!$J:$J,MATCH(F85,'1.職能辭典'!$C:$C,0))),OR(INDEX('1.職能辭典'!$K:$K,MATCH(F85,'1.職能辭典'!$C:$C,0))="全部",SUMPRODUCT(ISNUMBER(SEARCH({"經營","管理","財務","企劃","營運","技術","數據","美術","測試","客服"},INDEX('3.員工名單'!$I:$I,MATCH(A85,'3.員工名單'!$A:$A,0))))*ISNUMBER(SEARCH({"經營","管理","財務","企劃","營運","技術","數據","美術","測試","客服"},INDEX('1.職能辭典'!$K:$K,MATCH(F85,'1.職能辭典'!$C:$C,0)))))&gt;0)),INDEX('2.職務職能需求'!$B$2:$F$28,MATCH(F85,'2.職務職能需求'!$A$2:$A$28,0),MATCH(D85,'2.職務職能需求'!$B$1:$F$1,0)),0),""))</f>
        <v/>
      </c>
      <c r="H85" s="94" t="n"/>
      <c r="I85" s="94" t="n"/>
      <c r="J85" s="120">
        <f>IF(OR(G85="",I85="",G85=0),"",I85-G85)</f>
        <v/>
      </c>
      <c r="K85" s="120">
        <f>IF(G85="","",IF(G85=0,"不適用",IF(I85="","待評核",IF(I85&gt;=G85,IF(I85&gt;G85,"超越","達標"),"待發展"))))</f>
        <v/>
      </c>
      <c r="L85" s="91" t="n"/>
      <c r="M85" s="91" t="n"/>
      <c r="N85" s="88" t="n"/>
    </row>
    <row r="86" ht="15.75" customHeight="1" s="64">
      <c r="A86" s="88" t="n"/>
      <c r="B86" s="120">
        <f t="array" ref="B86:B86">IF(A86="","",IFERROR(INDEX('3.員工名單'!$B:$B,MATCH(A86,'3.員工名單'!$A:$A,0)),"查無此員工"))</f>
        <v/>
      </c>
      <c r="C86" s="120">
        <f t="array" ref="C86:C86">IF(A86="","",IFERROR(INDEX('3.員工名單'!$C:$C,MATCH(A86,'3.員工名單'!$A:$A,0)),""))</f>
        <v/>
      </c>
      <c r="D86" s="120">
        <f t="array" ref="D86:D86">IF(A86="","",IFERROR(INDEX('3.員工名單'!$D:$D,MATCH(A86,'3.員工名單'!$A:$A,0)),""))</f>
        <v/>
      </c>
      <c r="E86" s="120">
        <f t="array" ref="E86:E86">IF(F86="","",IFERROR(INDEX('1.職能辭典'!$A:$A,MATCH(F86,'1.職能辭典'!$C:$C,0)),""))</f>
        <v/>
      </c>
      <c r="F86" s="94" t="n"/>
      <c r="G86" s="120">
        <f t="array" ref="G86:G86">IF(OR(D86="",F86=""),"",IFERROR(IF(AND(OR(INDEX('1.職能辭典'!$J:$J,MATCH(F86,'1.職能辭典'!$C:$C,0))="全部",INDEX('3.員工名單'!$H:$H,MATCH(A86,'3.員工名單'!$A:$A,0))="兩款共用",INDEX('3.員工名單'!$H:$H,MATCH(A86,'3.員工名單'!$A:$A,0))=INDEX('1.職能辭典'!$J:$J,MATCH(F86,'1.職能辭典'!$C:$C,0))),OR(INDEX('1.職能辭典'!$K:$K,MATCH(F86,'1.職能辭典'!$C:$C,0))="全部",SUMPRODUCT(ISNUMBER(SEARCH({"經營","管理","財務","企劃","營運","技術","數據","美術","測試","客服"},INDEX('3.員工名單'!$I:$I,MATCH(A86,'3.員工名單'!$A:$A,0))))*ISNUMBER(SEARCH({"經營","管理","財務","企劃","營運","技術","數據","美術","測試","客服"},INDEX('1.職能辭典'!$K:$K,MATCH(F86,'1.職能辭典'!$C:$C,0)))))&gt;0)),INDEX('2.職務職能需求'!$B$2:$F$28,MATCH(F86,'2.職務職能需求'!$A$2:$A$28,0),MATCH(D86,'2.職務職能需求'!$B$1:$F$1,0)),0),""))</f>
        <v/>
      </c>
      <c r="H86" s="94" t="n"/>
      <c r="I86" s="94" t="n"/>
      <c r="J86" s="120">
        <f>IF(OR(G86="",I86="",G86=0),"",I86-G86)</f>
        <v/>
      </c>
      <c r="K86" s="120">
        <f>IF(G86="","",IF(G86=0,"不適用",IF(I86="","待評核",IF(I86&gt;=G86,IF(I86&gt;G86,"超越","達標"),"待發展"))))</f>
        <v/>
      </c>
      <c r="L86" s="91" t="n"/>
      <c r="M86" s="91" t="n"/>
      <c r="N86" s="88" t="n"/>
    </row>
    <row r="87" ht="15.75" customHeight="1" s="64">
      <c r="A87" s="88" t="n"/>
      <c r="B87" s="120">
        <f t="array" ref="B87:B87">IF(A87="","",IFERROR(INDEX('3.員工名單'!$B:$B,MATCH(A87,'3.員工名單'!$A:$A,0)),"查無此員工"))</f>
        <v/>
      </c>
      <c r="C87" s="120">
        <f t="array" ref="C87:C87">IF(A87="","",IFERROR(INDEX('3.員工名單'!$C:$C,MATCH(A87,'3.員工名單'!$A:$A,0)),""))</f>
        <v/>
      </c>
      <c r="D87" s="120">
        <f t="array" ref="D87:D87">IF(A87="","",IFERROR(INDEX('3.員工名單'!$D:$D,MATCH(A87,'3.員工名單'!$A:$A,0)),""))</f>
        <v/>
      </c>
      <c r="E87" s="120">
        <f t="array" ref="E87:E87">IF(F87="","",IFERROR(INDEX('1.職能辭典'!$A:$A,MATCH(F87,'1.職能辭典'!$C:$C,0)),""))</f>
        <v/>
      </c>
      <c r="F87" s="94" t="n"/>
      <c r="G87" s="120">
        <f t="array" ref="G87:G87">IF(OR(D87="",F87=""),"",IFERROR(IF(AND(OR(INDEX('1.職能辭典'!$J:$J,MATCH(F87,'1.職能辭典'!$C:$C,0))="全部",INDEX('3.員工名單'!$H:$H,MATCH(A87,'3.員工名單'!$A:$A,0))="兩款共用",INDEX('3.員工名單'!$H:$H,MATCH(A87,'3.員工名單'!$A:$A,0))=INDEX('1.職能辭典'!$J:$J,MATCH(F87,'1.職能辭典'!$C:$C,0))),OR(INDEX('1.職能辭典'!$K:$K,MATCH(F87,'1.職能辭典'!$C:$C,0))="全部",SUMPRODUCT(ISNUMBER(SEARCH({"經營","管理","財務","企劃","營運","技術","數據","美術","測試","客服"},INDEX('3.員工名單'!$I:$I,MATCH(A87,'3.員工名單'!$A:$A,0))))*ISNUMBER(SEARCH({"經營","管理","財務","企劃","營運","技術","數據","美術","測試","客服"},INDEX('1.職能辭典'!$K:$K,MATCH(F87,'1.職能辭典'!$C:$C,0)))))&gt;0)),INDEX('2.職務職能需求'!$B$2:$F$28,MATCH(F87,'2.職務職能需求'!$A$2:$A$28,0),MATCH(D87,'2.職務職能需求'!$B$1:$F$1,0)),0),""))</f>
        <v/>
      </c>
      <c r="H87" s="94" t="n"/>
      <c r="I87" s="94" t="n"/>
      <c r="J87" s="120">
        <f>IF(OR(G87="",I87="",G87=0),"",I87-G87)</f>
        <v/>
      </c>
      <c r="K87" s="120">
        <f>IF(G87="","",IF(G87=0,"不適用",IF(I87="","待評核",IF(I87&gt;=G87,IF(I87&gt;G87,"超越","達標"),"待發展"))))</f>
        <v/>
      </c>
      <c r="L87" s="91" t="n"/>
      <c r="M87" s="91" t="n"/>
      <c r="N87" s="88" t="n"/>
    </row>
    <row r="88" ht="15.75" customHeight="1" s="64">
      <c r="A88" s="88" t="n"/>
      <c r="B88" s="120">
        <f t="array" ref="B88:B88">IF(A88="","",IFERROR(INDEX('3.員工名單'!$B:$B,MATCH(A88,'3.員工名單'!$A:$A,0)),"查無此員工"))</f>
        <v/>
      </c>
      <c r="C88" s="120">
        <f t="array" ref="C88:C88">IF(A88="","",IFERROR(INDEX('3.員工名單'!$C:$C,MATCH(A88,'3.員工名單'!$A:$A,0)),""))</f>
        <v/>
      </c>
      <c r="D88" s="120">
        <f t="array" ref="D88:D88">IF(A88="","",IFERROR(INDEX('3.員工名單'!$D:$D,MATCH(A88,'3.員工名單'!$A:$A,0)),""))</f>
        <v/>
      </c>
      <c r="E88" s="120">
        <f t="array" ref="E88:E88">IF(F88="","",IFERROR(INDEX('1.職能辭典'!$A:$A,MATCH(F88,'1.職能辭典'!$C:$C,0)),""))</f>
        <v/>
      </c>
      <c r="F88" s="94" t="n"/>
      <c r="G88" s="120">
        <f t="array" ref="G88:G88">IF(OR(D88="",F88=""),"",IFERROR(IF(AND(OR(INDEX('1.職能辭典'!$J:$J,MATCH(F88,'1.職能辭典'!$C:$C,0))="全部",INDEX('3.員工名單'!$H:$H,MATCH(A88,'3.員工名單'!$A:$A,0))="兩款共用",INDEX('3.員工名單'!$H:$H,MATCH(A88,'3.員工名單'!$A:$A,0))=INDEX('1.職能辭典'!$J:$J,MATCH(F88,'1.職能辭典'!$C:$C,0))),OR(INDEX('1.職能辭典'!$K:$K,MATCH(F88,'1.職能辭典'!$C:$C,0))="全部",SUMPRODUCT(ISNUMBER(SEARCH({"經營","管理","財務","企劃","營運","技術","數據","美術","測試","客服"},INDEX('3.員工名單'!$I:$I,MATCH(A88,'3.員工名單'!$A:$A,0))))*ISNUMBER(SEARCH({"經營","管理","財務","企劃","營運","技術","數據","美術","測試","客服"},INDEX('1.職能辭典'!$K:$K,MATCH(F88,'1.職能辭典'!$C:$C,0)))))&gt;0)),INDEX('2.職務職能需求'!$B$2:$F$28,MATCH(F88,'2.職務職能需求'!$A$2:$A$28,0),MATCH(D88,'2.職務職能需求'!$B$1:$F$1,0)),0),""))</f>
        <v/>
      </c>
      <c r="H88" s="94" t="n"/>
      <c r="I88" s="94" t="n"/>
      <c r="J88" s="120">
        <f>IF(OR(G88="",I88="",G88=0),"",I88-G88)</f>
        <v/>
      </c>
      <c r="K88" s="120">
        <f>IF(G88="","",IF(G88=0,"不適用",IF(I88="","待評核",IF(I88&gt;=G88,IF(I88&gt;G88,"超越","達標"),"待發展"))))</f>
        <v/>
      </c>
      <c r="L88" s="91" t="n"/>
      <c r="M88" s="91" t="n"/>
      <c r="N88" s="88" t="n"/>
    </row>
    <row r="89" ht="15.75" customHeight="1" s="64">
      <c r="A89" s="88" t="n"/>
      <c r="B89" s="120">
        <f t="array" ref="B89:B89">IF(A89="","",IFERROR(INDEX('3.員工名單'!$B:$B,MATCH(A89,'3.員工名單'!$A:$A,0)),"查無此員工"))</f>
        <v/>
      </c>
      <c r="C89" s="120">
        <f t="array" ref="C89:C89">IF(A89="","",IFERROR(INDEX('3.員工名單'!$C:$C,MATCH(A89,'3.員工名單'!$A:$A,0)),""))</f>
        <v/>
      </c>
      <c r="D89" s="120">
        <f t="array" ref="D89:D89">IF(A89="","",IFERROR(INDEX('3.員工名單'!$D:$D,MATCH(A89,'3.員工名單'!$A:$A,0)),""))</f>
        <v/>
      </c>
      <c r="E89" s="120">
        <f t="array" ref="E89:E89">IF(F89="","",IFERROR(INDEX('1.職能辭典'!$A:$A,MATCH(F89,'1.職能辭典'!$C:$C,0)),""))</f>
        <v/>
      </c>
      <c r="F89" s="94" t="n"/>
      <c r="G89" s="120">
        <f t="array" ref="G89:G89">IF(OR(D89="",F89=""),"",IFERROR(IF(AND(OR(INDEX('1.職能辭典'!$J:$J,MATCH(F89,'1.職能辭典'!$C:$C,0))="全部",INDEX('3.員工名單'!$H:$H,MATCH(A89,'3.員工名單'!$A:$A,0))="兩款共用",INDEX('3.員工名單'!$H:$H,MATCH(A89,'3.員工名單'!$A:$A,0))=INDEX('1.職能辭典'!$J:$J,MATCH(F89,'1.職能辭典'!$C:$C,0))),OR(INDEX('1.職能辭典'!$K:$K,MATCH(F89,'1.職能辭典'!$C:$C,0))="全部",SUMPRODUCT(ISNUMBER(SEARCH({"經營","管理","財務","企劃","營運","技術","數據","美術","測試","客服"},INDEX('3.員工名單'!$I:$I,MATCH(A89,'3.員工名單'!$A:$A,0))))*ISNUMBER(SEARCH({"經營","管理","財務","企劃","營運","技術","數據","美術","測試","客服"},INDEX('1.職能辭典'!$K:$K,MATCH(F89,'1.職能辭典'!$C:$C,0)))))&gt;0)),INDEX('2.職務職能需求'!$B$2:$F$28,MATCH(F89,'2.職務職能需求'!$A$2:$A$28,0),MATCH(D89,'2.職務職能需求'!$B$1:$F$1,0)),0),""))</f>
        <v/>
      </c>
      <c r="H89" s="94" t="n"/>
      <c r="I89" s="94" t="n"/>
      <c r="J89" s="120">
        <f>IF(OR(G89="",I89="",G89=0),"",I89-G89)</f>
        <v/>
      </c>
      <c r="K89" s="120">
        <f>IF(G89="","",IF(G89=0,"不適用",IF(I89="","待評核",IF(I89&gt;=G89,IF(I89&gt;G89,"超越","達標"),"待發展"))))</f>
        <v/>
      </c>
      <c r="L89" s="91" t="n"/>
      <c r="M89" s="91" t="n"/>
      <c r="N89" s="88" t="n"/>
    </row>
    <row r="90" ht="15.75" customHeight="1" s="64">
      <c r="A90" s="88" t="n"/>
      <c r="B90" s="120">
        <f t="array" ref="B90:B90">IF(A90="","",IFERROR(INDEX('3.員工名單'!$B:$B,MATCH(A90,'3.員工名單'!$A:$A,0)),"查無此員工"))</f>
        <v/>
      </c>
      <c r="C90" s="120">
        <f t="array" ref="C90:C90">IF(A90="","",IFERROR(INDEX('3.員工名單'!$C:$C,MATCH(A90,'3.員工名單'!$A:$A,0)),""))</f>
        <v/>
      </c>
      <c r="D90" s="120">
        <f t="array" ref="D90:D90">IF(A90="","",IFERROR(INDEX('3.員工名單'!$D:$D,MATCH(A90,'3.員工名單'!$A:$A,0)),""))</f>
        <v/>
      </c>
      <c r="E90" s="120">
        <f t="array" ref="E90:E90">IF(F90="","",IFERROR(INDEX('1.職能辭典'!$A:$A,MATCH(F90,'1.職能辭典'!$C:$C,0)),""))</f>
        <v/>
      </c>
      <c r="F90" s="94" t="n"/>
      <c r="G90" s="120">
        <f t="array" ref="G90:G90">IF(OR(D90="",F90=""),"",IFERROR(IF(AND(OR(INDEX('1.職能辭典'!$J:$J,MATCH(F90,'1.職能辭典'!$C:$C,0))="全部",INDEX('3.員工名單'!$H:$H,MATCH(A90,'3.員工名單'!$A:$A,0))="兩款共用",INDEX('3.員工名單'!$H:$H,MATCH(A90,'3.員工名單'!$A:$A,0))=INDEX('1.職能辭典'!$J:$J,MATCH(F90,'1.職能辭典'!$C:$C,0))),OR(INDEX('1.職能辭典'!$K:$K,MATCH(F90,'1.職能辭典'!$C:$C,0))="全部",SUMPRODUCT(ISNUMBER(SEARCH({"經營","管理","財務","企劃","營運","技術","數據","美術","測試","客服"},INDEX('3.員工名單'!$I:$I,MATCH(A90,'3.員工名單'!$A:$A,0))))*ISNUMBER(SEARCH({"經營","管理","財務","企劃","營運","技術","數據","美術","測試","客服"},INDEX('1.職能辭典'!$K:$K,MATCH(F90,'1.職能辭典'!$C:$C,0)))))&gt;0)),INDEX('2.職務職能需求'!$B$2:$F$28,MATCH(F90,'2.職務職能需求'!$A$2:$A$28,0),MATCH(D90,'2.職務職能需求'!$B$1:$F$1,0)),0),""))</f>
        <v/>
      </c>
      <c r="H90" s="94" t="n"/>
      <c r="I90" s="94" t="n"/>
      <c r="J90" s="120">
        <f>IF(OR(G90="",I90="",G90=0),"",I90-G90)</f>
        <v/>
      </c>
      <c r="K90" s="120">
        <f>IF(G90="","",IF(G90=0,"不適用",IF(I90="","待評核",IF(I90&gt;=G90,IF(I90&gt;G90,"超越","達標"),"待發展"))))</f>
        <v/>
      </c>
      <c r="L90" s="91" t="n"/>
      <c r="M90" s="91" t="n"/>
      <c r="N90" s="88" t="n"/>
    </row>
    <row r="91" ht="15.75" customHeight="1" s="64">
      <c r="A91" s="88" t="n"/>
      <c r="B91" s="120">
        <f t="array" ref="B91:B91">IF(A91="","",IFERROR(INDEX('3.員工名單'!$B:$B,MATCH(A91,'3.員工名單'!$A:$A,0)),"查無此員工"))</f>
        <v/>
      </c>
      <c r="C91" s="120">
        <f t="array" ref="C91:C91">IF(A91="","",IFERROR(INDEX('3.員工名單'!$C:$C,MATCH(A91,'3.員工名單'!$A:$A,0)),""))</f>
        <v/>
      </c>
      <c r="D91" s="120">
        <f t="array" ref="D91:D91">IF(A91="","",IFERROR(INDEX('3.員工名單'!$D:$D,MATCH(A91,'3.員工名單'!$A:$A,0)),""))</f>
        <v/>
      </c>
      <c r="E91" s="120">
        <f t="array" ref="E91:E91">IF(F91="","",IFERROR(INDEX('1.職能辭典'!$A:$A,MATCH(F91,'1.職能辭典'!$C:$C,0)),""))</f>
        <v/>
      </c>
      <c r="F91" s="94" t="n"/>
      <c r="G91" s="120">
        <f t="array" ref="G91:G91">IF(OR(D91="",F91=""),"",IFERROR(IF(AND(OR(INDEX('1.職能辭典'!$J:$J,MATCH(F91,'1.職能辭典'!$C:$C,0))="全部",INDEX('3.員工名單'!$H:$H,MATCH(A91,'3.員工名單'!$A:$A,0))="兩款共用",INDEX('3.員工名單'!$H:$H,MATCH(A91,'3.員工名單'!$A:$A,0))=INDEX('1.職能辭典'!$J:$J,MATCH(F91,'1.職能辭典'!$C:$C,0))),OR(INDEX('1.職能辭典'!$K:$K,MATCH(F91,'1.職能辭典'!$C:$C,0))="全部",SUMPRODUCT(ISNUMBER(SEARCH({"經營","管理","財務","企劃","營運","技術","數據","美術","測試","客服"},INDEX('3.員工名單'!$I:$I,MATCH(A91,'3.員工名單'!$A:$A,0))))*ISNUMBER(SEARCH({"經營","管理","財務","企劃","營運","技術","數據","美術","測試","客服"},INDEX('1.職能辭典'!$K:$K,MATCH(F91,'1.職能辭典'!$C:$C,0)))))&gt;0)),INDEX('2.職務職能需求'!$B$2:$F$28,MATCH(F91,'2.職務職能需求'!$A$2:$A$28,0),MATCH(D91,'2.職務職能需求'!$B$1:$F$1,0)),0),""))</f>
        <v/>
      </c>
      <c r="H91" s="94" t="n"/>
      <c r="I91" s="94" t="n"/>
      <c r="J91" s="120">
        <f>IF(OR(G91="",I91="",G91=0),"",I91-G91)</f>
        <v/>
      </c>
      <c r="K91" s="120">
        <f>IF(G91="","",IF(G91=0,"不適用",IF(I91="","待評核",IF(I91&gt;=G91,IF(I91&gt;G91,"超越","達標"),"待發展"))))</f>
        <v/>
      </c>
      <c r="L91" s="91" t="n"/>
      <c r="M91" s="91" t="n"/>
      <c r="N91" s="88" t="n"/>
    </row>
    <row r="92" ht="15.75" customHeight="1" s="64">
      <c r="A92" s="88" t="n"/>
      <c r="B92" s="120">
        <f t="array" ref="B92:B92">IF(A92="","",IFERROR(INDEX('3.員工名單'!$B:$B,MATCH(A92,'3.員工名單'!$A:$A,0)),"查無此員工"))</f>
        <v/>
      </c>
      <c r="C92" s="120">
        <f t="array" ref="C92:C92">IF(A92="","",IFERROR(INDEX('3.員工名單'!$C:$C,MATCH(A92,'3.員工名單'!$A:$A,0)),""))</f>
        <v/>
      </c>
      <c r="D92" s="120">
        <f t="array" ref="D92:D92">IF(A92="","",IFERROR(INDEX('3.員工名單'!$D:$D,MATCH(A92,'3.員工名單'!$A:$A,0)),""))</f>
        <v/>
      </c>
      <c r="E92" s="120">
        <f t="array" ref="E92:E92">IF(F92="","",IFERROR(INDEX('1.職能辭典'!$A:$A,MATCH(F92,'1.職能辭典'!$C:$C,0)),""))</f>
        <v/>
      </c>
      <c r="F92" s="94" t="n"/>
      <c r="G92" s="120">
        <f t="array" ref="G92:G92">IF(OR(D92="",F92=""),"",IFERROR(IF(AND(OR(INDEX('1.職能辭典'!$J:$J,MATCH(F92,'1.職能辭典'!$C:$C,0))="全部",INDEX('3.員工名單'!$H:$H,MATCH(A92,'3.員工名單'!$A:$A,0))="兩款共用",INDEX('3.員工名單'!$H:$H,MATCH(A92,'3.員工名單'!$A:$A,0))=INDEX('1.職能辭典'!$J:$J,MATCH(F92,'1.職能辭典'!$C:$C,0))),OR(INDEX('1.職能辭典'!$K:$K,MATCH(F92,'1.職能辭典'!$C:$C,0))="全部",SUMPRODUCT(ISNUMBER(SEARCH({"經營","管理","財務","企劃","營運","技術","數據","美術","測試","客服"},INDEX('3.員工名單'!$I:$I,MATCH(A92,'3.員工名單'!$A:$A,0))))*ISNUMBER(SEARCH({"經營","管理","財務","企劃","營運","技術","數據","美術","測試","客服"},INDEX('1.職能辭典'!$K:$K,MATCH(F92,'1.職能辭典'!$C:$C,0)))))&gt;0)),INDEX('2.職務職能需求'!$B$2:$F$28,MATCH(F92,'2.職務職能需求'!$A$2:$A$28,0),MATCH(D92,'2.職務職能需求'!$B$1:$F$1,0)),0),""))</f>
        <v/>
      </c>
      <c r="H92" s="94" t="n"/>
      <c r="I92" s="94" t="n"/>
      <c r="J92" s="120">
        <f>IF(OR(G92="",I92="",G92=0),"",I92-G92)</f>
        <v/>
      </c>
      <c r="K92" s="120">
        <f>IF(G92="","",IF(G92=0,"不適用",IF(I92="","待評核",IF(I92&gt;=G92,IF(I92&gt;G92,"超越","達標"),"待發展"))))</f>
        <v/>
      </c>
      <c r="L92" s="91" t="n"/>
      <c r="M92" s="91" t="n"/>
      <c r="N92" s="88" t="n"/>
    </row>
    <row r="93" ht="15.75" customHeight="1" s="64">
      <c r="A93" s="88" t="n"/>
      <c r="B93" s="120">
        <f t="array" ref="B93:B93">IF(A93="","",IFERROR(INDEX('3.員工名單'!$B:$B,MATCH(A93,'3.員工名單'!$A:$A,0)),"查無此員工"))</f>
        <v/>
      </c>
      <c r="C93" s="120">
        <f t="array" ref="C93:C93">IF(A93="","",IFERROR(INDEX('3.員工名單'!$C:$C,MATCH(A93,'3.員工名單'!$A:$A,0)),""))</f>
        <v/>
      </c>
      <c r="D93" s="120">
        <f t="array" ref="D93:D93">IF(A93="","",IFERROR(INDEX('3.員工名單'!$D:$D,MATCH(A93,'3.員工名單'!$A:$A,0)),""))</f>
        <v/>
      </c>
      <c r="E93" s="120">
        <f t="array" ref="E93:E93">IF(F93="","",IFERROR(INDEX('1.職能辭典'!$A:$A,MATCH(F93,'1.職能辭典'!$C:$C,0)),""))</f>
        <v/>
      </c>
      <c r="F93" s="94" t="n"/>
      <c r="G93" s="120">
        <f t="array" ref="G93:G93">IF(OR(D93="",F93=""),"",IFERROR(IF(AND(OR(INDEX('1.職能辭典'!$J:$J,MATCH(F93,'1.職能辭典'!$C:$C,0))="全部",INDEX('3.員工名單'!$H:$H,MATCH(A93,'3.員工名單'!$A:$A,0))="兩款共用",INDEX('3.員工名單'!$H:$H,MATCH(A93,'3.員工名單'!$A:$A,0))=INDEX('1.職能辭典'!$J:$J,MATCH(F93,'1.職能辭典'!$C:$C,0))),OR(INDEX('1.職能辭典'!$K:$K,MATCH(F93,'1.職能辭典'!$C:$C,0))="全部",SUMPRODUCT(ISNUMBER(SEARCH({"經營","管理","財務","企劃","營運","技術","數據","美術","測試","客服"},INDEX('3.員工名單'!$I:$I,MATCH(A93,'3.員工名單'!$A:$A,0))))*ISNUMBER(SEARCH({"經營","管理","財務","企劃","營運","技術","數據","美術","測試","客服"},INDEX('1.職能辭典'!$K:$K,MATCH(F93,'1.職能辭典'!$C:$C,0)))))&gt;0)),INDEX('2.職務職能需求'!$B$2:$F$28,MATCH(F93,'2.職務職能需求'!$A$2:$A$28,0),MATCH(D93,'2.職務職能需求'!$B$1:$F$1,0)),0),""))</f>
        <v/>
      </c>
      <c r="H93" s="94" t="n"/>
      <c r="I93" s="94" t="n"/>
      <c r="J93" s="120">
        <f>IF(OR(G93="",I93="",G93=0),"",I93-G93)</f>
        <v/>
      </c>
      <c r="K93" s="120">
        <f>IF(G93="","",IF(G93=0,"不適用",IF(I93="","待評核",IF(I93&gt;=G93,IF(I93&gt;G93,"超越","達標"),"待發展"))))</f>
        <v/>
      </c>
      <c r="L93" s="91" t="n"/>
      <c r="M93" s="91" t="n"/>
      <c r="N93" s="88" t="n"/>
    </row>
    <row r="94" ht="15.75" customHeight="1" s="64">
      <c r="A94" s="88" t="n"/>
      <c r="B94" s="120">
        <f t="array" ref="B94:B94">IF(A94="","",IFERROR(INDEX('3.員工名單'!$B:$B,MATCH(A94,'3.員工名單'!$A:$A,0)),"查無此員工"))</f>
        <v/>
      </c>
      <c r="C94" s="120">
        <f t="array" ref="C94:C94">IF(A94="","",IFERROR(INDEX('3.員工名單'!$C:$C,MATCH(A94,'3.員工名單'!$A:$A,0)),""))</f>
        <v/>
      </c>
      <c r="D94" s="120">
        <f t="array" ref="D94:D94">IF(A94="","",IFERROR(INDEX('3.員工名單'!$D:$D,MATCH(A94,'3.員工名單'!$A:$A,0)),""))</f>
        <v/>
      </c>
      <c r="E94" s="120">
        <f t="array" ref="E94:E94">IF(F94="","",IFERROR(INDEX('1.職能辭典'!$A:$A,MATCH(F94,'1.職能辭典'!$C:$C,0)),""))</f>
        <v/>
      </c>
      <c r="F94" s="94" t="n"/>
      <c r="G94" s="120">
        <f t="array" ref="G94:G94">IF(OR(D94="",F94=""),"",IFERROR(IF(AND(OR(INDEX('1.職能辭典'!$J:$J,MATCH(F94,'1.職能辭典'!$C:$C,0))="全部",INDEX('3.員工名單'!$H:$H,MATCH(A94,'3.員工名單'!$A:$A,0))="兩款共用",INDEX('3.員工名單'!$H:$H,MATCH(A94,'3.員工名單'!$A:$A,0))=INDEX('1.職能辭典'!$J:$J,MATCH(F94,'1.職能辭典'!$C:$C,0))),OR(INDEX('1.職能辭典'!$K:$K,MATCH(F94,'1.職能辭典'!$C:$C,0))="全部",SUMPRODUCT(ISNUMBER(SEARCH({"經營","管理","財務","企劃","營運","技術","數據","美術","測試","客服"},INDEX('3.員工名單'!$I:$I,MATCH(A94,'3.員工名單'!$A:$A,0))))*ISNUMBER(SEARCH({"經營","管理","財務","企劃","營運","技術","數據","美術","測試","客服"},INDEX('1.職能辭典'!$K:$K,MATCH(F94,'1.職能辭典'!$C:$C,0)))))&gt;0)),INDEX('2.職務職能需求'!$B$2:$F$28,MATCH(F94,'2.職務職能需求'!$A$2:$A$28,0),MATCH(D94,'2.職務職能需求'!$B$1:$F$1,0)),0),""))</f>
        <v/>
      </c>
      <c r="H94" s="94" t="n"/>
      <c r="I94" s="94" t="n"/>
      <c r="J94" s="120">
        <f>IF(OR(G94="",I94="",G94=0),"",I94-G94)</f>
        <v/>
      </c>
      <c r="K94" s="120">
        <f>IF(G94="","",IF(G94=0,"不適用",IF(I94="","待評核",IF(I94&gt;=G94,IF(I94&gt;G94,"超越","達標"),"待發展"))))</f>
        <v/>
      </c>
      <c r="L94" s="91" t="n"/>
      <c r="M94" s="91" t="n"/>
      <c r="N94" s="88" t="n"/>
    </row>
    <row r="95" ht="15.75" customHeight="1" s="64">
      <c r="A95" s="88" t="n"/>
      <c r="B95" s="120">
        <f t="array" ref="B95:B95">IF(A95="","",IFERROR(INDEX('3.員工名單'!$B:$B,MATCH(A95,'3.員工名單'!$A:$A,0)),"查無此員工"))</f>
        <v/>
      </c>
      <c r="C95" s="120">
        <f t="array" ref="C95:C95">IF(A95="","",IFERROR(INDEX('3.員工名單'!$C:$C,MATCH(A95,'3.員工名單'!$A:$A,0)),""))</f>
        <v/>
      </c>
      <c r="D95" s="120">
        <f t="array" ref="D95:D95">IF(A95="","",IFERROR(INDEX('3.員工名單'!$D:$D,MATCH(A95,'3.員工名單'!$A:$A,0)),""))</f>
        <v/>
      </c>
      <c r="E95" s="120">
        <f t="array" ref="E95:E95">IF(F95="","",IFERROR(INDEX('1.職能辭典'!$A:$A,MATCH(F95,'1.職能辭典'!$C:$C,0)),""))</f>
        <v/>
      </c>
      <c r="F95" s="94" t="n"/>
      <c r="G95" s="120">
        <f t="array" ref="G95:G95">IF(OR(D95="",F95=""),"",IFERROR(IF(AND(OR(INDEX('1.職能辭典'!$J:$J,MATCH(F95,'1.職能辭典'!$C:$C,0))="全部",INDEX('3.員工名單'!$H:$H,MATCH(A95,'3.員工名單'!$A:$A,0))="兩款共用",INDEX('3.員工名單'!$H:$H,MATCH(A95,'3.員工名單'!$A:$A,0))=INDEX('1.職能辭典'!$J:$J,MATCH(F95,'1.職能辭典'!$C:$C,0))),OR(INDEX('1.職能辭典'!$K:$K,MATCH(F95,'1.職能辭典'!$C:$C,0))="全部",SUMPRODUCT(ISNUMBER(SEARCH({"經營","管理","財務","企劃","營運","技術","數據","美術","測試","客服"},INDEX('3.員工名單'!$I:$I,MATCH(A95,'3.員工名單'!$A:$A,0))))*ISNUMBER(SEARCH({"經營","管理","財務","企劃","營運","技術","數據","美術","測試","客服"},INDEX('1.職能辭典'!$K:$K,MATCH(F95,'1.職能辭典'!$C:$C,0)))))&gt;0)),INDEX('2.職務職能需求'!$B$2:$F$28,MATCH(F95,'2.職務職能需求'!$A$2:$A$28,0),MATCH(D95,'2.職務職能需求'!$B$1:$F$1,0)),0),""))</f>
        <v/>
      </c>
      <c r="H95" s="94" t="n"/>
      <c r="I95" s="94" t="n"/>
      <c r="J95" s="120">
        <f>IF(OR(G95="",I95="",G95=0),"",I95-G95)</f>
        <v/>
      </c>
      <c r="K95" s="120">
        <f>IF(G95="","",IF(G95=0,"不適用",IF(I95="","待評核",IF(I95&gt;=G95,IF(I95&gt;G95,"超越","達標"),"待發展"))))</f>
        <v/>
      </c>
      <c r="L95" s="91" t="n"/>
      <c r="M95" s="91" t="n"/>
      <c r="N95" s="88" t="n"/>
    </row>
    <row r="96" ht="15.75" customHeight="1" s="64">
      <c r="A96" s="88" t="n"/>
      <c r="B96" s="120">
        <f t="array" ref="B96:B96">IF(A96="","",IFERROR(INDEX('3.員工名單'!$B:$B,MATCH(A96,'3.員工名單'!$A:$A,0)),"查無此員工"))</f>
        <v/>
      </c>
      <c r="C96" s="120">
        <f t="array" ref="C96:C96">IF(A96="","",IFERROR(INDEX('3.員工名單'!$C:$C,MATCH(A96,'3.員工名單'!$A:$A,0)),""))</f>
        <v/>
      </c>
      <c r="D96" s="120">
        <f t="array" ref="D96:D96">IF(A96="","",IFERROR(INDEX('3.員工名單'!$D:$D,MATCH(A96,'3.員工名單'!$A:$A,0)),""))</f>
        <v/>
      </c>
      <c r="E96" s="120">
        <f t="array" ref="E96:E96">IF(F96="","",IFERROR(INDEX('1.職能辭典'!$A:$A,MATCH(F96,'1.職能辭典'!$C:$C,0)),""))</f>
        <v/>
      </c>
      <c r="F96" s="94" t="n"/>
      <c r="G96" s="120">
        <f t="array" ref="G96:G96">IF(OR(D96="",F96=""),"",IFERROR(IF(AND(OR(INDEX('1.職能辭典'!$J:$J,MATCH(F96,'1.職能辭典'!$C:$C,0))="全部",INDEX('3.員工名單'!$H:$H,MATCH(A96,'3.員工名單'!$A:$A,0))="兩款共用",INDEX('3.員工名單'!$H:$H,MATCH(A96,'3.員工名單'!$A:$A,0))=INDEX('1.職能辭典'!$J:$J,MATCH(F96,'1.職能辭典'!$C:$C,0))),OR(INDEX('1.職能辭典'!$K:$K,MATCH(F96,'1.職能辭典'!$C:$C,0))="全部",SUMPRODUCT(ISNUMBER(SEARCH({"經營","管理","財務","企劃","營運","技術","數據","美術","測試","客服"},INDEX('3.員工名單'!$I:$I,MATCH(A96,'3.員工名單'!$A:$A,0))))*ISNUMBER(SEARCH({"經營","管理","財務","企劃","營運","技術","數據","美術","測試","客服"},INDEX('1.職能辭典'!$K:$K,MATCH(F96,'1.職能辭典'!$C:$C,0)))))&gt;0)),INDEX('2.職務職能需求'!$B$2:$F$28,MATCH(F96,'2.職務職能需求'!$A$2:$A$28,0),MATCH(D96,'2.職務職能需求'!$B$1:$F$1,0)),0),""))</f>
        <v/>
      </c>
      <c r="H96" s="94" t="n"/>
      <c r="I96" s="94" t="n"/>
      <c r="J96" s="120">
        <f>IF(OR(G96="",I96="",G96=0),"",I96-G96)</f>
        <v/>
      </c>
      <c r="K96" s="120">
        <f>IF(G96="","",IF(G96=0,"不適用",IF(I96="","待評核",IF(I96&gt;=G96,IF(I96&gt;G96,"超越","達標"),"待發展"))))</f>
        <v/>
      </c>
      <c r="L96" s="91" t="n"/>
      <c r="M96" s="91" t="n"/>
      <c r="N96" s="88" t="n"/>
    </row>
    <row r="97" ht="15.75" customHeight="1" s="64">
      <c r="A97" s="88" t="n"/>
      <c r="B97" s="120">
        <f t="array" ref="B97:B97">IF(A97="","",IFERROR(INDEX('3.員工名單'!$B:$B,MATCH(A97,'3.員工名單'!$A:$A,0)),"查無此員工"))</f>
        <v/>
      </c>
      <c r="C97" s="120">
        <f t="array" ref="C97:C97">IF(A97="","",IFERROR(INDEX('3.員工名單'!$C:$C,MATCH(A97,'3.員工名單'!$A:$A,0)),""))</f>
        <v/>
      </c>
      <c r="D97" s="120">
        <f t="array" ref="D97:D97">IF(A97="","",IFERROR(INDEX('3.員工名單'!$D:$D,MATCH(A97,'3.員工名單'!$A:$A,0)),""))</f>
        <v/>
      </c>
      <c r="E97" s="120">
        <f t="array" ref="E97:E97">IF(F97="","",IFERROR(INDEX('1.職能辭典'!$A:$A,MATCH(F97,'1.職能辭典'!$C:$C,0)),""))</f>
        <v/>
      </c>
      <c r="F97" s="94" t="n"/>
      <c r="G97" s="120">
        <f t="array" ref="G97:G97">IF(OR(D97="",F97=""),"",IFERROR(IF(AND(OR(INDEX('1.職能辭典'!$J:$J,MATCH(F97,'1.職能辭典'!$C:$C,0))="全部",INDEX('3.員工名單'!$H:$H,MATCH(A97,'3.員工名單'!$A:$A,0))="兩款共用",INDEX('3.員工名單'!$H:$H,MATCH(A97,'3.員工名單'!$A:$A,0))=INDEX('1.職能辭典'!$J:$J,MATCH(F97,'1.職能辭典'!$C:$C,0))),OR(INDEX('1.職能辭典'!$K:$K,MATCH(F97,'1.職能辭典'!$C:$C,0))="全部",SUMPRODUCT(ISNUMBER(SEARCH({"經營","管理","財務","企劃","營運","技術","數據","美術","測試","客服"},INDEX('3.員工名單'!$I:$I,MATCH(A97,'3.員工名單'!$A:$A,0))))*ISNUMBER(SEARCH({"經營","管理","財務","企劃","營運","技術","數據","美術","測試","客服"},INDEX('1.職能辭典'!$K:$K,MATCH(F97,'1.職能辭典'!$C:$C,0)))))&gt;0)),INDEX('2.職務職能需求'!$B$2:$F$28,MATCH(F97,'2.職務職能需求'!$A$2:$A$28,0),MATCH(D97,'2.職務職能需求'!$B$1:$F$1,0)),0),""))</f>
        <v/>
      </c>
      <c r="H97" s="94" t="n"/>
      <c r="I97" s="94" t="n"/>
      <c r="J97" s="120">
        <f>IF(OR(G97="",I97="",G97=0),"",I97-G97)</f>
        <v/>
      </c>
      <c r="K97" s="120">
        <f>IF(G97="","",IF(G97=0,"不適用",IF(I97="","待評核",IF(I97&gt;=G97,IF(I97&gt;G97,"超越","達標"),"待發展"))))</f>
        <v/>
      </c>
      <c r="L97" s="91" t="n"/>
      <c r="M97" s="91" t="n"/>
      <c r="N97" s="88" t="n"/>
    </row>
    <row r="98" ht="15.75" customHeight="1" s="64">
      <c r="A98" s="88" t="n"/>
      <c r="B98" s="120">
        <f t="array" ref="B98:B98">IF(A98="","",IFERROR(INDEX('3.員工名單'!$B:$B,MATCH(A98,'3.員工名單'!$A:$A,0)),"查無此員工"))</f>
        <v/>
      </c>
      <c r="C98" s="120">
        <f t="array" ref="C98:C98">IF(A98="","",IFERROR(INDEX('3.員工名單'!$C:$C,MATCH(A98,'3.員工名單'!$A:$A,0)),""))</f>
        <v/>
      </c>
      <c r="D98" s="120">
        <f t="array" ref="D98:D98">IF(A98="","",IFERROR(INDEX('3.員工名單'!$D:$D,MATCH(A98,'3.員工名單'!$A:$A,0)),""))</f>
        <v/>
      </c>
      <c r="E98" s="120">
        <f t="array" ref="E98:E98">IF(F98="","",IFERROR(INDEX('1.職能辭典'!$A:$A,MATCH(F98,'1.職能辭典'!$C:$C,0)),""))</f>
        <v/>
      </c>
      <c r="F98" s="94" t="n"/>
      <c r="G98" s="120">
        <f t="array" ref="G98:G98">IF(OR(D98="",F98=""),"",IFERROR(IF(AND(OR(INDEX('1.職能辭典'!$J:$J,MATCH(F98,'1.職能辭典'!$C:$C,0))="全部",INDEX('3.員工名單'!$H:$H,MATCH(A98,'3.員工名單'!$A:$A,0))="兩款共用",INDEX('3.員工名單'!$H:$H,MATCH(A98,'3.員工名單'!$A:$A,0))=INDEX('1.職能辭典'!$J:$J,MATCH(F98,'1.職能辭典'!$C:$C,0))),OR(INDEX('1.職能辭典'!$K:$K,MATCH(F98,'1.職能辭典'!$C:$C,0))="全部",SUMPRODUCT(ISNUMBER(SEARCH({"經營","管理","財務","企劃","營運","技術","數據","美術","測試","客服"},INDEX('3.員工名單'!$I:$I,MATCH(A98,'3.員工名單'!$A:$A,0))))*ISNUMBER(SEARCH({"經營","管理","財務","企劃","營運","技術","數據","美術","測試","客服"},INDEX('1.職能辭典'!$K:$K,MATCH(F98,'1.職能辭典'!$C:$C,0)))))&gt;0)),INDEX('2.職務職能需求'!$B$2:$F$28,MATCH(F98,'2.職務職能需求'!$A$2:$A$28,0),MATCH(D98,'2.職務職能需求'!$B$1:$F$1,0)),0),""))</f>
        <v/>
      </c>
      <c r="H98" s="94" t="n"/>
      <c r="I98" s="94" t="n"/>
      <c r="J98" s="120">
        <f>IF(OR(G98="",I98="",G98=0),"",I98-G98)</f>
        <v/>
      </c>
      <c r="K98" s="120">
        <f>IF(G98="","",IF(G98=0,"不適用",IF(I98="","待評核",IF(I98&gt;=G98,IF(I98&gt;G98,"超越","達標"),"待發展"))))</f>
        <v/>
      </c>
      <c r="L98" s="91" t="n"/>
      <c r="M98" s="91" t="n"/>
      <c r="N98" s="88" t="n"/>
    </row>
    <row r="99" ht="15.75" customHeight="1" s="64">
      <c r="A99" s="88" t="n"/>
      <c r="B99" s="120">
        <f t="array" ref="B99:B99">IF(A99="","",IFERROR(INDEX('3.員工名單'!$B:$B,MATCH(A99,'3.員工名單'!$A:$A,0)),"查無此員工"))</f>
        <v/>
      </c>
      <c r="C99" s="120">
        <f t="array" ref="C99:C99">IF(A99="","",IFERROR(INDEX('3.員工名單'!$C:$C,MATCH(A99,'3.員工名單'!$A:$A,0)),""))</f>
        <v/>
      </c>
      <c r="D99" s="120">
        <f t="array" ref="D99:D99">IF(A99="","",IFERROR(INDEX('3.員工名單'!$D:$D,MATCH(A99,'3.員工名單'!$A:$A,0)),""))</f>
        <v/>
      </c>
      <c r="E99" s="120">
        <f t="array" ref="E99:E99">IF(F99="","",IFERROR(INDEX('1.職能辭典'!$A:$A,MATCH(F99,'1.職能辭典'!$C:$C,0)),""))</f>
        <v/>
      </c>
      <c r="F99" s="94" t="n"/>
      <c r="G99" s="120">
        <f t="array" ref="G99:G99">IF(OR(D99="",F99=""),"",IFERROR(IF(AND(OR(INDEX('1.職能辭典'!$J:$J,MATCH(F99,'1.職能辭典'!$C:$C,0))="全部",INDEX('3.員工名單'!$H:$H,MATCH(A99,'3.員工名單'!$A:$A,0))="兩款共用",INDEX('3.員工名單'!$H:$H,MATCH(A99,'3.員工名單'!$A:$A,0))=INDEX('1.職能辭典'!$J:$J,MATCH(F99,'1.職能辭典'!$C:$C,0))),OR(INDEX('1.職能辭典'!$K:$K,MATCH(F99,'1.職能辭典'!$C:$C,0))="全部",SUMPRODUCT(ISNUMBER(SEARCH({"經營","管理","財務","企劃","營運","技術","數據","美術","測試","客服"},INDEX('3.員工名單'!$I:$I,MATCH(A99,'3.員工名單'!$A:$A,0))))*ISNUMBER(SEARCH({"經營","管理","財務","企劃","營運","技術","數據","美術","測試","客服"},INDEX('1.職能辭典'!$K:$K,MATCH(F99,'1.職能辭典'!$C:$C,0)))))&gt;0)),INDEX('2.職務職能需求'!$B$2:$F$28,MATCH(F99,'2.職務職能需求'!$A$2:$A$28,0),MATCH(D99,'2.職務職能需求'!$B$1:$F$1,0)),0),""))</f>
        <v/>
      </c>
      <c r="H99" s="94" t="n"/>
      <c r="I99" s="94" t="n"/>
      <c r="J99" s="120">
        <f>IF(OR(G99="",I99="",G99=0),"",I99-G99)</f>
        <v/>
      </c>
      <c r="K99" s="120">
        <f>IF(G99="","",IF(G99=0,"不適用",IF(I99="","待評核",IF(I99&gt;=G99,IF(I99&gt;G99,"超越","達標"),"待發展"))))</f>
        <v/>
      </c>
      <c r="L99" s="91" t="n"/>
      <c r="M99" s="91" t="n"/>
      <c r="N99" s="88" t="n"/>
    </row>
    <row r="100" ht="15.75" customHeight="1" s="64">
      <c r="A100" s="88" t="n"/>
      <c r="B100" s="120">
        <f t="array" ref="B100:B100">IF(A100="","",IFERROR(INDEX('3.員工名單'!$B:$B,MATCH(A100,'3.員工名單'!$A:$A,0)),"查無此員工"))</f>
        <v/>
      </c>
      <c r="C100" s="120">
        <f t="array" ref="C100:C100">IF(A100="","",IFERROR(INDEX('3.員工名單'!$C:$C,MATCH(A100,'3.員工名單'!$A:$A,0)),""))</f>
        <v/>
      </c>
      <c r="D100" s="120">
        <f t="array" ref="D100:D100">IF(A100="","",IFERROR(INDEX('3.員工名單'!$D:$D,MATCH(A100,'3.員工名單'!$A:$A,0)),""))</f>
        <v/>
      </c>
      <c r="E100" s="120">
        <f t="array" ref="E100:E100">IF(F100="","",IFERROR(INDEX('1.職能辭典'!$A:$A,MATCH(F100,'1.職能辭典'!$C:$C,0)),""))</f>
        <v/>
      </c>
      <c r="F100" s="94" t="n"/>
      <c r="G100" s="120">
        <f t="array" ref="G100:G100">IF(OR(D100="",F100=""),"",IFERROR(IF(AND(OR(INDEX('1.職能辭典'!$J:$J,MATCH(F100,'1.職能辭典'!$C:$C,0))="全部",INDEX('3.員工名單'!$H:$H,MATCH(A100,'3.員工名單'!$A:$A,0))="兩款共用",INDEX('3.員工名單'!$H:$H,MATCH(A100,'3.員工名單'!$A:$A,0))=INDEX('1.職能辭典'!$J:$J,MATCH(F100,'1.職能辭典'!$C:$C,0))),OR(INDEX('1.職能辭典'!$K:$K,MATCH(F100,'1.職能辭典'!$C:$C,0))="全部",SUMPRODUCT(ISNUMBER(SEARCH({"經營","管理","財務","企劃","營運","技術","數據","美術","測試","客服"},INDEX('3.員工名單'!$I:$I,MATCH(A100,'3.員工名單'!$A:$A,0))))*ISNUMBER(SEARCH({"經營","管理","財務","企劃","營運","技術","數據","美術","測試","客服"},INDEX('1.職能辭典'!$K:$K,MATCH(F100,'1.職能辭典'!$C:$C,0)))))&gt;0)),INDEX('2.職務職能需求'!$B$2:$F$28,MATCH(F100,'2.職務職能需求'!$A$2:$A$28,0),MATCH(D100,'2.職務職能需求'!$B$1:$F$1,0)),0),""))</f>
        <v/>
      </c>
      <c r="H100" s="94" t="n"/>
      <c r="I100" s="94" t="n"/>
      <c r="J100" s="120">
        <f>IF(OR(G100="",I100="",G100=0),"",I100-G100)</f>
        <v/>
      </c>
      <c r="K100" s="120">
        <f>IF(G100="","",IF(G100=0,"不適用",IF(I100="","待評核",IF(I100&gt;=G100,IF(I100&gt;G100,"超越","達標"),"待發展"))))</f>
        <v/>
      </c>
      <c r="L100" s="91" t="n"/>
      <c r="M100" s="91" t="n"/>
      <c r="N100" s="88" t="n"/>
    </row>
    <row r="101" ht="15.75" customHeight="1" s="64">
      <c r="A101" s="88" t="n"/>
      <c r="B101" s="120">
        <f t="array" ref="B101:B101">IF(A101="","",IFERROR(INDEX('3.員工名單'!$B:$B,MATCH(A101,'3.員工名單'!$A:$A,0)),"查無此員工"))</f>
        <v/>
      </c>
      <c r="C101" s="120">
        <f t="array" ref="C101:C101">IF(A101="","",IFERROR(INDEX('3.員工名單'!$C:$C,MATCH(A101,'3.員工名單'!$A:$A,0)),""))</f>
        <v/>
      </c>
      <c r="D101" s="120">
        <f t="array" ref="D101:D101">IF(A101="","",IFERROR(INDEX('3.員工名單'!$D:$D,MATCH(A101,'3.員工名單'!$A:$A,0)),""))</f>
        <v/>
      </c>
      <c r="E101" s="120">
        <f t="array" ref="E101:E101">IF(F101="","",IFERROR(INDEX('1.職能辭典'!$A:$A,MATCH(F101,'1.職能辭典'!$C:$C,0)),""))</f>
        <v/>
      </c>
      <c r="F101" s="94" t="n"/>
      <c r="G101" s="120">
        <f t="array" ref="G101:G101">IF(OR(D101="",F101=""),"",IFERROR(IF(AND(OR(INDEX('1.職能辭典'!$J:$J,MATCH(F101,'1.職能辭典'!$C:$C,0))="全部",INDEX('3.員工名單'!$H:$H,MATCH(A101,'3.員工名單'!$A:$A,0))="兩款共用",INDEX('3.員工名單'!$H:$H,MATCH(A101,'3.員工名單'!$A:$A,0))=INDEX('1.職能辭典'!$J:$J,MATCH(F101,'1.職能辭典'!$C:$C,0))),OR(INDEX('1.職能辭典'!$K:$K,MATCH(F101,'1.職能辭典'!$C:$C,0))="全部",SUMPRODUCT(ISNUMBER(SEARCH({"經營","管理","財務","企劃","營運","技術","數據","美術","測試","客服"},INDEX('3.員工名單'!$I:$I,MATCH(A101,'3.員工名單'!$A:$A,0))))*ISNUMBER(SEARCH({"經營","管理","財務","企劃","營運","技術","數據","美術","測試","客服"},INDEX('1.職能辭典'!$K:$K,MATCH(F101,'1.職能辭典'!$C:$C,0)))))&gt;0)),INDEX('2.職務職能需求'!$B$2:$F$28,MATCH(F101,'2.職務職能需求'!$A$2:$A$28,0),MATCH(D101,'2.職務職能需求'!$B$1:$F$1,0)),0),""))</f>
        <v/>
      </c>
      <c r="H101" s="94" t="n"/>
      <c r="I101" s="94" t="n"/>
      <c r="J101" s="120">
        <f>IF(OR(G101="",I101="",G101=0),"",I101-G101)</f>
        <v/>
      </c>
      <c r="K101" s="120">
        <f>IF(G101="","",IF(G101=0,"不適用",IF(I101="","待評核",IF(I101&gt;=G101,IF(I101&gt;G101,"超越","達標"),"待發展"))))</f>
        <v/>
      </c>
      <c r="L101" s="91" t="n"/>
      <c r="M101" s="91" t="n"/>
      <c r="N101" s="88" t="n"/>
    </row>
    <row r="102" ht="15.75" customHeight="1" s="64">
      <c r="A102" s="88" t="n"/>
      <c r="B102" s="120">
        <f t="array" ref="B102:B102">IF(A102="","",IFERROR(INDEX('3.員工名單'!$B:$B,MATCH(A102,'3.員工名單'!$A:$A,0)),"查無此員工"))</f>
        <v/>
      </c>
      <c r="C102" s="120">
        <f t="array" ref="C102:C102">IF(A102="","",IFERROR(INDEX('3.員工名單'!$C:$C,MATCH(A102,'3.員工名單'!$A:$A,0)),""))</f>
        <v/>
      </c>
      <c r="D102" s="120">
        <f t="array" ref="D102:D102">IF(A102="","",IFERROR(INDEX('3.員工名單'!$D:$D,MATCH(A102,'3.員工名單'!$A:$A,0)),""))</f>
        <v/>
      </c>
      <c r="E102" s="120">
        <f t="array" ref="E102:E102">IF(F102="","",IFERROR(INDEX('1.職能辭典'!$A:$A,MATCH(F102,'1.職能辭典'!$C:$C,0)),""))</f>
        <v/>
      </c>
      <c r="F102" s="94" t="n"/>
      <c r="G102" s="120">
        <f t="array" ref="G102:G102">IF(OR(D102="",F102=""),"",IFERROR(IF(AND(OR(INDEX('1.職能辭典'!$J:$J,MATCH(F102,'1.職能辭典'!$C:$C,0))="全部",INDEX('3.員工名單'!$H:$H,MATCH(A102,'3.員工名單'!$A:$A,0))="兩款共用",INDEX('3.員工名單'!$H:$H,MATCH(A102,'3.員工名單'!$A:$A,0))=INDEX('1.職能辭典'!$J:$J,MATCH(F102,'1.職能辭典'!$C:$C,0))),OR(INDEX('1.職能辭典'!$K:$K,MATCH(F102,'1.職能辭典'!$C:$C,0))="全部",SUMPRODUCT(ISNUMBER(SEARCH({"經營","管理","財務","企劃","營運","技術","數據","美術","測試","客服"},INDEX('3.員工名單'!$I:$I,MATCH(A102,'3.員工名單'!$A:$A,0))))*ISNUMBER(SEARCH({"經營","管理","財務","企劃","營運","技術","數據","美術","測試","客服"},INDEX('1.職能辭典'!$K:$K,MATCH(F102,'1.職能辭典'!$C:$C,0)))))&gt;0)),INDEX('2.職務職能需求'!$B$2:$F$28,MATCH(F102,'2.職務職能需求'!$A$2:$A$28,0),MATCH(D102,'2.職務職能需求'!$B$1:$F$1,0)),0),""))</f>
        <v/>
      </c>
      <c r="H102" s="94" t="n"/>
      <c r="I102" s="94" t="n"/>
      <c r="J102" s="120">
        <f>IF(OR(G102="",I102="",G102=0),"",I102-G102)</f>
        <v/>
      </c>
      <c r="K102" s="120">
        <f>IF(G102="","",IF(G102=0,"不適用",IF(I102="","待評核",IF(I102&gt;=G102,IF(I102&gt;G102,"超越","達標"),"待發展"))))</f>
        <v/>
      </c>
      <c r="L102" s="91" t="n"/>
      <c r="M102" s="91" t="n"/>
      <c r="N102" s="88" t="n"/>
    </row>
    <row r="103" ht="15.75" customHeight="1" s="64">
      <c r="A103" s="88" t="n"/>
      <c r="B103" s="120">
        <f t="array" ref="B103:B103">IF(A103="","",IFERROR(INDEX('3.員工名單'!$B:$B,MATCH(A103,'3.員工名單'!$A:$A,0)),"查無此員工"))</f>
        <v/>
      </c>
      <c r="C103" s="120">
        <f t="array" ref="C103:C103">IF(A103="","",IFERROR(INDEX('3.員工名單'!$C:$C,MATCH(A103,'3.員工名單'!$A:$A,0)),""))</f>
        <v/>
      </c>
      <c r="D103" s="120">
        <f t="array" ref="D103:D103">IF(A103="","",IFERROR(INDEX('3.員工名單'!$D:$D,MATCH(A103,'3.員工名單'!$A:$A,0)),""))</f>
        <v/>
      </c>
      <c r="E103" s="120">
        <f t="array" ref="E103:E103">IF(F103="","",IFERROR(INDEX('1.職能辭典'!$A:$A,MATCH(F103,'1.職能辭典'!$C:$C,0)),""))</f>
        <v/>
      </c>
      <c r="F103" s="94" t="n"/>
      <c r="G103" s="120">
        <f t="array" ref="G103:G103">IF(OR(D103="",F103=""),"",IFERROR(IF(AND(OR(INDEX('1.職能辭典'!$J:$J,MATCH(F103,'1.職能辭典'!$C:$C,0))="全部",INDEX('3.員工名單'!$H:$H,MATCH(A103,'3.員工名單'!$A:$A,0))="兩款共用",INDEX('3.員工名單'!$H:$H,MATCH(A103,'3.員工名單'!$A:$A,0))=INDEX('1.職能辭典'!$J:$J,MATCH(F103,'1.職能辭典'!$C:$C,0))),OR(INDEX('1.職能辭典'!$K:$K,MATCH(F103,'1.職能辭典'!$C:$C,0))="全部",SUMPRODUCT(ISNUMBER(SEARCH({"經營","管理","財務","企劃","營運","技術","數據","美術","測試","客服"},INDEX('3.員工名單'!$I:$I,MATCH(A103,'3.員工名單'!$A:$A,0))))*ISNUMBER(SEARCH({"經營","管理","財務","企劃","營運","技術","數據","美術","測試","客服"},INDEX('1.職能辭典'!$K:$K,MATCH(F103,'1.職能辭典'!$C:$C,0)))))&gt;0)),INDEX('2.職務職能需求'!$B$2:$F$28,MATCH(F103,'2.職務職能需求'!$A$2:$A$28,0),MATCH(D103,'2.職務職能需求'!$B$1:$F$1,0)),0),""))</f>
        <v/>
      </c>
      <c r="H103" s="94" t="n"/>
      <c r="I103" s="94" t="n"/>
      <c r="J103" s="120">
        <f>IF(OR(G103="",I103="",G103=0),"",I103-G103)</f>
        <v/>
      </c>
      <c r="K103" s="120">
        <f>IF(G103="","",IF(G103=0,"不適用",IF(I103="","待評核",IF(I103&gt;=G103,IF(I103&gt;G103,"超越","達標"),"待發展"))))</f>
        <v/>
      </c>
      <c r="L103" s="91" t="n"/>
      <c r="M103" s="91" t="n"/>
      <c r="N103" s="88" t="n"/>
    </row>
    <row r="104" ht="15.75" customHeight="1" s="64">
      <c r="A104" s="88" t="n"/>
      <c r="B104" s="120">
        <f t="array" ref="B104:B104">IF(A104="","",IFERROR(INDEX('3.員工名單'!$B:$B,MATCH(A104,'3.員工名單'!$A:$A,0)),"查無此員工"))</f>
        <v/>
      </c>
      <c r="C104" s="120">
        <f t="array" ref="C104:C104">IF(A104="","",IFERROR(INDEX('3.員工名單'!$C:$C,MATCH(A104,'3.員工名單'!$A:$A,0)),""))</f>
        <v/>
      </c>
      <c r="D104" s="120">
        <f t="array" ref="D104:D104">IF(A104="","",IFERROR(INDEX('3.員工名單'!$D:$D,MATCH(A104,'3.員工名單'!$A:$A,0)),""))</f>
        <v/>
      </c>
      <c r="E104" s="120">
        <f t="array" ref="E104:E104">IF(F104="","",IFERROR(INDEX('1.職能辭典'!$A:$A,MATCH(F104,'1.職能辭典'!$C:$C,0)),""))</f>
        <v/>
      </c>
      <c r="F104" s="94" t="n"/>
      <c r="G104" s="120">
        <f t="array" ref="G104:G104">IF(OR(D104="",F104=""),"",IFERROR(IF(AND(OR(INDEX('1.職能辭典'!$J:$J,MATCH(F104,'1.職能辭典'!$C:$C,0))="全部",INDEX('3.員工名單'!$H:$H,MATCH(A104,'3.員工名單'!$A:$A,0))="兩款共用",INDEX('3.員工名單'!$H:$H,MATCH(A104,'3.員工名單'!$A:$A,0))=INDEX('1.職能辭典'!$J:$J,MATCH(F104,'1.職能辭典'!$C:$C,0))),OR(INDEX('1.職能辭典'!$K:$K,MATCH(F104,'1.職能辭典'!$C:$C,0))="全部",SUMPRODUCT(ISNUMBER(SEARCH({"經營","管理","財務","企劃","營運","技術","數據","美術","測試","客服"},INDEX('3.員工名單'!$I:$I,MATCH(A104,'3.員工名單'!$A:$A,0))))*ISNUMBER(SEARCH({"經營","管理","財務","企劃","營運","技術","數據","美術","測試","客服"},INDEX('1.職能辭典'!$K:$K,MATCH(F104,'1.職能辭典'!$C:$C,0)))))&gt;0)),INDEX('2.職務職能需求'!$B$2:$F$28,MATCH(F104,'2.職務職能需求'!$A$2:$A$28,0),MATCH(D104,'2.職務職能需求'!$B$1:$F$1,0)),0),""))</f>
        <v/>
      </c>
      <c r="H104" s="94" t="n"/>
      <c r="I104" s="94" t="n"/>
      <c r="J104" s="120">
        <f>IF(OR(G104="",I104="",G104=0),"",I104-G104)</f>
        <v/>
      </c>
      <c r="K104" s="120">
        <f>IF(G104="","",IF(G104=0,"不適用",IF(I104="","待評核",IF(I104&gt;=G104,IF(I104&gt;G104,"超越","達標"),"待發展"))))</f>
        <v/>
      </c>
      <c r="L104" s="91" t="n"/>
      <c r="M104" s="91" t="n"/>
      <c r="N104" s="88" t="n"/>
    </row>
    <row r="105" ht="15.75" customHeight="1" s="64">
      <c r="A105" s="88" t="n"/>
      <c r="B105" s="120">
        <f t="array" ref="B105:B105">IF(A105="","",IFERROR(INDEX('3.員工名單'!$B:$B,MATCH(A105,'3.員工名單'!$A:$A,0)),"查無此員工"))</f>
        <v/>
      </c>
      <c r="C105" s="120">
        <f t="array" ref="C105:C105">IF(A105="","",IFERROR(INDEX('3.員工名單'!$C:$C,MATCH(A105,'3.員工名單'!$A:$A,0)),""))</f>
        <v/>
      </c>
      <c r="D105" s="120">
        <f t="array" ref="D105:D105">IF(A105="","",IFERROR(INDEX('3.員工名單'!$D:$D,MATCH(A105,'3.員工名單'!$A:$A,0)),""))</f>
        <v/>
      </c>
      <c r="E105" s="120">
        <f t="array" ref="E105:E105">IF(F105="","",IFERROR(INDEX('1.職能辭典'!$A:$A,MATCH(F105,'1.職能辭典'!$C:$C,0)),""))</f>
        <v/>
      </c>
      <c r="F105" s="94" t="n"/>
      <c r="G105" s="120">
        <f t="array" ref="G105:G105">IF(OR(D105="",F105=""),"",IFERROR(IF(AND(OR(INDEX('1.職能辭典'!$J:$J,MATCH(F105,'1.職能辭典'!$C:$C,0))="全部",INDEX('3.員工名單'!$H:$H,MATCH(A105,'3.員工名單'!$A:$A,0))="兩款共用",INDEX('3.員工名單'!$H:$H,MATCH(A105,'3.員工名單'!$A:$A,0))=INDEX('1.職能辭典'!$J:$J,MATCH(F105,'1.職能辭典'!$C:$C,0))),OR(INDEX('1.職能辭典'!$K:$K,MATCH(F105,'1.職能辭典'!$C:$C,0))="全部",SUMPRODUCT(ISNUMBER(SEARCH({"經營","管理","財務","企劃","營運","技術","數據","美術","測試","客服"},INDEX('3.員工名單'!$I:$I,MATCH(A105,'3.員工名單'!$A:$A,0))))*ISNUMBER(SEARCH({"經營","管理","財務","企劃","營運","技術","數據","美術","測試","客服"},INDEX('1.職能辭典'!$K:$K,MATCH(F105,'1.職能辭典'!$C:$C,0)))))&gt;0)),INDEX('2.職務職能需求'!$B$2:$F$28,MATCH(F105,'2.職務職能需求'!$A$2:$A$28,0),MATCH(D105,'2.職務職能需求'!$B$1:$F$1,0)),0),""))</f>
        <v/>
      </c>
      <c r="H105" s="94" t="n"/>
      <c r="I105" s="94" t="n"/>
      <c r="J105" s="120">
        <f>IF(OR(G105="",I105="",G105=0),"",I105-G105)</f>
        <v/>
      </c>
      <c r="K105" s="120">
        <f>IF(G105="","",IF(G105=0,"不適用",IF(I105="","待評核",IF(I105&gt;=G105,IF(I105&gt;G105,"超越","達標"),"待發展"))))</f>
        <v/>
      </c>
      <c r="L105" s="91" t="n"/>
      <c r="M105" s="91" t="n"/>
      <c r="N105" s="88" t="n"/>
    </row>
    <row r="106" ht="15.75" customHeight="1" s="64">
      <c r="A106" s="88" t="n"/>
      <c r="B106" s="120">
        <f t="array" ref="B106:B106">IF(A106="","",IFERROR(INDEX('3.員工名單'!$B:$B,MATCH(A106,'3.員工名單'!$A:$A,0)),"查無此員工"))</f>
        <v/>
      </c>
      <c r="C106" s="120">
        <f t="array" ref="C106:C106">IF(A106="","",IFERROR(INDEX('3.員工名單'!$C:$C,MATCH(A106,'3.員工名單'!$A:$A,0)),""))</f>
        <v/>
      </c>
      <c r="D106" s="120">
        <f t="array" ref="D106:D106">IF(A106="","",IFERROR(INDEX('3.員工名單'!$D:$D,MATCH(A106,'3.員工名單'!$A:$A,0)),""))</f>
        <v/>
      </c>
      <c r="E106" s="120">
        <f t="array" ref="E106:E106">IF(F106="","",IFERROR(INDEX('1.職能辭典'!$A:$A,MATCH(F106,'1.職能辭典'!$C:$C,0)),""))</f>
        <v/>
      </c>
      <c r="F106" s="94" t="n"/>
      <c r="G106" s="120">
        <f t="array" ref="G106:G106">IF(OR(D106="",F106=""),"",IFERROR(IF(AND(OR(INDEX('1.職能辭典'!$J:$J,MATCH(F106,'1.職能辭典'!$C:$C,0))="全部",INDEX('3.員工名單'!$H:$H,MATCH(A106,'3.員工名單'!$A:$A,0))="兩款共用",INDEX('3.員工名單'!$H:$H,MATCH(A106,'3.員工名單'!$A:$A,0))=INDEX('1.職能辭典'!$J:$J,MATCH(F106,'1.職能辭典'!$C:$C,0))),OR(INDEX('1.職能辭典'!$K:$K,MATCH(F106,'1.職能辭典'!$C:$C,0))="全部",SUMPRODUCT(ISNUMBER(SEARCH({"經營","管理","財務","企劃","營運","技術","數據","美術","測試","客服"},INDEX('3.員工名單'!$I:$I,MATCH(A106,'3.員工名單'!$A:$A,0))))*ISNUMBER(SEARCH({"經營","管理","財務","企劃","營運","技術","數據","美術","測試","客服"},INDEX('1.職能辭典'!$K:$K,MATCH(F106,'1.職能辭典'!$C:$C,0)))))&gt;0)),INDEX('2.職務職能需求'!$B$2:$F$28,MATCH(F106,'2.職務職能需求'!$A$2:$A$28,0),MATCH(D106,'2.職務職能需求'!$B$1:$F$1,0)),0),""))</f>
        <v/>
      </c>
      <c r="H106" s="94" t="n"/>
      <c r="I106" s="94" t="n"/>
      <c r="J106" s="120">
        <f>IF(OR(G106="",I106="",G106=0),"",I106-G106)</f>
        <v/>
      </c>
      <c r="K106" s="120">
        <f>IF(G106="","",IF(G106=0,"不適用",IF(I106="","待評核",IF(I106&gt;=G106,IF(I106&gt;G106,"超越","達標"),"待發展"))))</f>
        <v/>
      </c>
      <c r="L106" s="91" t="n"/>
      <c r="M106" s="91" t="n"/>
      <c r="N106" s="88" t="n"/>
    </row>
    <row r="107" ht="15.75" customHeight="1" s="64">
      <c r="A107" s="88" t="n"/>
      <c r="B107" s="120">
        <f t="array" ref="B107:B107">IF(A107="","",IFERROR(INDEX('3.員工名單'!$B:$B,MATCH(A107,'3.員工名單'!$A:$A,0)),"查無此員工"))</f>
        <v/>
      </c>
      <c r="C107" s="120">
        <f t="array" ref="C107:C107">IF(A107="","",IFERROR(INDEX('3.員工名單'!$C:$C,MATCH(A107,'3.員工名單'!$A:$A,0)),""))</f>
        <v/>
      </c>
      <c r="D107" s="120">
        <f t="array" ref="D107:D107">IF(A107="","",IFERROR(INDEX('3.員工名單'!$D:$D,MATCH(A107,'3.員工名單'!$A:$A,0)),""))</f>
        <v/>
      </c>
      <c r="E107" s="120">
        <f t="array" ref="E107:E107">IF(F107="","",IFERROR(INDEX('1.職能辭典'!$A:$A,MATCH(F107,'1.職能辭典'!$C:$C,0)),""))</f>
        <v/>
      </c>
      <c r="F107" s="94" t="n"/>
      <c r="G107" s="120">
        <f t="array" ref="G107:G107">IF(OR(D107="",F107=""),"",IFERROR(IF(AND(OR(INDEX('1.職能辭典'!$J:$J,MATCH(F107,'1.職能辭典'!$C:$C,0))="全部",INDEX('3.員工名單'!$H:$H,MATCH(A107,'3.員工名單'!$A:$A,0))="兩款共用",INDEX('3.員工名單'!$H:$H,MATCH(A107,'3.員工名單'!$A:$A,0))=INDEX('1.職能辭典'!$J:$J,MATCH(F107,'1.職能辭典'!$C:$C,0))),OR(INDEX('1.職能辭典'!$K:$K,MATCH(F107,'1.職能辭典'!$C:$C,0))="全部",SUMPRODUCT(ISNUMBER(SEARCH({"經營","管理","財務","企劃","營運","技術","數據","美術","測試","客服"},INDEX('3.員工名單'!$I:$I,MATCH(A107,'3.員工名單'!$A:$A,0))))*ISNUMBER(SEARCH({"經營","管理","財務","企劃","營運","技術","數據","美術","測試","客服"},INDEX('1.職能辭典'!$K:$K,MATCH(F107,'1.職能辭典'!$C:$C,0)))))&gt;0)),INDEX('2.職務職能需求'!$B$2:$F$28,MATCH(F107,'2.職務職能需求'!$A$2:$A$28,0),MATCH(D107,'2.職務職能需求'!$B$1:$F$1,0)),0),""))</f>
        <v/>
      </c>
      <c r="H107" s="94" t="n"/>
      <c r="I107" s="94" t="n"/>
      <c r="J107" s="120">
        <f>IF(OR(G107="",I107="",G107=0),"",I107-G107)</f>
        <v/>
      </c>
      <c r="K107" s="120">
        <f>IF(G107="","",IF(G107=0,"不適用",IF(I107="","待評核",IF(I107&gt;=G107,IF(I107&gt;G107,"超越","達標"),"待發展"))))</f>
        <v/>
      </c>
      <c r="L107" s="91" t="n"/>
      <c r="M107" s="91" t="n"/>
      <c r="N107" s="88" t="n"/>
    </row>
    <row r="108" ht="15.75" customHeight="1" s="64">
      <c r="A108" s="88" t="n"/>
      <c r="B108" s="120">
        <f t="array" ref="B108:B108">IF(A108="","",IFERROR(INDEX('3.員工名單'!$B:$B,MATCH(A108,'3.員工名單'!$A:$A,0)),"查無此員工"))</f>
        <v/>
      </c>
      <c r="C108" s="120">
        <f t="array" ref="C108:C108">IF(A108="","",IFERROR(INDEX('3.員工名單'!$C:$C,MATCH(A108,'3.員工名單'!$A:$A,0)),""))</f>
        <v/>
      </c>
      <c r="D108" s="120">
        <f t="array" ref="D108:D108">IF(A108="","",IFERROR(INDEX('3.員工名單'!$D:$D,MATCH(A108,'3.員工名單'!$A:$A,0)),""))</f>
        <v/>
      </c>
      <c r="E108" s="120">
        <f t="array" ref="E108:E108">IF(F108="","",IFERROR(INDEX('1.職能辭典'!$A:$A,MATCH(F108,'1.職能辭典'!$C:$C,0)),""))</f>
        <v/>
      </c>
      <c r="F108" s="94" t="n"/>
      <c r="G108" s="120">
        <f t="array" ref="G108:G108">IF(OR(D108="",F108=""),"",IFERROR(IF(AND(OR(INDEX('1.職能辭典'!$J:$J,MATCH(F108,'1.職能辭典'!$C:$C,0))="全部",INDEX('3.員工名單'!$H:$H,MATCH(A108,'3.員工名單'!$A:$A,0))="兩款共用",INDEX('3.員工名單'!$H:$H,MATCH(A108,'3.員工名單'!$A:$A,0))=INDEX('1.職能辭典'!$J:$J,MATCH(F108,'1.職能辭典'!$C:$C,0))),OR(INDEX('1.職能辭典'!$K:$K,MATCH(F108,'1.職能辭典'!$C:$C,0))="全部",SUMPRODUCT(ISNUMBER(SEARCH({"經營","管理","財務","企劃","營運","技術","數據","美術","測試","客服"},INDEX('3.員工名單'!$I:$I,MATCH(A108,'3.員工名單'!$A:$A,0))))*ISNUMBER(SEARCH({"經營","管理","財務","企劃","營運","技術","數據","美術","測試","客服"},INDEX('1.職能辭典'!$K:$K,MATCH(F108,'1.職能辭典'!$C:$C,0)))))&gt;0)),INDEX('2.職務職能需求'!$B$2:$F$28,MATCH(F108,'2.職務職能需求'!$A$2:$A$28,0),MATCH(D108,'2.職務職能需求'!$B$1:$F$1,0)),0),""))</f>
        <v/>
      </c>
      <c r="H108" s="94" t="n"/>
      <c r="I108" s="94" t="n"/>
      <c r="J108" s="120">
        <f>IF(OR(G108="",I108="",G108=0),"",I108-G108)</f>
        <v/>
      </c>
      <c r="K108" s="120">
        <f>IF(G108="","",IF(G108=0,"不適用",IF(I108="","待評核",IF(I108&gt;=G108,IF(I108&gt;G108,"超越","達標"),"待發展"))))</f>
        <v/>
      </c>
      <c r="L108" s="91" t="n"/>
      <c r="M108" s="91" t="n"/>
      <c r="N108" s="88" t="n"/>
    </row>
    <row r="109" ht="15.75" customHeight="1" s="64">
      <c r="A109" s="88" t="n"/>
      <c r="B109" s="120">
        <f t="array" ref="B109:B109">IF(A109="","",IFERROR(INDEX('3.員工名單'!$B:$B,MATCH(A109,'3.員工名單'!$A:$A,0)),"查無此員工"))</f>
        <v/>
      </c>
      <c r="C109" s="120">
        <f t="array" ref="C109:C109">IF(A109="","",IFERROR(INDEX('3.員工名單'!$C:$C,MATCH(A109,'3.員工名單'!$A:$A,0)),""))</f>
        <v/>
      </c>
      <c r="D109" s="120">
        <f t="array" ref="D109:D109">IF(A109="","",IFERROR(INDEX('3.員工名單'!$D:$D,MATCH(A109,'3.員工名單'!$A:$A,0)),""))</f>
        <v/>
      </c>
      <c r="E109" s="120">
        <f t="array" ref="E109:E109">IF(F109="","",IFERROR(INDEX('1.職能辭典'!$A:$A,MATCH(F109,'1.職能辭典'!$C:$C,0)),""))</f>
        <v/>
      </c>
      <c r="F109" s="94" t="n"/>
      <c r="G109" s="120">
        <f t="array" ref="G109:G109">IF(OR(D109="",F109=""),"",IFERROR(IF(AND(OR(INDEX('1.職能辭典'!$J:$J,MATCH(F109,'1.職能辭典'!$C:$C,0))="全部",INDEX('3.員工名單'!$H:$H,MATCH(A109,'3.員工名單'!$A:$A,0))="兩款共用",INDEX('3.員工名單'!$H:$H,MATCH(A109,'3.員工名單'!$A:$A,0))=INDEX('1.職能辭典'!$J:$J,MATCH(F109,'1.職能辭典'!$C:$C,0))),OR(INDEX('1.職能辭典'!$K:$K,MATCH(F109,'1.職能辭典'!$C:$C,0))="全部",SUMPRODUCT(ISNUMBER(SEARCH({"經營","管理","財務","企劃","營運","技術","數據","美術","測試","客服"},INDEX('3.員工名單'!$I:$I,MATCH(A109,'3.員工名單'!$A:$A,0))))*ISNUMBER(SEARCH({"經營","管理","財務","企劃","營運","技術","數據","美術","測試","客服"},INDEX('1.職能辭典'!$K:$K,MATCH(F109,'1.職能辭典'!$C:$C,0)))))&gt;0)),INDEX('2.職務職能需求'!$B$2:$F$28,MATCH(F109,'2.職務職能需求'!$A$2:$A$28,0),MATCH(D109,'2.職務職能需求'!$B$1:$F$1,0)),0),""))</f>
        <v/>
      </c>
      <c r="H109" s="94" t="n"/>
      <c r="I109" s="94" t="n"/>
      <c r="J109" s="120">
        <f>IF(OR(G109="",I109="",G109=0),"",I109-G109)</f>
        <v/>
      </c>
      <c r="K109" s="120">
        <f>IF(G109="","",IF(G109=0,"不適用",IF(I109="","待評核",IF(I109&gt;=G109,IF(I109&gt;G109,"超越","達標"),"待發展"))))</f>
        <v/>
      </c>
      <c r="L109" s="91" t="n"/>
      <c r="M109" s="91" t="n"/>
      <c r="N109" s="88" t="n"/>
    </row>
    <row r="110" ht="15.75" customHeight="1" s="64">
      <c r="A110" s="88" t="n"/>
      <c r="B110" s="120">
        <f t="array" ref="B110:B110">IF(A110="","",IFERROR(INDEX('3.員工名單'!$B:$B,MATCH(A110,'3.員工名單'!$A:$A,0)),"查無此員工"))</f>
        <v/>
      </c>
      <c r="C110" s="120">
        <f t="array" ref="C110:C110">IF(A110="","",IFERROR(INDEX('3.員工名單'!$C:$C,MATCH(A110,'3.員工名單'!$A:$A,0)),""))</f>
        <v/>
      </c>
      <c r="D110" s="120">
        <f t="array" ref="D110:D110">IF(A110="","",IFERROR(INDEX('3.員工名單'!$D:$D,MATCH(A110,'3.員工名單'!$A:$A,0)),""))</f>
        <v/>
      </c>
      <c r="E110" s="120">
        <f t="array" ref="E110:E110">IF(F110="","",IFERROR(INDEX('1.職能辭典'!$A:$A,MATCH(F110,'1.職能辭典'!$C:$C,0)),""))</f>
        <v/>
      </c>
      <c r="F110" s="94" t="n"/>
      <c r="G110" s="120">
        <f t="array" ref="G110:G110">IF(OR(D110="",F110=""),"",IFERROR(IF(AND(OR(INDEX('1.職能辭典'!$J:$J,MATCH(F110,'1.職能辭典'!$C:$C,0))="全部",INDEX('3.員工名單'!$H:$H,MATCH(A110,'3.員工名單'!$A:$A,0))="兩款共用",INDEX('3.員工名單'!$H:$H,MATCH(A110,'3.員工名單'!$A:$A,0))=INDEX('1.職能辭典'!$J:$J,MATCH(F110,'1.職能辭典'!$C:$C,0))),OR(INDEX('1.職能辭典'!$K:$K,MATCH(F110,'1.職能辭典'!$C:$C,0))="全部",SUMPRODUCT(ISNUMBER(SEARCH({"經營","管理","財務","企劃","營運","技術","數據","美術","測試","客服"},INDEX('3.員工名單'!$I:$I,MATCH(A110,'3.員工名單'!$A:$A,0))))*ISNUMBER(SEARCH({"經營","管理","財務","企劃","營運","技術","數據","美術","測試","客服"},INDEX('1.職能辭典'!$K:$K,MATCH(F110,'1.職能辭典'!$C:$C,0)))))&gt;0)),INDEX('2.職務職能需求'!$B$2:$F$28,MATCH(F110,'2.職務職能需求'!$A$2:$A$28,0),MATCH(D110,'2.職務職能需求'!$B$1:$F$1,0)),0),""))</f>
        <v/>
      </c>
      <c r="H110" s="94" t="n"/>
      <c r="I110" s="94" t="n"/>
      <c r="J110" s="120">
        <f>IF(OR(G110="",I110="",G110=0),"",I110-G110)</f>
        <v/>
      </c>
      <c r="K110" s="120">
        <f>IF(G110="","",IF(G110=0,"不適用",IF(I110="","待評核",IF(I110&gt;=G110,IF(I110&gt;G110,"超越","達標"),"待發展"))))</f>
        <v/>
      </c>
      <c r="L110" s="91" t="n"/>
      <c r="M110" s="91" t="n"/>
      <c r="N110" s="88" t="n"/>
    </row>
    <row r="111" ht="15.75" customHeight="1" s="64">
      <c r="A111" s="88" t="n"/>
      <c r="B111" s="120">
        <f t="array" ref="B111:B111">IF(A111="","",IFERROR(INDEX('3.員工名單'!$B:$B,MATCH(A111,'3.員工名單'!$A:$A,0)),"查無此員工"))</f>
        <v/>
      </c>
      <c r="C111" s="120">
        <f t="array" ref="C111:C111">IF(A111="","",IFERROR(INDEX('3.員工名單'!$C:$C,MATCH(A111,'3.員工名單'!$A:$A,0)),""))</f>
        <v/>
      </c>
      <c r="D111" s="120">
        <f t="array" ref="D111:D111">IF(A111="","",IFERROR(INDEX('3.員工名單'!$D:$D,MATCH(A111,'3.員工名單'!$A:$A,0)),""))</f>
        <v/>
      </c>
      <c r="E111" s="120">
        <f t="array" ref="E111:E111">IF(F111="","",IFERROR(INDEX('1.職能辭典'!$A:$A,MATCH(F111,'1.職能辭典'!$C:$C,0)),""))</f>
        <v/>
      </c>
      <c r="F111" s="94" t="n"/>
      <c r="G111" s="120">
        <f t="array" ref="G111:G111">IF(OR(D111="",F111=""),"",IFERROR(IF(AND(OR(INDEX('1.職能辭典'!$J:$J,MATCH(F111,'1.職能辭典'!$C:$C,0))="全部",INDEX('3.員工名單'!$H:$H,MATCH(A111,'3.員工名單'!$A:$A,0))="兩款共用",INDEX('3.員工名單'!$H:$H,MATCH(A111,'3.員工名單'!$A:$A,0))=INDEX('1.職能辭典'!$J:$J,MATCH(F111,'1.職能辭典'!$C:$C,0))),OR(INDEX('1.職能辭典'!$K:$K,MATCH(F111,'1.職能辭典'!$C:$C,0))="全部",SUMPRODUCT(ISNUMBER(SEARCH({"經營","管理","財務","企劃","營運","技術","數據","美術","測試","客服"},INDEX('3.員工名單'!$I:$I,MATCH(A111,'3.員工名單'!$A:$A,0))))*ISNUMBER(SEARCH({"經營","管理","財務","企劃","營運","技術","數據","美術","測試","客服"},INDEX('1.職能辭典'!$K:$K,MATCH(F111,'1.職能辭典'!$C:$C,0)))))&gt;0)),INDEX('2.職務職能需求'!$B$2:$F$28,MATCH(F111,'2.職務職能需求'!$A$2:$A$28,0),MATCH(D111,'2.職務職能需求'!$B$1:$F$1,0)),0),""))</f>
        <v/>
      </c>
      <c r="H111" s="94" t="n"/>
      <c r="I111" s="94" t="n"/>
      <c r="J111" s="120">
        <f>IF(OR(G111="",I111="",G111=0),"",I111-G111)</f>
        <v/>
      </c>
      <c r="K111" s="120">
        <f>IF(G111="","",IF(G111=0,"不適用",IF(I111="","待評核",IF(I111&gt;=G111,IF(I111&gt;G111,"超越","達標"),"待發展"))))</f>
        <v/>
      </c>
      <c r="L111" s="91" t="n"/>
      <c r="M111" s="91" t="n"/>
      <c r="N111" s="88" t="n"/>
    </row>
    <row r="112" ht="15.75" customHeight="1" s="64">
      <c r="A112" s="88" t="n"/>
      <c r="B112" s="120">
        <f t="array" ref="B112:B112">IF(A112="","",IFERROR(INDEX('3.員工名單'!$B:$B,MATCH(A112,'3.員工名單'!$A:$A,0)),"查無此員工"))</f>
        <v/>
      </c>
      <c r="C112" s="120">
        <f t="array" ref="C112:C112">IF(A112="","",IFERROR(INDEX('3.員工名單'!$C:$C,MATCH(A112,'3.員工名單'!$A:$A,0)),""))</f>
        <v/>
      </c>
      <c r="D112" s="120">
        <f t="array" ref="D112:D112">IF(A112="","",IFERROR(INDEX('3.員工名單'!$D:$D,MATCH(A112,'3.員工名單'!$A:$A,0)),""))</f>
        <v/>
      </c>
      <c r="E112" s="120">
        <f t="array" ref="E112:E112">IF(F112="","",IFERROR(INDEX('1.職能辭典'!$A:$A,MATCH(F112,'1.職能辭典'!$C:$C,0)),""))</f>
        <v/>
      </c>
      <c r="F112" s="94" t="n"/>
      <c r="G112" s="120">
        <f t="array" ref="G112:G112">IF(OR(D112="",F112=""),"",IFERROR(IF(AND(OR(INDEX('1.職能辭典'!$J:$J,MATCH(F112,'1.職能辭典'!$C:$C,0))="全部",INDEX('3.員工名單'!$H:$H,MATCH(A112,'3.員工名單'!$A:$A,0))="兩款共用",INDEX('3.員工名單'!$H:$H,MATCH(A112,'3.員工名單'!$A:$A,0))=INDEX('1.職能辭典'!$J:$J,MATCH(F112,'1.職能辭典'!$C:$C,0))),OR(INDEX('1.職能辭典'!$K:$K,MATCH(F112,'1.職能辭典'!$C:$C,0))="全部",SUMPRODUCT(ISNUMBER(SEARCH({"經營","管理","財務","企劃","營運","技術","數據","美術","測試","客服"},INDEX('3.員工名單'!$I:$I,MATCH(A112,'3.員工名單'!$A:$A,0))))*ISNUMBER(SEARCH({"經營","管理","財務","企劃","營運","技術","數據","美術","測試","客服"},INDEX('1.職能辭典'!$K:$K,MATCH(F112,'1.職能辭典'!$C:$C,0)))))&gt;0)),INDEX('2.職務職能需求'!$B$2:$F$28,MATCH(F112,'2.職務職能需求'!$A$2:$A$28,0),MATCH(D112,'2.職務職能需求'!$B$1:$F$1,0)),0),""))</f>
        <v/>
      </c>
      <c r="H112" s="94" t="n"/>
      <c r="I112" s="94" t="n"/>
      <c r="J112" s="120">
        <f>IF(OR(G112="",I112="",G112=0),"",I112-G112)</f>
        <v/>
      </c>
      <c r="K112" s="120">
        <f>IF(G112="","",IF(G112=0,"不適用",IF(I112="","待評核",IF(I112&gt;=G112,IF(I112&gt;G112,"超越","達標"),"待發展"))))</f>
        <v/>
      </c>
      <c r="L112" s="91" t="n"/>
      <c r="M112" s="91" t="n"/>
      <c r="N112" s="88" t="n"/>
    </row>
    <row r="113" ht="15.75" customHeight="1" s="64">
      <c r="A113" s="88" t="n"/>
      <c r="B113" s="120">
        <f t="array" ref="B113:B113">IF(A113="","",IFERROR(INDEX('3.員工名單'!$B:$B,MATCH(A113,'3.員工名單'!$A:$A,0)),"查無此員工"))</f>
        <v/>
      </c>
      <c r="C113" s="120">
        <f t="array" ref="C113:C113">IF(A113="","",IFERROR(INDEX('3.員工名單'!$C:$C,MATCH(A113,'3.員工名單'!$A:$A,0)),""))</f>
        <v/>
      </c>
      <c r="D113" s="120">
        <f t="array" ref="D113:D113">IF(A113="","",IFERROR(INDEX('3.員工名單'!$D:$D,MATCH(A113,'3.員工名單'!$A:$A,0)),""))</f>
        <v/>
      </c>
      <c r="E113" s="120">
        <f t="array" ref="E113:E113">IF(F113="","",IFERROR(INDEX('1.職能辭典'!$A:$A,MATCH(F113,'1.職能辭典'!$C:$C,0)),""))</f>
        <v/>
      </c>
      <c r="F113" s="94" t="n"/>
      <c r="G113" s="120">
        <f t="array" ref="G113:G113">IF(OR(D113="",F113=""),"",IFERROR(IF(AND(OR(INDEX('1.職能辭典'!$J:$J,MATCH(F113,'1.職能辭典'!$C:$C,0))="全部",INDEX('3.員工名單'!$H:$H,MATCH(A113,'3.員工名單'!$A:$A,0))="兩款共用",INDEX('3.員工名單'!$H:$H,MATCH(A113,'3.員工名單'!$A:$A,0))=INDEX('1.職能辭典'!$J:$J,MATCH(F113,'1.職能辭典'!$C:$C,0))),OR(INDEX('1.職能辭典'!$K:$K,MATCH(F113,'1.職能辭典'!$C:$C,0))="全部",SUMPRODUCT(ISNUMBER(SEARCH({"經營","管理","財務","企劃","營運","技術","數據","美術","測試","客服"},INDEX('3.員工名單'!$I:$I,MATCH(A113,'3.員工名單'!$A:$A,0))))*ISNUMBER(SEARCH({"經營","管理","財務","企劃","營運","技術","數據","美術","測試","客服"},INDEX('1.職能辭典'!$K:$K,MATCH(F113,'1.職能辭典'!$C:$C,0)))))&gt;0)),INDEX('2.職務職能需求'!$B$2:$F$28,MATCH(F113,'2.職務職能需求'!$A$2:$A$28,0),MATCH(D113,'2.職務職能需求'!$B$1:$F$1,0)),0),""))</f>
        <v/>
      </c>
      <c r="H113" s="94" t="n"/>
      <c r="I113" s="94" t="n"/>
      <c r="J113" s="120">
        <f>IF(OR(G113="",I113="",G113=0),"",I113-G113)</f>
        <v/>
      </c>
      <c r="K113" s="120">
        <f>IF(G113="","",IF(G113=0,"不適用",IF(I113="","待評核",IF(I113&gt;=G113,IF(I113&gt;G113,"超越","達標"),"待發展"))))</f>
        <v/>
      </c>
      <c r="L113" s="91" t="n"/>
      <c r="M113" s="91" t="n"/>
      <c r="N113" s="88" t="n"/>
    </row>
    <row r="114" ht="15.75" customHeight="1" s="64">
      <c r="A114" s="88" t="n"/>
      <c r="B114" s="120">
        <f t="array" ref="B114:B114">IF(A114="","",IFERROR(INDEX('3.員工名單'!$B:$B,MATCH(A114,'3.員工名單'!$A:$A,0)),"查無此員工"))</f>
        <v/>
      </c>
      <c r="C114" s="120">
        <f t="array" ref="C114:C114">IF(A114="","",IFERROR(INDEX('3.員工名單'!$C:$C,MATCH(A114,'3.員工名單'!$A:$A,0)),""))</f>
        <v/>
      </c>
      <c r="D114" s="120">
        <f t="array" ref="D114:D114">IF(A114="","",IFERROR(INDEX('3.員工名單'!$D:$D,MATCH(A114,'3.員工名單'!$A:$A,0)),""))</f>
        <v/>
      </c>
      <c r="E114" s="120">
        <f t="array" ref="E114:E114">IF(F114="","",IFERROR(INDEX('1.職能辭典'!$A:$A,MATCH(F114,'1.職能辭典'!$C:$C,0)),""))</f>
        <v/>
      </c>
      <c r="F114" s="94" t="n"/>
      <c r="G114" s="120">
        <f t="array" ref="G114:G114">IF(OR(D114="",F114=""),"",IFERROR(IF(AND(OR(INDEX('1.職能辭典'!$J:$J,MATCH(F114,'1.職能辭典'!$C:$C,0))="全部",INDEX('3.員工名單'!$H:$H,MATCH(A114,'3.員工名單'!$A:$A,0))="兩款共用",INDEX('3.員工名單'!$H:$H,MATCH(A114,'3.員工名單'!$A:$A,0))=INDEX('1.職能辭典'!$J:$J,MATCH(F114,'1.職能辭典'!$C:$C,0))),OR(INDEX('1.職能辭典'!$K:$K,MATCH(F114,'1.職能辭典'!$C:$C,0))="全部",SUMPRODUCT(ISNUMBER(SEARCH({"經營","管理","財務","企劃","營運","技術","數據","美術","測試","客服"},INDEX('3.員工名單'!$I:$I,MATCH(A114,'3.員工名單'!$A:$A,0))))*ISNUMBER(SEARCH({"經營","管理","財務","企劃","營運","技術","數據","美術","測試","客服"},INDEX('1.職能辭典'!$K:$K,MATCH(F114,'1.職能辭典'!$C:$C,0)))))&gt;0)),INDEX('2.職務職能需求'!$B$2:$F$28,MATCH(F114,'2.職務職能需求'!$A$2:$A$28,0),MATCH(D114,'2.職務職能需求'!$B$1:$F$1,0)),0),""))</f>
        <v/>
      </c>
      <c r="H114" s="94" t="n"/>
      <c r="I114" s="94" t="n"/>
      <c r="J114" s="120">
        <f>IF(OR(G114="",I114="",G114=0),"",I114-G114)</f>
        <v/>
      </c>
      <c r="K114" s="120">
        <f>IF(G114="","",IF(G114=0,"不適用",IF(I114="","待評核",IF(I114&gt;=G114,IF(I114&gt;G114,"超越","達標"),"待發展"))))</f>
        <v/>
      </c>
      <c r="L114" s="91" t="n"/>
      <c r="M114" s="91" t="n"/>
      <c r="N114" s="88" t="n"/>
    </row>
    <row r="115" ht="15.75" customHeight="1" s="64">
      <c r="A115" s="88" t="n"/>
      <c r="B115" s="120">
        <f t="array" ref="B115:B115">IF(A115="","",IFERROR(INDEX('3.員工名單'!$B:$B,MATCH(A115,'3.員工名單'!$A:$A,0)),"查無此員工"))</f>
        <v/>
      </c>
      <c r="C115" s="120">
        <f t="array" ref="C115:C115">IF(A115="","",IFERROR(INDEX('3.員工名單'!$C:$C,MATCH(A115,'3.員工名單'!$A:$A,0)),""))</f>
        <v/>
      </c>
      <c r="D115" s="120">
        <f t="array" ref="D115:D115">IF(A115="","",IFERROR(INDEX('3.員工名單'!$D:$D,MATCH(A115,'3.員工名單'!$A:$A,0)),""))</f>
        <v/>
      </c>
      <c r="E115" s="120">
        <f t="array" ref="E115:E115">IF(F115="","",IFERROR(INDEX('1.職能辭典'!$A:$A,MATCH(F115,'1.職能辭典'!$C:$C,0)),""))</f>
        <v/>
      </c>
      <c r="F115" s="94" t="n"/>
      <c r="G115" s="120">
        <f t="array" ref="G115:G115">IF(OR(D115="",F115=""),"",IFERROR(IF(AND(OR(INDEX('1.職能辭典'!$J:$J,MATCH(F115,'1.職能辭典'!$C:$C,0))="全部",INDEX('3.員工名單'!$H:$H,MATCH(A115,'3.員工名單'!$A:$A,0))="兩款共用",INDEX('3.員工名單'!$H:$H,MATCH(A115,'3.員工名單'!$A:$A,0))=INDEX('1.職能辭典'!$J:$J,MATCH(F115,'1.職能辭典'!$C:$C,0))),OR(INDEX('1.職能辭典'!$K:$K,MATCH(F115,'1.職能辭典'!$C:$C,0))="全部",SUMPRODUCT(ISNUMBER(SEARCH({"經營","管理","財務","企劃","營運","技術","數據","美術","測試","客服"},INDEX('3.員工名單'!$I:$I,MATCH(A115,'3.員工名單'!$A:$A,0))))*ISNUMBER(SEARCH({"經營","管理","財務","企劃","營運","技術","數據","美術","測試","客服"},INDEX('1.職能辭典'!$K:$K,MATCH(F115,'1.職能辭典'!$C:$C,0)))))&gt;0)),INDEX('2.職務職能需求'!$B$2:$F$28,MATCH(F115,'2.職務職能需求'!$A$2:$A$28,0),MATCH(D115,'2.職務職能需求'!$B$1:$F$1,0)),0),""))</f>
        <v/>
      </c>
      <c r="H115" s="94" t="n"/>
      <c r="I115" s="94" t="n"/>
      <c r="J115" s="120">
        <f>IF(OR(G115="",I115="",G115=0),"",I115-G115)</f>
        <v/>
      </c>
      <c r="K115" s="120">
        <f>IF(G115="","",IF(G115=0,"不適用",IF(I115="","待評核",IF(I115&gt;=G115,IF(I115&gt;G115,"超越","達標"),"待發展"))))</f>
        <v/>
      </c>
      <c r="L115" s="91" t="n"/>
      <c r="M115" s="91" t="n"/>
      <c r="N115" s="88" t="n"/>
    </row>
    <row r="116" ht="15.75" customHeight="1" s="64">
      <c r="A116" s="88" t="n"/>
      <c r="B116" s="120">
        <f t="array" ref="B116:B116">IF(A116="","",IFERROR(INDEX('3.員工名單'!$B:$B,MATCH(A116,'3.員工名單'!$A:$A,0)),"查無此員工"))</f>
        <v/>
      </c>
      <c r="C116" s="120">
        <f t="array" ref="C116:C116">IF(A116="","",IFERROR(INDEX('3.員工名單'!$C:$C,MATCH(A116,'3.員工名單'!$A:$A,0)),""))</f>
        <v/>
      </c>
      <c r="D116" s="120">
        <f t="array" ref="D116:D116">IF(A116="","",IFERROR(INDEX('3.員工名單'!$D:$D,MATCH(A116,'3.員工名單'!$A:$A,0)),""))</f>
        <v/>
      </c>
      <c r="E116" s="120">
        <f t="array" ref="E116:E116">IF(F116="","",IFERROR(INDEX('1.職能辭典'!$A:$A,MATCH(F116,'1.職能辭典'!$C:$C,0)),""))</f>
        <v/>
      </c>
      <c r="F116" s="94" t="n"/>
      <c r="G116" s="120">
        <f t="array" ref="G116:G116">IF(OR(D116="",F116=""),"",IFERROR(IF(AND(OR(INDEX('1.職能辭典'!$J:$J,MATCH(F116,'1.職能辭典'!$C:$C,0))="全部",INDEX('3.員工名單'!$H:$H,MATCH(A116,'3.員工名單'!$A:$A,0))="兩款共用",INDEX('3.員工名單'!$H:$H,MATCH(A116,'3.員工名單'!$A:$A,0))=INDEX('1.職能辭典'!$J:$J,MATCH(F116,'1.職能辭典'!$C:$C,0))),OR(INDEX('1.職能辭典'!$K:$K,MATCH(F116,'1.職能辭典'!$C:$C,0))="全部",SUMPRODUCT(ISNUMBER(SEARCH({"經營","管理","財務","企劃","營運","技術","數據","美術","測試","客服"},INDEX('3.員工名單'!$I:$I,MATCH(A116,'3.員工名單'!$A:$A,0))))*ISNUMBER(SEARCH({"經營","管理","財務","企劃","營運","技術","數據","美術","測試","客服"},INDEX('1.職能辭典'!$K:$K,MATCH(F116,'1.職能辭典'!$C:$C,0)))))&gt;0)),INDEX('2.職務職能需求'!$B$2:$F$28,MATCH(F116,'2.職務職能需求'!$A$2:$A$28,0),MATCH(D116,'2.職務職能需求'!$B$1:$F$1,0)),0),""))</f>
        <v/>
      </c>
      <c r="H116" s="94" t="n"/>
      <c r="I116" s="94" t="n"/>
      <c r="J116" s="120">
        <f>IF(OR(G116="",I116="",G116=0),"",I116-G116)</f>
        <v/>
      </c>
      <c r="K116" s="120">
        <f>IF(G116="","",IF(G116=0,"不適用",IF(I116="","待評核",IF(I116&gt;=G116,IF(I116&gt;G116,"超越","達標"),"待發展"))))</f>
        <v/>
      </c>
      <c r="L116" s="91" t="n"/>
      <c r="M116" s="91" t="n"/>
      <c r="N116" s="88" t="n"/>
    </row>
    <row r="117" ht="15.75" customHeight="1" s="64">
      <c r="A117" s="88" t="n"/>
      <c r="B117" s="120">
        <f t="array" ref="B117:B117">IF(A117="","",IFERROR(INDEX('3.員工名單'!$B:$B,MATCH(A117,'3.員工名單'!$A:$A,0)),"查無此員工"))</f>
        <v/>
      </c>
      <c r="C117" s="120">
        <f t="array" ref="C117:C117">IF(A117="","",IFERROR(INDEX('3.員工名單'!$C:$C,MATCH(A117,'3.員工名單'!$A:$A,0)),""))</f>
        <v/>
      </c>
      <c r="D117" s="120">
        <f t="array" ref="D117:D117">IF(A117="","",IFERROR(INDEX('3.員工名單'!$D:$D,MATCH(A117,'3.員工名單'!$A:$A,0)),""))</f>
        <v/>
      </c>
      <c r="E117" s="120">
        <f t="array" ref="E117:E117">IF(F117="","",IFERROR(INDEX('1.職能辭典'!$A:$A,MATCH(F117,'1.職能辭典'!$C:$C,0)),""))</f>
        <v/>
      </c>
      <c r="F117" s="94" t="n"/>
      <c r="G117" s="120">
        <f t="array" ref="G117:G117">IF(OR(D117="",F117=""),"",IFERROR(IF(AND(OR(INDEX('1.職能辭典'!$J:$J,MATCH(F117,'1.職能辭典'!$C:$C,0))="全部",INDEX('3.員工名單'!$H:$H,MATCH(A117,'3.員工名單'!$A:$A,0))="兩款共用",INDEX('3.員工名單'!$H:$H,MATCH(A117,'3.員工名單'!$A:$A,0))=INDEX('1.職能辭典'!$J:$J,MATCH(F117,'1.職能辭典'!$C:$C,0))),OR(INDEX('1.職能辭典'!$K:$K,MATCH(F117,'1.職能辭典'!$C:$C,0))="全部",SUMPRODUCT(ISNUMBER(SEARCH({"經營","管理","財務","企劃","營運","技術","數據","美術","測試","客服"},INDEX('3.員工名單'!$I:$I,MATCH(A117,'3.員工名單'!$A:$A,0))))*ISNUMBER(SEARCH({"經營","管理","財務","企劃","營運","技術","數據","美術","測試","客服"},INDEX('1.職能辭典'!$K:$K,MATCH(F117,'1.職能辭典'!$C:$C,0)))))&gt;0)),INDEX('2.職務職能需求'!$B$2:$F$28,MATCH(F117,'2.職務職能需求'!$A$2:$A$28,0),MATCH(D117,'2.職務職能需求'!$B$1:$F$1,0)),0),""))</f>
        <v/>
      </c>
      <c r="H117" s="94" t="n"/>
      <c r="I117" s="94" t="n"/>
      <c r="J117" s="120">
        <f>IF(OR(G117="",I117="",G117=0),"",I117-G117)</f>
        <v/>
      </c>
      <c r="K117" s="120">
        <f>IF(G117="","",IF(G117=0,"不適用",IF(I117="","待評核",IF(I117&gt;=G117,IF(I117&gt;G117,"超越","達標"),"待發展"))))</f>
        <v/>
      </c>
      <c r="L117" s="91" t="n"/>
      <c r="M117" s="91" t="n"/>
      <c r="N117" s="88" t="n"/>
    </row>
    <row r="118" ht="15.75" customHeight="1" s="64">
      <c r="A118" s="88" t="n"/>
      <c r="B118" s="120">
        <f t="array" ref="B118:B118">IF(A118="","",IFERROR(INDEX('3.員工名單'!$B:$B,MATCH(A118,'3.員工名單'!$A:$A,0)),"查無此員工"))</f>
        <v/>
      </c>
      <c r="C118" s="120">
        <f t="array" ref="C118:C118">IF(A118="","",IFERROR(INDEX('3.員工名單'!$C:$C,MATCH(A118,'3.員工名單'!$A:$A,0)),""))</f>
        <v/>
      </c>
      <c r="D118" s="120">
        <f t="array" ref="D118:D118">IF(A118="","",IFERROR(INDEX('3.員工名單'!$D:$D,MATCH(A118,'3.員工名單'!$A:$A,0)),""))</f>
        <v/>
      </c>
      <c r="E118" s="120">
        <f t="array" ref="E118:E118">IF(F118="","",IFERROR(INDEX('1.職能辭典'!$A:$A,MATCH(F118,'1.職能辭典'!$C:$C,0)),""))</f>
        <v/>
      </c>
      <c r="F118" s="94" t="n"/>
      <c r="G118" s="120">
        <f t="array" ref="G118:G118">IF(OR(D118="",F118=""),"",IFERROR(IF(AND(OR(INDEX('1.職能辭典'!$J:$J,MATCH(F118,'1.職能辭典'!$C:$C,0))="全部",INDEX('3.員工名單'!$H:$H,MATCH(A118,'3.員工名單'!$A:$A,0))="兩款共用",INDEX('3.員工名單'!$H:$H,MATCH(A118,'3.員工名單'!$A:$A,0))=INDEX('1.職能辭典'!$J:$J,MATCH(F118,'1.職能辭典'!$C:$C,0))),OR(INDEX('1.職能辭典'!$K:$K,MATCH(F118,'1.職能辭典'!$C:$C,0))="全部",SUMPRODUCT(ISNUMBER(SEARCH({"經營","管理","財務","企劃","營運","技術","數據","美術","測試","客服"},INDEX('3.員工名單'!$I:$I,MATCH(A118,'3.員工名單'!$A:$A,0))))*ISNUMBER(SEARCH({"經營","管理","財務","企劃","營運","技術","數據","美術","測試","客服"},INDEX('1.職能辭典'!$K:$K,MATCH(F118,'1.職能辭典'!$C:$C,0)))))&gt;0)),INDEX('2.職務職能需求'!$B$2:$F$28,MATCH(F118,'2.職務職能需求'!$A$2:$A$28,0),MATCH(D118,'2.職務職能需求'!$B$1:$F$1,0)),0),""))</f>
        <v/>
      </c>
      <c r="H118" s="94" t="n"/>
      <c r="I118" s="94" t="n"/>
      <c r="J118" s="120">
        <f>IF(OR(G118="",I118="",G118=0),"",I118-G118)</f>
        <v/>
      </c>
      <c r="K118" s="120">
        <f>IF(G118="","",IF(G118=0,"不適用",IF(I118="","待評核",IF(I118&gt;=G118,IF(I118&gt;G118,"超越","達標"),"待發展"))))</f>
        <v/>
      </c>
      <c r="L118" s="91" t="n"/>
      <c r="M118" s="91" t="n"/>
      <c r="N118" s="88" t="n"/>
    </row>
    <row r="119" ht="15.75" customHeight="1" s="64">
      <c r="A119" s="88" t="n"/>
      <c r="B119" s="120">
        <f t="array" ref="B119:B119">IF(A119="","",IFERROR(INDEX('3.員工名單'!$B:$B,MATCH(A119,'3.員工名單'!$A:$A,0)),"查無此員工"))</f>
        <v/>
      </c>
      <c r="C119" s="120">
        <f t="array" ref="C119:C119">IF(A119="","",IFERROR(INDEX('3.員工名單'!$C:$C,MATCH(A119,'3.員工名單'!$A:$A,0)),""))</f>
        <v/>
      </c>
      <c r="D119" s="120">
        <f t="array" ref="D119:D119">IF(A119="","",IFERROR(INDEX('3.員工名單'!$D:$D,MATCH(A119,'3.員工名單'!$A:$A,0)),""))</f>
        <v/>
      </c>
      <c r="E119" s="120">
        <f t="array" ref="E119:E119">IF(F119="","",IFERROR(INDEX('1.職能辭典'!$A:$A,MATCH(F119,'1.職能辭典'!$C:$C,0)),""))</f>
        <v/>
      </c>
      <c r="F119" s="94" t="n"/>
      <c r="G119" s="120">
        <f t="array" ref="G119:G119">IF(OR(D119="",F119=""),"",IFERROR(IF(AND(OR(INDEX('1.職能辭典'!$J:$J,MATCH(F119,'1.職能辭典'!$C:$C,0))="全部",INDEX('3.員工名單'!$H:$H,MATCH(A119,'3.員工名單'!$A:$A,0))="兩款共用",INDEX('3.員工名單'!$H:$H,MATCH(A119,'3.員工名單'!$A:$A,0))=INDEX('1.職能辭典'!$J:$J,MATCH(F119,'1.職能辭典'!$C:$C,0))),OR(INDEX('1.職能辭典'!$K:$K,MATCH(F119,'1.職能辭典'!$C:$C,0))="全部",SUMPRODUCT(ISNUMBER(SEARCH({"經營","管理","財務","企劃","營運","技術","數據","美術","測試","客服"},INDEX('3.員工名單'!$I:$I,MATCH(A119,'3.員工名單'!$A:$A,0))))*ISNUMBER(SEARCH({"經營","管理","財務","企劃","營運","技術","數據","美術","測試","客服"},INDEX('1.職能辭典'!$K:$K,MATCH(F119,'1.職能辭典'!$C:$C,0)))))&gt;0)),INDEX('2.職務職能需求'!$B$2:$F$28,MATCH(F119,'2.職務職能需求'!$A$2:$A$28,0),MATCH(D119,'2.職務職能需求'!$B$1:$F$1,0)),0),""))</f>
        <v/>
      </c>
      <c r="H119" s="94" t="n"/>
      <c r="I119" s="94" t="n"/>
      <c r="J119" s="120">
        <f>IF(OR(G119="",I119="",G119=0),"",I119-G119)</f>
        <v/>
      </c>
      <c r="K119" s="120">
        <f>IF(G119="","",IF(G119=0,"不適用",IF(I119="","待評核",IF(I119&gt;=G119,IF(I119&gt;G119,"超越","達標"),"待發展"))))</f>
        <v/>
      </c>
      <c r="L119" s="91" t="n"/>
      <c r="M119" s="91" t="n"/>
      <c r="N119" s="88" t="n"/>
    </row>
    <row r="120" ht="15.75" customHeight="1" s="64">
      <c r="A120" s="88" t="n"/>
      <c r="B120" s="120">
        <f t="array" ref="B120:B120">IF(A120="","",IFERROR(INDEX('3.員工名單'!$B:$B,MATCH(A120,'3.員工名單'!$A:$A,0)),"查無此員工"))</f>
        <v/>
      </c>
      <c r="C120" s="120">
        <f t="array" ref="C120:C120">IF(A120="","",IFERROR(INDEX('3.員工名單'!$C:$C,MATCH(A120,'3.員工名單'!$A:$A,0)),""))</f>
        <v/>
      </c>
      <c r="D120" s="120">
        <f t="array" ref="D120:D120">IF(A120="","",IFERROR(INDEX('3.員工名單'!$D:$D,MATCH(A120,'3.員工名單'!$A:$A,0)),""))</f>
        <v/>
      </c>
      <c r="E120" s="120">
        <f t="array" ref="E120:E120">IF(F120="","",IFERROR(INDEX('1.職能辭典'!$A:$A,MATCH(F120,'1.職能辭典'!$C:$C,0)),""))</f>
        <v/>
      </c>
      <c r="F120" s="94" t="n"/>
      <c r="G120" s="120">
        <f t="array" ref="G120:G120">IF(OR(D120="",F120=""),"",IFERROR(IF(AND(OR(INDEX('1.職能辭典'!$J:$J,MATCH(F120,'1.職能辭典'!$C:$C,0))="全部",INDEX('3.員工名單'!$H:$H,MATCH(A120,'3.員工名單'!$A:$A,0))="兩款共用",INDEX('3.員工名單'!$H:$H,MATCH(A120,'3.員工名單'!$A:$A,0))=INDEX('1.職能辭典'!$J:$J,MATCH(F120,'1.職能辭典'!$C:$C,0))),OR(INDEX('1.職能辭典'!$K:$K,MATCH(F120,'1.職能辭典'!$C:$C,0))="全部",SUMPRODUCT(ISNUMBER(SEARCH({"經營","管理","財務","企劃","營運","技術","數據","美術","測試","客服"},INDEX('3.員工名單'!$I:$I,MATCH(A120,'3.員工名單'!$A:$A,0))))*ISNUMBER(SEARCH({"經營","管理","財務","企劃","營運","技術","數據","美術","測試","客服"},INDEX('1.職能辭典'!$K:$K,MATCH(F120,'1.職能辭典'!$C:$C,0)))))&gt;0)),INDEX('2.職務職能需求'!$B$2:$F$28,MATCH(F120,'2.職務職能需求'!$A$2:$A$28,0),MATCH(D120,'2.職務職能需求'!$B$1:$F$1,0)),0),""))</f>
        <v/>
      </c>
      <c r="H120" s="94" t="n"/>
      <c r="I120" s="94" t="n"/>
      <c r="J120" s="120">
        <f>IF(OR(G120="",I120="",G120=0),"",I120-G120)</f>
        <v/>
      </c>
      <c r="K120" s="120">
        <f>IF(G120="","",IF(G120=0,"不適用",IF(I120="","待評核",IF(I120&gt;=G120,IF(I120&gt;G120,"超越","達標"),"待發展"))))</f>
        <v/>
      </c>
      <c r="L120" s="91" t="n"/>
      <c r="M120" s="91" t="n"/>
      <c r="N120" s="88" t="n"/>
    </row>
    <row r="121" ht="15.75" customHeight="1" s="64">
      <c r="A121" s="88" t="n"/>
      <c r="B121" s="120">
        <f t="array" ref="B121:B121">IF(A121="","",IFERROR(INDEX('3.員工名單'!$B:$B,MATCH(A121,'3.員工名單'!$A:$A,0)),"查無此員工"))</f>
        <v/>
      </c>
      <c r="C121" s="120">
        <f t="array" ref="C121:C121">IF(A121="","",IFERROR(INDEX('3.員工名單'!$C:$C,MATCH(A121,'3.員工名單'!$A:$A,0)),""))</f>
        <v/>
      </c>
      <c r="D121" s="120">
        <f t="array" ref="D121:D121">IF(A121="","",IFERROR(INDEX('3.員工名單'!$D:$D,MATCH(A121,'3.員工名單'!$A:$A,0)),""))</f>
        <v/>
      </c>
      <c r="E121" s="120">
        <f t="array" ref="E121:E121">IF(F121="","",IFERROR(INDEX('1.職能辭典'!$A:$A,MATCH(F121,'1.職能辭典'!$C:$C,0)),""))</f>
        <v/>
      </c>
      <c r="F121" s="94" t="n"/>
      <c r="G121" s="120">
        <f t="array" ref="G121:G121">IF(OR(D121="",F121=""),"",IFERROR(IF(AND(OR(INDEX('1.職能辭典'!$J:$J,MATCH(F121,'1.職能辭典'!$C:$C,0))="全部",INDEX('3.員工名單'!$H:$H,MATCH(A121,'3.員工名單'!$A:$A,0))="兩款共用",INDEX('3.員工名單'!$H:$H,MATCH(A121,'3.員工名單'!$A:$A,0))=INDEX('1.職能辭典'!$J:$J,MATCH(F121,'1.職能辭典'!$C:$C,0))),OR(INDEX('1.職能辭典'!$K:$K,MATCH(F121,'1.職能辭典'!$C:$C,0))="全部",SUMPRODUCT(ISNUMBER(SEARCH({"經營","管理","財務","企劃","營運","技術","數據","美術","測試","客服"},INDEX('3.員工名單'!$I:$I,MATCH(A121,'3.員工名單'!$A:$A,0))))*ISNUMBER(SEARCH({"經營","管理","財務","企劃","營運","技術","數據","美術","測試","客服"},INDEX('1.職能辭典'!$K:$K,MATCH(F121,'1.職能辭典'!$C:$C,0)))))&gt;0)),INDEX('2.職務職能需求'!$B$2:$F$28,MATCH(F121,'2.職務職能需求'!$A$2:$A$28,0),MATCH(D121,'2.職務職能需求'!$B$1:$F$1,0)),0),""))</f>
        <v/>
      </c>
      <c r="H121" s="94" t="n"/>
      <c r="I121" s="94" t="n"/>
      <c r="J121" s="120">
        <f>IF(OR(G121="",I121="",G121=0),"",I121-G121)</f>
        <v/>
      </c>
      <c r="K121" s="120">
        <f>IF(G121="","",IF(G121=0,"不適用",IF(I121="","待評核",IF(I121&gt;=G121,IF(I121&gt;G121,"超越","達標"),"待發展"))))</f>
        <v/>
      </c>
      <c r="L121" s="91" t="n"/>
      <c r="M121" s="91" t="n"/>
      <c r="N121" s="88" t="n"/>
    </row>
    <row r="122" ht="15.75" customHeight="1" s="64">
      <c r="A122" s="88" t="n"/>
      <c r="B122" s="120">
        <f t="array" ref="B122:B122">IF(A122="","",IFERROR(INDEX('3.員工名單'!$B:$B,MATCH(A122,'3.員工名單'!$A:$A,0)),"查無此員工"))</f>
        <v/>
      </c>
      <c r="C122" s="120">
        <f t="array" ref="C122:C122">IF(A122="","",IFERROR(INDEX('3.員工名單'!$C:$C,MATCH(A122,'3.員工名單'!$A:$A,0)),""))</f>
        <v/>
      </c>
      <c r="D122" s="120">
        <f t="array" ref="D122:D122">IF(A122="","",IFERROR(INDEX('3.員工名單'!$D:$D,MATCH(A122,'3.員工名單'!$A:$A,0)),""))</f>
        <v/>
      </c>
      <c r="E122" s="120">
        <f t="array" ref="E122:E122">IF(F122="","",IFERROR(INDEX('1.職能辭典'!$A:$A,MATCH(F122,'1.職能辭典'!$C:$C,0)),""))</f>
        <v/>
      </c>
      <c r="F122" s="94" t="n"/>
      <c r="G122" s="120">
        <f t="array" ref="G122:G122">IF(OR(D122="",F122=""),"",IFERROR(IF(AND(OR(INDEX('1.職能辭典'!$J:$J,MATCH(F122,'1.職能辭典'!$C:$C,0))="全部",INDEX('3.員工名單'!$H:$H,MATCH(A122,'3.員工名單'!$A:$A,0))="兩款共用",INDEX('3.員工名單'!$H:$H,MATCH(A122,'3.員工名單'!$A:$A,0))=INDEX('1.職能辭典'!$J:$J,MATCH(F122,'1.職能辭典'!$C:$C,0))),OR(INDEX('1.職能辭典'!$K:$K,MATCH(F122,'1.職能辭典'!$C:$C,0))="全部",SUMPRODUCT(ISNUMBER(SEARCH({"經營","管理","財務","企劃","營運","技術","數據","美術","測試","客服"},INDEX('3.員工名單'!$I:$I,MATCH(A122,'3.員工名單'!$A:$A,0))))*ISNUMBER(SEARCH({"經營","管理","財務","企劃","營運","技術","數據","美術","測試","客服"},INDEX('1.職能辭典'!$K:$K,MATCH(F122,'1.職能辭典'!$C:$C,0)))))&gt;0)),INDEX('2.職務職能需求'!$B$2:$F$28,MATCH(F122,'2.職務職能需求'!$A$2:$A$28,0),MATCH(D122,'2.職務職能需求'!$B$1:$F$1,0)),0),""))</f>
        <v/>
      </c>
      <c r="H122" s="94" t="n"/>
      <c r="I122" s="94" t="n"/>
      <c r="J122" s="120">
        <f>IF(OR(G122="",I122="",G122=0),"",I122-G122)</f>
        <v/>
      </c>
      <c r="K122" s="120">
        <f>IF(G122="","",IF(G122=0,"不適用",IF(I122="","待評核",IF(I122&gt;=G122,IF(I122&gt;G122,"超越","達標"),"待發展"))))</f>
        <v/>
      </c>
      <c r="L122" s="91" t="n"/>
      <c r="M122" s="91" t="n"/>
      <c r="N122" s="88" t="n"/>
    </row>
    <row r="123" ht="15.75" customHeight="1" s="64">
      <c r="A123" s="88" t="n"/>
      <c r="B123" s="120">
        <f t="array" ref="B123:B123">IF(A123="","",IFERROR(INDEX('3.員工名單'!$B:$B,MATCH(A123,'3.員工名單'!$A:$A,0)),"查無此員工"))</f>
        <v/>
      </c>
      <c r="C123" s="120">
        <f t="array" ref="C123:C123">IF(A123="","",IFERROR(INDEX('3.員工名單'!$C:$C,MATCH(A123,'3.員工名單'!$A:$A,0)),""))</f>
        <v/>
      </c>
      <c r="D123" s="120">
        <f t="array" ref="D123:D123">IF(A123="","",IFERROR(INDEX('3.員工名單'!$D:$D,MATCH(A123,'3.員工名單'!$A:$A,0)),""))</f>
        <v/>
      </c>
      <c r="E123" s="120">
        <f t="array" ref="E123:E123">IF(F123="","",IFERROR(INDEX('1.職能辭典'!$A:$A,MATCH(F123,'1.職能辭典'!$C:$C,0)),""))</f>
        <v/>
      </c>
      <c r="F123" s="94" t="n"/>
      <c r="G123" s="120">
        <f t="array" ref="G123:G123">IF(OR(D123="",F123=""),"",IFERROR(IF(AND(OR(INDEX('1.職能辭典'!$J:$J,MATCH(F123,'1.職能辭典'!$C:$C,0))="全部",INDEX('3.員工名單'!$H:$H,MATCH(A123,'3.員工名單'!$A:$A,0))="兩款共用",INDEX('3.員工名單'!$H:$H,MATCH(A123,'3.員工名單'!$A:$A,0))=INDEX('1.職能辭典'!$J:$J,MATCH(F123,'1.職能辭典'!$C:$C,0))),OR(INDEX('1.職能辭典'!$K:$K,MATCH(F123,'1.職能辭典'!$C:$C,0))="全部",SUMPRODUCT(ISNUMBER(SEARCH({"經營","管理","財務","企劃","營運","技術","數據","美術","測試","客服"},INDEX('3.員工名單'!$I:$I,MATCH(A123,'3.員工名單'!$A:$A,0))))*ISNUMBER(SEARCH({"經營","管理","財務","企劃","營運","技術","數據","美術","測試","客服"},INDEX('1.職能辭典'!$K:$K,MATCH(F123,'1.職能辭典'!$C:$C,0)))))&gt;0)),INDEX('2.職務職能需求'!$B$2:$F$28,MATCH(F123,'2.職務職能需求'!$A$2:$A$28,0),MATCH(D123,'2.職務職能需求'!$B$1:$F$1,0)),0),""))</f>
        <v/>
      </c>
      <c r="H123" s="94" t="n"/>
      <c r="I123" s="94" t="n"/>
      <c r="J123" s="120">
        <f>IF(OR(G123="",I123="",G123=0),"",I123-G123)</f>
        <v/>
      </c>
      <c r="K123" s="120">
        <f>IF(G123="","",IF(G123=0,"不適用",IF(I123="","待評核",IF(I123&gt;=G123,IF(I123&gt;G123,"超越","達標"),"待發展"))))</f>
        <v/>
      </c>
      <c r="L123" s="91" t="n"/>
      <c r="M123" s="91" t="n"/>
      <c r="N123" s="88" t="n"/>
    </row>
    <row r="124" ht="15.75" customHeight="1" s="64">
      <c r="A124" s="88" t="n"/>
      <c r="B124" s="120">
        <f t="array" ref="B124:B124">IF(A124="","",IFERROR(INDEX('3.員工名單'!$B:$B,MATCH(A124,'3.員工名單'!$A:$A,0)),"查無此員工"))</f>
        <v/>
      </c>
      <c r="C124" s="120">
        <f t="array" ref="C124:C124">IF(A124="","",IFERROR(INDEX('3.員工名單'!$C:$C,MATCH(A124,'3.員工名單'!$A:$A,0)),""))</f>
        <v/>
      </c>
      <c r="D124" s="120">
        <f t="array" ref="D124:D124">IF(A124="","",IFERROR(INDEX('3.員工名單'!$D:$D,MATCH(A124,'3.員工名單'!$A:$A,0)),""))</f>
        <v/>
      </c>
      <c r="E124" s="120">
        <f t="array" ref="E124:E124">IF(F124="","",IFERROR(INDEX('1.職能辭典'!$A:$A,MATCH(F124,'1.職能辭典'!$C:$C,0)),""))</f>
        <v/>
      </c>
      <c r="F124" s="94" t="n"/>
      <c r="G124" s="120">
        <f t="array" ref="G124:G124">IF(OR(D124="",F124=""),"",IFERROR(IF(AND(OR(INDEX('1.職能辭典'!$J:$J,MATCH(F124,'1.職能辭典'!$C:$C,0))="全部",INDEX('3.員工名單'!$H:$H,MATCH(A124,'3.員工名單'!$A:$A,0))="兩款共用",INDEX('3.員工名單'!$H:$H,MATCH(A124,'3.員工名單'!$A:$A,0))=INDEX('1.職能辭典'!$J:$J,MATCH(F124,'1.職能辭典'!$C:$C,0))),OR(INDEX('1.職能辭典'!$K:$K,MATCH(F124,'1.職能辭典'!$C:$C,0))="全部",SUMPRODUCT(ISNUMBER(SEARCH({"經營","管理","財務","企劃","營運","技術","數據","美術","測試","客服"},INDEX('3.員工名單'!$I:$I,MATCH(A124,'3.員工名單'!$A:$A,0))))*ISNUMBER(SEARCH({"經營","管理","財務","企劃","營運","技術","數據","美術","測試","客服"},INDEX('1.職能辭典'!$K:$K,MATCH(F124,'1.職能辭典'!$C:$C,0)))))&gt;0)),INDEX('2.職務職能需求'!$B$2:$F$28,MATCH(F124,'2.職務職能需求'!$A$2:$A$28,0),MATCH(D124,'2.職務職能需求'!$B$1:$F$1,0)),0),""))</f>
        <v/>
      </c>
      <c r="H124" s="94" t="n"/>
      <c r="I124" s="94" t="n"/>
      <c r="J124" s="120">
        <f>IF(OR(G124="",I124="",G124=0),"",I124-G124)</f>
        <v/>
      </c>
      <c r="K124" s="120">
        <f>IF(G124="","",IF(G124=0,"不適用",IF(I124="","待評核",IF(I124&gt;=G124,IF(I124&gt;G124,"超越","達標"),"待發展"))))</f>
        <v/>
      </c>
      <c r="L124" s="91" t="n"/>
      <c r="M124" s="91" t="n"/>
      <c r="N124" s="88" t="n"/>
    </row>
    <row r="125" ht="15.75" customHeight="1" s="64">
      <c r="A125" s="88" t="n"/>
      <c r="B125" s="120">
        <f t="array" ref="B125:B125">IF(A125="","",IFERROR(INDEX('3.員工名單'!$B:$B,MATCH(A125,'3.員工名單'!$A:$A,0)),"查無此員工"))</f>
        <v/>
      </c>
      <c r="C125" s="120">
        <f t="array" ref="C125:C125">IF(A125="","",IFERROR(INDEX('3.員工名單'!$C:$C,MATCH(A125,'3.員工名單'!$A:$A,0)),""))</f>
        <v/>
      </c>
      <c r="D125" s="120">
        <f t="array" ref="D125:D125">IF(A125="","",IFERROR(INDEX('3.員工名單'!$D:$D,MATCH(A125,'3.員工名單'!$A:$A,0)),""))</f>
        <v/>
      </c>
      <c r="E125" s="120">
        <f t="array" ref="E125:E125">IF(F125="","",IFERROR(INDEX('1.職能辭典'!$A:$A,MATCH(F125,'1.職能辭典'!$C:$C,0)),""))</f>
        <v/>
      </c>
      <c r="F125" s="94" t="n"/>
      <c r="G125" s="120">
        <f t="array" ref="G125:G125">IF(OR(D125="",F125=""),"",IFERROR(IF(AND(OR(INDEX('1.職能辭典'!$J:$J,MATCH(F125,'1.職能辭典'!$C:$C,0))="全部",INDEX('3.員工名單'!$H:$H,MATCH(A125,'3.員工名單'!$A:$A,0))="兩款共用",INDEX('3.員工名單'!$H:$H,MATCH(A125,'3.員工名單'!$A:$A,0))=INDEX('1.職能辭典'!$J:$J,MATCH(F125,'1.職能辭典'!$C:$C,0))),OR(INDEX('1.職能辭典'!$K:$K,MATCH(F125,'1.職能辭典'!$C:$C,0))="全部",SUMPRODUCT(ISNUMBER(SEARCH({"經營","管理","財務","企劃","營運","技術","數據","美術","測試","客服"},INDEX('3.員工名單'!$I:$I,MATCH(A125,'3.員工名單'!$A:$A,0))))*ISNUMBER(SEARCH({"經營","管理","財務","企劃","營運","技術","數據","美術","測試","客服"},INDEX('1.職能辭典'!$K:$K,MATCH(F125,'1.職能辭典'!$C:$C,0)))))&gt;0)),INDEX('2.職務職能需求'!$B$2:$F$28,MATCH(F125,'2.職務職能需求'!$A$2:$A$28,0),MATCH(D125,'2.職務職能需求'!$B$1:$F$1,0)),0),""))</f>
        <v/>
      </c>
      <c r="H125" s="94" t="n"/>
      <c r="I125" s="94" t="n"/>
      <c r="J125" s="120">
        <f>IF(OR(G125="",I125="",G125=0),"",I125-G125)</f>
        <v/>
      </c>
      <c r="K125" s="120">
        <f>IF(G125="","",IF(G125=0,"不適用",IF(I125="","待評核",IF(I125&gt;=G125,IF(I125&gt;G125,"超越","達標"),"待發展"))))</f>
        <v/>
      </c>
      <c r="L125" s="91" t="n"/>
      <c r="M125" s="91" t="n"/>
      <c r="N125" s="88" t="n"/>
    </row>
    <row r="126" ht="15.75" customHeight="1" s="64">
      <c r="A126" s="88" t="n"/>
      <c r="B126" s="120">
        <f t="array" ref="B126:B126">IF(A126="","",IFERROR(INDEX('3.員工名單'!$B:$B,MATCH(A126,'3.員工名單'!$A:$A,0)),"查無此員工"))</f>
        <v/>
      </c>
      <c r="C126" s="120">
        <f t="array" ref="C126:C126">IF(A126="","",IFERROR(INDEX('3.員工名單'!$C:$C,MATCH(A126,'3.員工名單'!$A:$A,0)),""))</f>
        <v/>
      </c>
      <c r="D126" s="120">
        <f t="array" ref="D126:D126">IF(A126="","",IFERROR(INDEX('3.員工名單'!$D:$D,MATCH(A126,'3.員工名單'!$A:$A,0)),""))</f>
        <v/>
      </c>
      <c r="E126" s="120">
        <f t="array" ref="E126:E126">IF(F126="","",IFERROR(INDEX('1.職能辭典'!$A:$A,MATCH(F126,'1.職能辭典'!$C:$C,0)),""))</f>
        <v/>
      </c>
      <c r="F126" s="94" t="n"/>
      <c r="G126" s="120">
        <f t="array" ref="G126:G126">IF(OR(D126="",F126=""),"",IFERROR(IF(AND(OR(INDEX('1.職能辭典'!$J:$J,MATCH(F126,'1.職能辭典'!$C:$C,0))="全部",INDEX('3.員工名單'!$H:$H,MATCH(A126,'3.員工名單'!$A:$A,0))="兩款共用",INDEX('3.員工名單'!$H:$H,MATCH(A126,'3.員工名單'!$A:$A,0))=INDEX('1.職能辭典'!$J:$J,MATCH(F126,'1.職能辭典'!$C:$C,0))),OR(INDEX('1.職能辭典'!$K:$K,MATCH(F126,'1.職能辭典'!$C:$C,0))="全部",SUMPRODUCT(ISNUMBER(SEARCH({"經營","管理","財務","企劃","營運","技術","數據","美術","測試","客服"},INDEX('3.員工名單'!$I:$I,MATCH(A126,'3.員工名單'!$A:$A,0))))*ISNUMBER(SEARCH({"經營","管理","財務","企劃","營運","技術","數據","美術","測試","客服"},INDEX('1.職能辭典'!$K:$K,MATCH(F126,'1.職能辭典'!$C:$C,0)))))&gt;0)),INDEX('2.職務職能需求'!$B$2:$F$28,MATCH(F126,'2.職務職能需求'!$A$2:$A$28,0),MATCH(D126,'2.職務職能需求'!$B$1:$F$1,0)),0),""))</f>
        <v/>
      </c>
      <c r="H126" s="94" t="n"/>
      <c r="I126" s="94" t="n"/>
      <c r="J126" s="120">
        <f>IF(OR(G126="",I126="",G126=0),"",I126-G126)</f>
        <v/>
      </c>
      <c r="K126" s="120">
        <f>IF(G126="","",IF(G126=0,"不適用",IF(I126="","待評核",IF(I126&gt;=G126,IF(I126&gt;G126,"超越","達標"),"待發展"))))</f>
        <v/>
      </c>
      <c r="L126" s="91" t="n"/>
      <c r="M126" s="91" t="n"/>
      <c r="N126" s="88" t="n"/>
    </row>
    <row r="127" ht="15.75" customHeight="1" s="64">
      <c r="A127" s="88" t="n"/>
      <c r="B127" s="120">
        <f t="array" ref="B127:B127">IF(A127="","",IFERROR(INDEX('3.員工名單'!$B:$B,MATCH(A127,'3.員工名單'!$A:$A,0)),"查無此員工"))</f>
        <v/>
      </c>
      <c r="C127" s="120">
        <f t="array" ref="C127:C127">IF(A127="","",IFERROR(INDEX('3.員工名單'!$C:$C,MATCH(A127,'3.員工名單'!$A:$A,0)),""))</f>
        <v/>
      </c>
      <c r="D127" s="120">
        <f t="array" ref="D127:D127">IF(A127="","",IFERROR(INDEX('3.員工名單'!$D:$D,MATCH(A127,'3.員工名單'!$A:$A,0)),""))</f>
        <v/>
      </c>
      <c r="E127" s="120">
        <f t="array" ref="E127:E127">IF(F127="","",IFERROR(INDEX('1.職能辭典'!$A:$A,MATCH(F127,'1.職能辭典'!$C:$C,0)),""))</f>
        <v/>
      </c>
      <c r="F127" s="94" t="n"/>
      <c r="G127" s="120">
        <f t="array" ref="G127:G127">IF(OR(D127="",F127=""),"",IFERROR(IF(AND(OR(INDEX('1.職能辭典'!$J:$J,MATCH(F127,'1.職能辭典'!$C:$C,0))="全部",INDEX('3.員工名單'!$H:$H,MATCH(A127,'3.員工名單'!$A:$A,0))="兩款共用",INDEX('3.員工名單'!$H:$H,MATCH(A127,'3.員工名單'!$A:$A,0))=INDEX('1.職能辭典'!$J:$J,MATCH(F127,'1.職能辭典'!$C:$C,0))),OR(INDEX('1.職能辭典'!$K:$K,MATCH(F127,'1.職能辭典'!$C:$C,0))="全部",SUMPRODUCT(ISNUMBER(SEARCH({"經營","管理","財務","企劃","營運","技術","數據","美術","測試","客服"},INDEX('3.員工名單'!$I:$I,MATCH(A127,'3.員工名單'!$A:$A,0))))*ISNUMBER(SEARCH({"經營","管理","財務","企劃","營運","技術","數據","美術","測試","客服"},INDEX('1.職能辭典'!$K:$K,MATCH(F127,'1.職能辭典'!$C:$C,0)))))&gt;0)),INDEX('2.職務職能需求'!$B$2:$F$28,MATCH(F127,'2.職務職能需求'!$A$2:$A$28,0),MATCH(D127,'2.職務職能需求'!$B$1:$F$1,0)),0),""))</f>
        <v/>
      </c>
      <c r="H127" s="94" t="n"/>
      <c r="I127" s="94" t="n"/>
      <c r="J127" s="120">
        <f>IF(OR(G127="",I127="",G127=0),"",I127-G127)</f>
        <v/>
      </c>
      <c r="K127" s="120">
        <f>IF(G127="","",IF(G127=0,"不適用",IF(I127="","待評核",IF(I127&gt;=G127,IF(I127&gt;G127,"超越","達標"),"待發展"))))</f>
        <v/>
      </c>
      <c r="L127" s="91" t="n"/>
      <c r="M127" s="91" t="n"/>
      <c r="N127" s="88" t="n"/>
    </row>
    <row r="128" ht="15.75" customHeight="1" s="64">
      <c r="A128" s="88" t="n"/>
      <c r="B128" s="120">
        <f t="array" ref="B128:B128">IF(A128="","",IFERROR(INDEX('3.員工名單'!$B:$B,MATCH(A128,'3.員工名單'!$A:$A,0)),"查無此員工"))</f>
        <v/>
      </c>
      <c r="C128" s="120">
        <f t="array" ref="C128:C128">IF(A128="","",IFERROR(INDEX('3.員工名單'!$C:$C,MATCH(A128,'3.員工名單'!$A:$A,0)),""))</f>
        <v/>
      </c>
      <c r="D128" s="120">
        <f t="array" ref="D128:D128">IF(A128="","",IFERROR(INDEX('3.員工名單'!$D:$D,MATCH(A128,'3.員工名單'!$A:$A,0)),""))</f>
        <v/>
      </c>
      <c r="E128" s="120">
        <f t="array" ref="E128:E128">IF(F128="","",IFERROR(INDEX('1.職能辭典'!$A:$A,MATCH(F128,'1.職能辭典'!$C:$C,0)),""))</f>
        <v/>
      </c>
      <c r="F128" s="94" t="n"/>
      <c r="G128" s="120">
        <f t="array" ref="G128:G128">IF(OR(D128="",F128=""),"",IFERROR(IF(AND(OR(INDEX('1.職能辭典'!$J:$J,MATCH(F128,'1.職能辭典'!$C:$C,0))="全部",INDEX('3.員工名單'!$H:$H,MATCH(A128,'3.員工名單'!$A:$A,0))="兩款共用",INDEX('3.員工名單'!$H:$H,MATCH(A128,'3.員工名單'!$A:$A,0))=INDEX('1.職能辭典'!$J:$J,MATCH(F128,'1.職能辭典'!$C:$C,0))),OR(INDEX('1.職能辭典'!$K:$K,MATCH(F128,'1.職能辭典'!$C:$C,0))="全部",SUMPRODUCT(ISNUMBER(SEARCH({"經營","管理","財務","企劃","營運","技術","數據","美術","測試","客服"},INDEX('3.員工名單'!$I:$I,MATCH(A128,'3.員工名單'!$A:$A,0))))*ISNUMBER(SEARCH({"經營","管理","財務","企劃","營運","技術","數據","美術","測試","客服"},INDEX('1.職能辭典'!$K:$K,MATCH(F128,'1.職能辭典'!$C:$C,0)))))&gt;0)),INDEX('2.職務職能需求'!$B$2:$F$28,MATCH(F128,'2.職務職能需求'!$A$2:$A$28,0),MATCH(D128,'2.職務職能需求'!$B$1:$F$1,0)),0),""))</f>
        <v/>
      </c>
      <c r="H128" s="94" t="n"/>
      <c r="I128" s="94" t="n"/>
      <c r="J128" s="120">
        <f>IF(OR(G128="",I128="",G128=0),"",I128-G128)</f>
        <v/>
      </c>
      <c r="K128" s="120">
        <f>IF(G128="","",IF(G128=0,"不適用",IF(I128="","待評核",IF(I128&gt;=G128,IF(I128&gt;G128,"超越","達標"),"待發展"))))</f>
        <v/>
      </c>
      <c r="L128" s="91" t="n"/>
      <c r="M128" s="91" t="n"/>
      <c r="N128" s="88" t="n"/>
    </row>
    <row r="129" ht="15.75" customHeight="1" s="64">
      <c r="A129" s="88" t="n"/>
      <c r="B129" s="120">
        <f t="array" ref="B129:B129">IF(A129="","",IFERROR(INDEX('3.員工名單'!$B:$B,MATCH(A129,'3.員工名單'!$A:$A,0)),"查無此員工"))</f>
        <v/>
      </c>
      <c r="C129" s="120">
        <f t="array" ref="C129:C129">IF(A129="","",IFERROR(INDEX('3.員工名單'!$C:$C,MATCH(A129,'3.員工名單'!$A:$A,0)),""))</f>
        <v/>
      </c>
      <c r="D129" s="120">
        <f t="array" ref="D129:D129">IF(A129="","",IFERROR(INDEX('3.員工名單'!$D:$D,MATCH(A129,'3.員工名單'!$A:$A,0)),""))</f>
        <v/>
      </c>
      <c r="E129" s="120">
        <f t="array" ref="E129:E129">IF(F129="","",IFERROR(INDEX('1.職能辭典'!$A:$A,MATCH(F129,'1.職能辭典'!$C:$C,0)),""))</f>
        <v/>
      </c>
      <c r="F129" s="94" t="n"/>
      <c r="G129" s="120">
        <f t="array" ref="G129:G129">IF(OR(D129="",F129=""),"",IFERROR(IF(AND(OR(INDEX('1.職能辭典'!$J:$J,MATCH(F129,'1.職能辭典'!$C:$C,0))="全部",INDEX('3.員工名單'!$H:$H,MATCH(A129,'3.員工名單'!$A:$A,0))="兩款共用",INDEX('3.員工名單'!$H:$H,MATCH(A129,'3.員工名單'!$A:$A,0))=INDEX('1.職能辭典'!$J:$J,MATCH(F129,'1.職能辭典'!$C:$C,0))),OR(INDEX('1.職能辭典'!$K:$K,MATCH(F129,'1.職能辭典'!$C:$C,0))="全部",SUMPRODUCT(ISNUMBER(SEARCH({"經營","管理","財務","企劃","營運","技術","數據","美術","測試","客服"},INDEX('3.員工名單'!$I:$I,MATCH(A129,'3.員工名單'!$A:$A,0))))*ISNUMBER(SEARCH({"經營","管理","財務","企劃","營運","技術","數據","美術","測試","客服"},INDEX('1.職能辭典'!$K:$K,MATCH(F129,'1.職能辭典'!$C:$C,0)))))&gt;0)),INDEX('2.職務職能需求'!$B$2:$F$28,MATCH(F129,'2.職務職能需求'!$A$2:$A$28,0),MATCH(D129,'2.職務職能需求'!$B$1:$F$1,0)),0),""))</f>
        <v/>
      </c>
      <c r="H129" s="94" t="n"/>
      <c r="I129" s="94" t="n"/>
      <c r="J129" s="120">
        <f>IF(OR(G129="",I129="",G129=0),"",I129-G129)</f>
        <v/>
      </c>
      <c r="K129" s="120">
        <f>IF(G129="","",IF(G129=0,"不適用",IF(I129="","待評核",IF(I129&gt;=G129,IF(I129&gt;G129,"超越","達標"),"待發展"))))</f>
        <v/>
      </c>
      <c r="L129" s="91" t="n"/>
      <c r="M129" s="91" t="n"/>
      <c r="N129" s="88" t="n"/>
    </row>
    <row r="130" ht="15.75" customHeight="1" s="64">
      <c r="A130" s="88" t="n"/>
      <c r="B130" s="120">
        <f t="array" ref="B130:B130">IF(A130="","",IFERROR(INDEX('3.員工名單'!$B:$B,MATCH(A130,'3.員工名單'!$A:$A,0)),"查無此員工"))</f>
        <v/>
      </c>
      <c r="C130" s="120">
        <f t="array" ref="C130:C130">IF(A130="","",IFERROR(INDEX('3.員工名單'!$C:$C,MATCH(A130,'3.員工名單'!$A:$A,0)),""))</f>
        <v/>
      </c>
      <c r="D130" s="120">
        <f t="array" ref="D130:D130">IF(A130="","",IFERROR(INDEX('3.員工名單'!$D:$D,MATCH(A130,'3.員工名單'!$A:$A,0)),""))</f>
        <v/>
      </c>
      <c r="E130" s="120">
        <f t="array" ref="E130:E130">IF(F130="","",IFERROR(INDEX('1.職能辭典'!$A:$A,MATCH(F130,'1.職能辭典'!$C:$C,0)),""))</f>
        <v/>
      </c>
      <c r="F130" s="94" t="n"/>
      <c r="G130" s="120">
        <f t="array" ref="G130:G130">IF(OR(D130="",F130=""),"",IFERROR(IF(AND(OR(INDEX('1.職能辭典'!$J:$J,MATCH(F130,'1.職能辭典'!$C:$C,0))="全部",INDEX('3.員工名單'!$H:$H,MATCH(A130,'3.員工名單'!$A:$A,0))="兩款共用",INDEX('3.員工名單'!$H:$H,MATCH(A130,'3.員工名單'!$A:$A,0))=INDEX('1.職能辭典'!$J:$J,MATCH(F130,'1.職能辭典'!$C:$C,0))),OR(INDEX('1.職能辭典'!$K:$K,MATCH(F130,'1.職能辭典'!$C:$C,0))="全部",SUMPRODUCT(ISNUMBER(SEARCH({"經營","管理","財務","企劃","營運","技術","數據","美術","測試","客服"},INDEX('3.員工名單'!$I:$I,MATCH(A130,'3.員工名單'!$A:$A,0))))*ISNUMBER(SEARCH({"經營","管理","財務","企劃","營運","技術","數據","美術","測試","客服"},INDEX('1.職能辭典'!$K:$K,MATCH(F130,'1.職能辭典'!$C:$C,0)))))&gt;0)),INDEX('2.職務職能需求'!$B$2:$F$28,MATCH(F130,'2.職務職能需求'!$A$2:$A$28,0),MATCH(D130,'2.職務職能需求'!$B$1:$F$1,0)),0),""))</f>
        <v/>
      </c>
      <c r="H130" s="94" t="n"/>
      <c r="I130" s="94" t="n"/>
      <c r="J130" s="120">
        <f>IF(OR(G130="",I130="",G130=0),"",I130-G130)</f>
        <v/>
      </c>
      <c r="K130" s="120">
        <f>IF(G130="","",IF(G130=0,"不適用",IF(I130="","待評核",IF(I130&gt;=G130,IF(I130&gt;G130,"超越","達標"),"待發展"))))</f>
        <v/>
      </c>
      <c r="L130" s="91" t="n"/>
      <c r="M130" s="91" t="n"/>
      <c r="N130" s="88" t="n"/>
    </row>
    <row r="131" ht="15.75" customHeight="1" s="64">
      <c r="A131" s="88" t="n"/>
      <c r="B131" s="120">
        <f t="array" ref="B131:B131">IF(A131="","",IFERROR(INDEX('3.員工名單'!$B:$B,MATCH(A131,'3.員工名單'!$A:$A,0)),"查無此員工"))</f>
        <v/>
      </c>
      <c r="C131" s="120">
        <f t="array" ref="C131:C131">IF(A131="","",IFERROR(INDEX('3.員工名單'!$C:$C,MATCH(A131,'3.員工名單'!$A:$A,0)),""))</f>
        <v/>
      </c>
      <c r="D131" s="120">
        <f t="array" ref="D131:D131">IF(A131="","",IFERROR(INDEX('3.員工名單'!$D:$D,MATCH(A131,'3.員工名單'!$A:$A,0)),""))</f>
        <v/>
      </c>
      <c r="E131" s="120">
        <f t="array" ref="E131:E131">IF(F131="","",IFERROR(INDEX('1.職能辭典'!$A:$A,MATCH(F131,'1.職能辭典'!$C:$C,0)),""))</f>
        <v/>
      </c>
      <c r="F131" s="94" t="n"/>
      <c r="G131" s="120">
        <f t="array" ref="G131:G131">IF(OR(D131="",F131=""),"",IFERROR(IF(AND(OR(INDEX('1.職能辭典'!$J:$J,MATCH(F131,'1.職能辭典'!$C:$C,0))="全部",INDEX('3.員工名單'!$H:$H,MATCH(A131,'3.員工名單'!$A:$A,0))="兩款共用",INDEX('3.員工名單'!$H:$H,MATCH(A131,'3.員工名單'!$A:$A,0))=INDEX('1.職能辭典'!$J:$J,MATCH(F131,'1.職能辭典'!$C:$C,0))),OR(INDEX('1.職能辭典'!$K:$K,MATCH(F131,'1.職能辭典'!$C:$C,0))="全部",SUMPRODUCT(ISNUMBER(SEARCH({"經營","管理","財務","企劃","營運","技術","數據","美術","測試","客服"},INDEX('3.員工名單'!$I:$I,MATCH(A131,'3.員工名單'!$A:$A,0))))*ISNUMBER(SEARCH({"經營","管理","財務","企劃","營運","技術","數據","美術","測試","客服"},INDEX('1.職能辭典'!$K:$K,MATCH(F131,'1.職能辭典'!$C:$C,0)))))&gt;0)),INDEX('2.職務職能需求'!$B$2:$F$28,MATCH(F131,'2.職務職能需求'!$A$2:$A$28,0),MATCH(D131,'2.職務職能需求'!$B$1:$F$1,0)),0),""))</f>
        <v/>
      </c>
      <c r="H131" s="94" t="n"/>
      <c r="I131" s="94" t="n"/>
      <c r="J131" s="120">
        <f>IF(OR(G131="",I131="",G131=0),"",I131-G131)</f>
        <v/>
      </c>
      <c r="K131" s="120">
        <f>IF(G131="","",IF(G131=0,"不適用",IF(I131="","待評核",IF(I131&gt;=G131,IF(I131&gt;G131,"超越","達標"),"待發展"))))</f>
        <v/>
      </c>
      <c r="L131" s="91" t="n"/>
      <c r="M131" s="91" t="n"/>
      <c r="N131" s="88" t="n"/>
    </row>
    <row r="132" ht="15.75" customHeight="1" s="64">
      <c r="A132" s="88" t="n"/>
      <c r="B132" s="120">
        <f t="array" ref="B132:B132">IF(A132="","",IFERROR(INDEX('3.員工名單'!$B:$B,MATCH(A132,'3.員工名單'!$A:$A,0)),"查無此員工"))</f>
        <v/>
      </c>
      <c r="C132" s="120">
        <f t="array" ref="C132:C132">IF(A132="","",IFERROR(INDEX('3.員工名單'!$C:$C,MATCH(A132,'3.員工名單'!$A:$A,0)),""))</f>
        <v/>
      </c>
      <c r="D132" s="120">
        <f t="array" ref="D132:D132">IF(A132="","",IFERROR(INDEX('3.員工名單'!$D:$D,MATCH(A132,'3.員工名單'!$A:$A,0)),""))</f>
        <v/>
      </c>
      <c r="E132" s="120">
        <f t="array" ref="E132:E132">IF(F132="","",IFERROR(INDEX('1.職能辭典'!$A:$A,MATCH(F132,'1.職能辭典'!$C:$C,0)),""))</f>
        <v/>
      </c>
      <c r="F132" s="94" t="n"/>
      <c r="G132" s="120">
        <f t="array" ref="G132:G132">IF(OR(D132="",F132=""),"",IFERROR(IF(AND(OR(INDEX('1.職能辭典'!$J:$J,MATCH(F132,'1.職能辭典'!$C:$C,0))="全部",INDEX('3.員工名單'!$H:$H,MATCH(A132,'3.員工名單'!$A:$A,0))="兩款共用",INDEX('3.員工名單'!$H:$H,MATCH(A132,'3.員工名單'!$A:$A,0))=INDEX('1.職能辭典'!$J:$J,MATCH(F132,'1.職能辭典'!$C:$C,0))),OR(INDEX('1.職能辭典'!$K:$K,MATCH(F132,'1.職能辭典'!$C:$C,0))="全部",SUMPRODUCT(ISNUMBER(SEARCH({"經營","管理","財務","企劃","營運","技術","數據","美術","測試","客服"},INDEX('3.員工名單'!$I:$I,MATCH(A132,'3.員工名單'!$A:$A,0))))*ISNUMBER(SEARCH({"經營","管理","財務","企劃","營運","技術","數據","美術","測試","客服"},INDEX('1.職能辭典'!$K:$K,MATCH(F132,'1.職能辭典'!$C:$C,0)))))&gt;0)),INDEX('2.職務職能需求'!$B$2:$F$28,MATCH(F132,'2.職務職能需求'!$A$2:$A$28,0),MATCH(D132,'2.職務職能需求'!$B$1:$F$1,0)),0),""))</f>
        <v/>
      </c>
      <c r="H132" s="94" t="n"/>
      <c r="I132" s="94" t="n"/>
      <c r="J132" s="120">
        <f>IF(OR(G132="",I132="",G132=0),"",I132-G132)</f>
        <v/>
      </c>
      <c r="K132" s="120">
        <f>IF(G132="","",IF(G132=0,"不適用",IF(I132="","待評核",IF(I132&gt;=G132,IF(I132&gt;G132,"超越","達標"),"待發展"))))</f>
        <v/>
      </c>
      <c r="L132" s="91" t="n"/>
      <c r="M132" s="91" t="n"/>
      <c r="N132" s="88" t="n"/>
    </row>
    <row r="133" ht="15.75" customHeight="1" s="64">
      <c r="A133" s="88" t="n"/>
      <c r="B133" s="120">
        <f t="array" ref="B133:B133">IF(A133="","",IFERROR(INDEX('3.員工名單'!$B:$B,MATCH(A133,'3.員工名單'!$A:$A,0)),"查無此員工"))</f>
        <v/>
      </c>
      <c r="C133" s="120">
        <f t="array" ref="C133:C133">IF(A133="","",IFERROR(INDEX('3.員工名單'!$C:$C,MATCH(A133,'3.員工名單'!$A:$A,0)),""))</f>
        <v/>
      </c>
      <c r="D133" s="120">
        <f t="array" ref="D133:D133">IF(A133="","",IFERROR(INDEX('3.員工名單'!$D:$D,MATCH(A133,'3.員工名單'!$A:$A,0)),""))</f>
        <v/>
      </c>
      <c r="E133" s="120">
        <f t="array" ref="E133:E133">IF(F133="","",IFERROR(INDEX('1.職能辭典'!$A:$A,MATCH(F133,'1.職能辭典'!$C:$C,0)),""))</f>
        <v/>
      </c>
      <c r="F133" s="94" t="n"/>
      <c r="G133" s="120">
        <f t="array" ref="G133:G133">IF(OR(D133="",F133=""),"",IFERROR(IF(AND(OR(INDEX('1.職能辭典'!$J:$J,MATCH(F133,'1.職能辭典'!$C:$C,0))="全部",INDEX('3.員工名單'!$H:$H,MATCH(A133,'3.員工名單'!$A:$A,0))="兩款共用",INDEX('3.員工名單'!$H:$H,MATCH(A133,'3.員工名單'!$A:$A,0))=INDEX('1.職能辭典'!$J:$J,MATCH(F133,'1.職能辭典'!$C:$C,0))),OR(INDEX('1.職能辭典'!$K:$K,MATCH(F133,'1.職能辭典'!$C:$C,0))="全部",SUMPRODUCT(ISNUMBER(SEARCH({"經營","管理","財務","企劃","營運","技術","數據","美術","測試","客服"},INDEX('3.員工名單'!$I:$I,MATCH(A133,'3.員工名單'!$A:$A,0))))*ISNUMBER(SEARCH({"經營","管理","財務","企劃","營運","技術","數據","美術","測試","客服"},INDEX('1.職能辭典'!$K:$K,MATCH(F133,'1.職能辭典'!$C:$C,0)))))&gt;0)),INDEX('2.職務職能需求'!$B$2:$F$28,MATCH(F133,'2.職務職能需求'!$A$2:$A$28,0),MATCH(D133,'2.職務職能需求'!$B$1:$F$1,0)),0),""))</f>
        <v/>
      </c>
      <c r="H133" s="94" t="n"/>
      <c r="I133" s="94" t="n"/>
      <c r="J133" s="120">
        <f>IF(OR(G133="",I133="",G133=0),"",I133-G133)</f>
        <v/>
      </c>
      <c r="K133" s="120">
        <f>IF(G133="","",IF(G133=0,"不適用",IF(I133="","待評核",IF(I133&gt;=G133,IF(I133&gt;G133,"超越","達標"),"待發展"))))</f>
        <v/>
      </c>
      <c r="L133" s="91" t="n"/>
      <c r="M133" s="91" t="n"/>
      <c r="N133" s="88" t="n"/>
    </row>
    <row r="134" ht="15.75" customHeight="1" s="64">
      <c r="A134" s="88" t="n"/>
      <c r="B134" s="120">
        <f t="array" ref="B134:B134">IF(A134="","",IFERROR(INDEX('3.員工名單'!$B:$B,MATCH(A134,'3.員工名單'!$A:$A,0)),"查無此員工"))</f>
        <v/>
      </c>
      <c r="C134" s="120">
        <f t="array" ref="C134:C134">IF(A134="","",IFERROR(INDEX('3.員工名單'!$C:$C,MATCH(A134,'3.員工名單'!$A:$A,0)),""))</f>
        <v/>
      </c>
      <c r="D134" s="120">
        <f t="array" ref="D134:D134">IF(A134="","",IFERROR(INDEX('3.員工名單'!$D:$D,MATCH(A134,'3.員工名單'!$A:$A,0)),""))</f>
        <v/>
      </c>
      <c r="E134" s="120">
        <f t="array" ref="E134:E134">IF(F134="","",IFERROR(INDEX('1.職能辭典'!$A:$A,MATCH(F134,'1.職能辭典'!$C:$C,0)),""))</f>
        <v/>
      </c>
      <c r="F134" s="94" t="n"/>
      <c r="G134" s="120">
        <f t="array" ref="G134:G134">IF(OR(D134="",F134=""),"",IFERROR(IF(AND(OR(INDEX('1.職能辭典'!$J:$J,MATCH(F134,'1.職能辭典'!$C:$C,0))="全部",INDEX('3.員工名單'!$H:$H,MATCH(A134,'3.員工名單'!$A:$A,0))="兩款共用",INDEX('3.員工名單'!$H:$H,MATCH(A134,'3.員工名單'!$A:$A,0))=INDEX('1.職能辭典'!$J:$J,MATCH(F134,'1.職能辭典'!$C:$C,0))),OR(INDEX('1.職能辭典'!$K:$K,MATCH(F134,'1.職能辭典'!$C:$C,0))="全部",SUMPRODUCT(ISNUMBER(SEARCH({"經營","管理","財務","企劃","營運","技術","數據","美術","測試","客服"},INDEX('3.員工名單'!$I:$I,MATCH(A134,'3.員工名單'!$A:$A,0))))*ISNUMBER(SEARCH({"經營","管理","財務","企劃","營運","技術","數據","美術","測試","客服"},INDEX('1.職能辭典'!$K:$K,MATCH(F134,'1.職能辭典'!$C:$C,0)))))&gt;0)),INDEX('2.職務職能需求'!$B$2:$F$28,MATCH(F134,'2.職務職能需求'!$A$2:$A$28,0),MATCH(D134,'2.職務職能需求'!$B$1:$F$1,0)),0),""))</f>
        <v/>
      </c>
      <c r="H134" s="94" t="n"/>
      <c r="I134" s="94" t="n"/>
      <c r="J134" s="120">
        <f>IF(OR(G134="",I134="",G134=0),"",I134-G134)</f>
        <v/>
      </c>
      <c r="K134" s="120">
        <f>IF(G134="","",IF(G134=0,"不適用",IF(I134="","待評核",IF(I134&gt;=G134,IF(I134&gt;G134,"超越","達標"),"待發展"))))</f>
        <v/>
      </c>
      <c r="L134" s="91" t="n"/>
      <c r="M134" s="91" t="n"/>
      <c r="N134" s="88" t="n"/>
    </row>
    <row r="135" ht="15.75" customHeight="1" s="64">
      <c r="A135" s="88" t="n"/>
      <c r="B135" s="120">
        <f t="array" ref="B135:B135">IF(A135="","",IFERROR(INDEX('3.員工名單'!$B:$B,MATCH(A135,'3.員工名單'!$A:$A,0)),"查無此員工"))</f>
        <v/>
      </c>
      <c r="C135" s="120">
        <f t="array" ref="C135:C135">IF(A135="","",IFERROR(INDEX('3.員工名單'!$C:$C,MATCH(A135,'3.員工名單'!$A:$A,0)),""))</f>
        <v/>
      </c>
      <c r="D135" s="120">
        <f t="array" ref="D135:D135">IF(A135="","",IFERROR(INDEX('3.員工名單'!$D:$D,MATCH(A135,'3.員工名單'!$A:$A,0)),""))</f>
        <v/>
      </c>
      <c r="E135" s="120">
        <f t="array" ref="E135:E135">IF(F135="","",IFERROR(INDEX('1.職能辭典'!$A:$A,MATCH(F135,'1.職能辭典'!$C:$C,0)),""))</f>
        <v/>
      </c>
      <c r="F135" s="94" t="n"/>
      <c r="G135" s="120">
        <f t="array" ref="G135:G135">IF(OR(D135="",F135=""),"",IFERROR(IF(AND(OR(INDEX('1.職能辭典'!$J:$J,MATCH(F135,'1.職能辭典'!$C:$C,0))="全部",INDEX('3.員工名單'!$H:$H,MATCH(A135,'3.員工名單'!$A:$A,0))="兩款共用",INDEX('3.員工名單'!$H:$H,MATCH(A135,'3.員工名單'!$A:$A,0))=INDEX('1.職能辭典'!$J:$J,MATCH(F135,'1.職能辭典'!$C:$C,0))),OR(INDEX('1.職能辭典'!$K:$K,MATCH(F135,'1.職能辭典'!$C:$C,0))="全部",SUMPRODUCT(ISNUMBER(SEARCH({"經營","管理","財務","企劃","營運","技術","數據","美術","測試","客服"},INDEX('3.員工名單'!$I:$I,MATCH(A135,'3.員工名單'!$A:$A,0))))*ISNUMBER(SEARCH({"經營","管理","財務","企劃","營運","技術","數據","美術","測試","客服"},INDEX('1.職能辭典'!$K:$K,MATCH(F135,'1.職能辭典'!$C:$C,0)))))&gt;0)),INDEX('2.職務職能需求'!$B$2:$F$28,MATCH(F135,'2.職務職能需求'!$A$2:$A$28,0),MATCH(D135,'2.職務職能需求'!$B$1:$F$1,0)),0),""))</f>
        <v/>
      </c>
      <c r="H135" s="94" t="n"/>
      <c r="I135" s="94" t="n"/>
      <c r="J135" s="120">
        <f>IF(OR(G135="",I135="",G135=0),"",I135-G135)</f>
        <v/>
      </c>
      <c r="K135" s="120">
        <f>IF(G135="","",IF(G135=0,"不適用",IF(I135="","待評核",IF(I135&gt;=G135,IF(I135&gt;G135,"超越","達標"),"待發展"))))</f>
        <v/>
      </c>
      <c r="L135" s="91" t="n"/>
      <c r="M135" s="91" t="n"/>
      <c r="N135" s="88" t="n"/>
    </row>
    <row r="136" ht="15.75" customHeight="1" s="64">
      <c r="A136" s="88" t="n"/>
      <c r="B136" s="120">
        <f t="array" ref="B136:B136">IF(A136="","",IFERROR(INDEX('3.員工名單'!$B:$B,MATCH(A136,'3.員工名單'!$A:$A,0)),"查無此員工"))</f>
        <v/>
      </c>
      <c r="C136" s="120">
        <f t="array" ref="C136:C136">IF(A136="","",IFERROR(INDEX('3.員工名單'!$C:$C,MATCH(A136,'3.員工名單'!$A:$A,0)),""))</f>
        <v/>
      </c>
      <c r="D136" s="120">
        <f t="array" ref="D136:D136">IF(A136="","",IFERROR(INDEX('3.員工名單'!$D:$D,MATCH(A136,'3.員工名單'!$A:$A,0)),""))</f>
        <v/>
      </c>
      <c r="E136" s="120">
        <f t="array" ref="E136:E136">IF(F136="","",IFERROR(INDEX('1.職能辭典'!$A:$A,MATCH(F136,'1.職能辭典'!$C:$C,0)),""))</f>
        <v/>
      </c>
      <c r="F136" s="94" t="n"/>
      <c r="G136" s="120">
        <f t="array" ref="G136:G136">IF(OR(D136="",F136=""),"",IFERROR(IF(AND(OR(INDEX('1.職能辭典'!$J:$J,MATCH(F136,'1.職能辭典'!$C:$C,0))="全部",INDEX('3.員工名單'!$H:$H,MATCH(A136,'3.員工名單'!$A:$A,0))="兩款共用",INDEX('3.員工名單'!$H:$H,MATCH(A136,'3.員工名單'!$A:$A,0))=INDEX('1.職能辭典'!$J:$J,MATCH(F136,'1.職能辭典'!$C:$C,0))),OR(INDEX('1.職能辭典'!$K:$K,MATCH(F136,'1.職能辭典'!$C:$C,0))="全部",SUMPRODUCT(ISNUMBER(SEARCH({"經營","管理","財務","企劃","營運","技術","數據","美術","測試","客服"},INDEX('3.員工名單'!$I:$I,MATCH(A136,'3.員工名單'!$A:$A,0))))*ISNUMBER(SEARCH({"經營","管理","財務","企劃","營運","技術","數據","美術","測試","客服"},INDEX('1.職能辭典'!$K:$K,MATCH(F136,'1.職能辭典'!$C:$C,0)))))&gt;0)),INDEX('2.職務職能需求'!$B$2:$F$28,MATCH(F136,'2.職務職能需求'!$A$2:$A$28,0),MATCH(D136,'2.職務職能需求'!$B$1:$F$1,0)),0),""))</f>
        <v/>
      </c>
      <c r="H136" s="94" t="n"/>
      <c r="I136" s="94" t="n"/>
      <c r="J136" s="120">
        <f>IF(OR(G136="",I136="",G136=0),"",I136-G136)</f>
        <v/>
      </c>
      <c r="K136" s="120">
        <f>IF(G136="","",IF(G136=0,"不適用",IF(I136="","待評核",IF(I136&gt;=G136,IF(I136&gt;G136,"超越","達標"),"待發展"))))</f>
        <v/>
      </c>
      <c r="L136" s="91" t="n"/>
      <c r="M136" s="91" t="n"/>
      <c r="N136" s="88" t="n"/>
    </row>
    <row r="137" ht="15.75" customHeight="1" s="64">
      <c r="A137" s="88" t="n"/>
      <c r="B137" s="120">
        <f t="array" ref="B137:B137">IF(A137="","",IFERROR(INDEX('3.員工名單'!$B:$B,MATCH(A137,'3.員工名單'!$A:$A,0)),"查無此員工"))</f>
        <v/>
      </c>
      <c r="C137" s="120">
        <f t="array" ref="C137:C137">IF(A137="","",IFERROR(INDEX('3.員工名單'!$C:$C,MATCH(A137,'3.員工名單'!$A:$A,0)),""))</f>
        <v/>
      </c>
      <c r="D137" s="120">
        <f t="array" ref="D137:D137">IF(A137="","",IFERROR(INDEX('3.員工名單'!$D:$D,MATCH(A137,'3.員工名單'!$A:$A,0)),""))</f>
        <v/>
      </c>
      <c r="E137" s="120">
        <f t="array" ref="E137:E137">IF(F137="","",IFERROR(INDEX('1.職能辭典'!$A:$A,MATCH(F137,'1.職能辭典'!$C:$C,0)),""))</f>
        <v/>
      </c>
      <c r="F137" s="94" t="n"/>
      <c r="G137" s="120">
        <f t="array" ref="G137:G137">IF(OR(D137="",F137=""),"",IFERROR(IF(AND(OR(INDEX('1.職能辭典'!$J:$J,MATCH(F137,'1.職能辭典'!$C:$C,0))="全部",INDEX('3.員工名單'!$H:$H,MATCH(A137,'3.員工名單'!$A:$A,0))="兩款共用",INDEX('3.員工名單'!$H:$H,MATCH(A137,'3.員工名單'!$A:$A,0))=INDEX('1.職能辭典'!$J:$J,MATCH(F137,'1.職能辭典'!$C:$C,0))),OR(INDEX('1.職能辭典'!$K:$K,MATCH(F137,'1.職能辭典'!$C:$C,0))="全部",SUMPRODUCT(ISNUMBER(SEARCH({"經營","管理","財務","企劃","營運","技術","數據","美術","測試","客服"},INDEX('3.員工名單'!$I:$I,MATCH(A137,'3.員工名單'!$A:$A,0))))*ISNUMBER(SEARCH({"經營","管理","財務","企劃","營運","技術","數據","美術","測試","客服"},INDEX('1.職能辭典'!$K:$K,MATCH(F137,'1.職能辭典'!$C:$C,0)))))&gt;0)),INDEX('2.職務職能需求'!$B$2:$F$28,MATCH(F137,'2.職務職能需求'!$A$2:$A$28,0),MATCH(D137,'2.職務職能需求'!$B$1:$F$1,0)),0),""))</f>
        <v/>
      </c>
      <c r="H137" s="94" t="n"/>
      <c r="I137" s="94" t="n"/>
      <c r="J137" s="120">
        <f>IF(OR(G137="",I137="",G137=0),"",I137-G137)</f>
        <v/>
      </c>
      <c r="K137" s="120">
        <f>IF(G137="","",IF(G137=0,"不適用",IF(I137="","待評核",IF(I137&gt;=G137,IF(I137&gt;G137,"超越","達標"),"待發展"))))</f>
        <v/>
      </c>
      <c r="L137" s="91" t="n"/>
      <c r="M137" s="91" t="n"/>
      <c r="N137" s="88" t="n"/>
    </row>
    <row r="138" ht="15.75" customHeight="1" s="64">
      <c r="A138" s="88" t="n"/>
      <c r="B138" s="120">
        <f t="array" ref="B138:B138">IF(A138="","",IFERROR(INDEX('3.員工名單'!$B:$B,MATCH(A138,'3.員工名單'!$A:$A,0)),"查無此員工"))</f>
        <v/>
      </c>
      <c r="C138" s="120">
        <f t="array" ref="C138:C138">IF(A138="","",IFERROR(INDEX('3.員工名單'!$C:$C,MATCH(A138,'3.員工名單'!$A:$A,0)),""))</f>
        <v/>
      </c>
      <c r="D138" s="120">
        <f t="array" ref="D138:D138">IF(A138="","",IFERROR(INDEX('3.員工名單'!$D:$D,MATCH(A138,'3.員工名單'!$A:$A,0)),""))</f>
        <v/>
      </c>
      <c r="E138" s="120">
        <f t="array" ref="E138:E138">IF(F138="","",IFERROR(INDEX('1.職能辭典'!$A:$A,MATCH(F138,'1.職能辭典'!$C:$C,0)),""))</f>
        <v/>
      </c>
      <c r="F138" s="94" t="n"/>
      <c r="G138" s="120">
        <f t="array" ref="G138:G138">IF(OR(D138="",F138=""),"",IFERROR(IF(AND(OR(INDEX('1.職能辭典'!$J:$J,MATCH(F138,'1.職能辭典'!$C:$C,0))="全部",INDEX('3.員工名單'!$H:$H,MATCH(A138,'3.員工名單'!$A:$A,0))="兩款共用",INDEX('3.員工名單'!$H:$H,MATCH(A138,'3.員工名單'!$A:$A,0))=INDEX('1.職能辭典'!$J:$J,MATCH(F138,'1.職能辭典'!$C:$C,0))),OR(INDEX('1.職能辭典'!$K:$K,MATCH(F138,'1.職能辭典'!$C:$C,0))="全部",SUMPRODUCT(ISNUMBER(SEARCH({"經營","管理","財務","企劃","營運","技術","數據","美術","測試","客服"},INDEX('3.員工名單'!$I:$I,MATCH(A138,'3.員工名單'!$A:$A,0))))*ISNUMBER(SEARCH({"經營","管理","財務","企劃","營運","技術","數據","美術","測試","客服"},INDEX('1.職能辭典'!$K:$K,MATCH(F138,'1.職能辭典'!$C:$C,0)))))&gt;0)),INDEX('2.職務職能需求'!$B$2:$F$28,MATCH(F138,'2.職務職能需求'!$A$2:$A$28,0),MATCH(D138,'2.職務職能需求'!$B$1:$F$1,0)),0),""))</f>
        <v/>
      </c>
      <c r="H138" s="94" t="n"/>
      <c r="I138" s="94" t="n"/>
      <c r="J138" s="120">
        <f>IF(OR(G138="",I138="",G138=0),"",I138-G138)</f>
        <v/>
      </c>
      <c r="K138" s="120">
        <f>IF(G138="","",IF(G138=0,"不適用",IF(I138="","待評核",IF(I138&gt;=G138,IF(I138&gt;G138,"超越","達標"),"待發展"))))</f>
        <v/>
      </c>
      <c r="L138" s="91" t="n"/>
      <c r="M138" s="91" t="n"/>
      <c r="N138" s="88" t="n"/>
    </row>
    <row r="139" ht="15.75" customHeight="1" s="64">
      <c r="A139" s="88" t="n"/>
      <c r="B139" s="120">
        <f t="array" ref="B139:B139">IF(A139="","",IFERROR(INDEX('3.員工名單'!$B:$B,MATCH(A139,'3.員工名單'!$A:$A,0)),"查無此員工"))</f>
        <v/>
      </c>
      <c r="C139" s="120">
        <f t="array" ref="C139:C139">IF(A139="","",IFERROR(INDEX('3.員工名單'!$C:$C,MATCH(A139,'3.員工名單'!$A:$A,0)),""))</f>
        <v/>
      </c>
      <c r="D139" s="120">
        <f t="array" ref="D139:D139">IF(A139="","",IFERROR(INDEX('3.員工名單'!$D:$D,MATCH(A139,'3.員工名單'!$A:$A,0)),""))</f>
        <v/>
      </c>
      <c r="E139" s="120">
        <f t="array" ref="E139:E139">IF(F139="","",IFERROR(INDEX('1.職能辭典'!$A:$A,MATCH(F139,'1.職能辭典'!$C:$C,0)),""))</f>
        <v/>
      </c>
      <c r="F139" s="94" t="n"/>
      <c r="G139" s="120">
        <f t="array" ref="G139:G139">IF(OR(D139="",F139=""),"",IFERROR(IF(AND(OR(INDEX('1.職能辭典'!$J:$J,MATCH(F139,'1.職能辭典'!$C:$C,0))="全部",INDEX('3.員工名單'!$H:$H,MATCH(A139,'3.員工名單'!$A:$A,0))="兩款共用",INDEX('3.員工名單'!$H:$H,MATCH(A139,'3.員工名單'!$A:$A,0))=INDEX('1.職能辭典'!$J:$J,MATCH(F139,'1.職能辭典'!$C:$C,0))),OR(INDEX('1.職能辭典'!$K:$K,MATCH(F139,'1.職能辭典'!$C:$C,0))="全部",SUMPRODUCT(ISNUMBER(SEARCH({"經營","管理","財務","企劃","營運","技術","數據","美術","測試","客服"},INDEX('3.員工名單'!$I:$I,MATCH(A139,'3.員工名單'!$A:$A,0))))*ISNUMBER(SEARCH({"經營","管理","財務","企劃","營運","技術","數據","美術","測試","客服"},INDEX('1.職能辭典'!$K:$K,MATCH(F139,'1.職能辭典'!$C:$C,0)))))&gt;0)),INDEX('2.職務職能需求'!$B$2:$F$28,MATCH(F139,'2.職務職能需求'!$A$2:$A$28,0),MATCH(D139,'2.職務職能需求'!$B$1:$F$1,0)),0),""))</f>
        <v/>
      </c>
      <c r="H139" s="94" t="n"/>
      <c r="I139" s="94" t="n"/>
      <c r="J139" s="120">
        <f>IF(OR(G139="",I139="",G139=0),"",I139-G139)</f>
        <v/>
      </c>
      <c r="K139" s="120">
        <f>IF(G139="","",IF(G139=0,"不適用",IF(I139="","待評核",IF(I139&gt;=G139,IF(I139&gt;G139,"超越","達標"),"待發展"))))</f>
        <v/>
      </c>
      <c r="L139" s="91" t="n"/>
      <c r="M139" s="91" t="n"/>
      <c r="N139" s="88" t="n"/>
    </row>
    <row r="140" ht="15.75" customHeight="1" s="64">
      <c r="A140" s="88" t="n"/>
      <c r="B140" s="120">
        <f t="array" ref="B140:B140">IF(A140="","",IFERROR(INDEX('3.員工名單'!$B:$B,MATCH(A140,'3.員工名單'!$A:$A,0)),"查無此員工"))</f>
        <v/>
      </c>
      <c r="C140" s="120">
        <f t="array" ref="C140:C140">IF(A140="","",IFERROR(INDEX('3.員工名單'!$C:$C,MATCH(A140,'3.員工名單'!$A:$A,0)),""))</f>
        <v/>
      </c>
      <c r="D140" s="120">
        <f t="array" ref="D140:D140">IF(A140="","",IFERROR(INDEX('3.員工名單'!$D:$D,MATCH(A140,'3.員工名單'!$A:$A,0)),""))</f>
        <v/>
      </c>
      <c r="E140" s="120">
        <f t="array" ref="E140:E140">IF(F140="","",IFERROR(INDEX('1.職能辭典'!$A:$A,MATCH(F140,'1.職能辭典'!$C:$C,0)),""))</f>
        <v/>
      </c>
      <c r="F140" s="94" t="n"/>
      <c r="G140" s="120">
        <f t="array" ref="G140:G140">IF(OR(D140="",F140=""),"",IFERROR(IF(AND(OR(INDEX('1.職能辭典'!$J:$J,MATCH(F140,'1.職能辭典'!$C:$C,0))="全部",INDEX('3.員工名單'!$H:$H,MATCH(A140,'3.員工名單'!$A:$A,0))="兩款共用",INDEX('3.員工名單'!$H:$H,MATCH(A140,'3.員工名單'!$A:$A,0))=INDEX('1.職能辭典'!$J:$J,MATCH(F140,'1.職能辭典'!$C:$C,0))),OR(INDEX('1.職能辭典'!$K:$K,MATCH(F140,'1.職能辭典'!$C:$C,0))="全部",SUMPRODUCT(ISNUMBER(SEARCH({"經營","管理","財務","企劃","營運","技術","數據","美術","測試","客服"},INDEX('3.員工名單'!$I:$I,MATCH(A140,'3.員工名單'!$A:$A,0))))*ISNUMBER(SEARCH({"經營","管理","財務","企劃","營運","技術","數據","美術","測試","客服"},INDEX('1.職能辭典'!$K:$K,MATCH(F140,'1.職能辭典'!$C:$C,0)))))&gt;0)),INDEX('2.職務職能需求'!$B$2:$F$28,MATCH(F140,'2.職務職能需求'!$A$2:$A$28,0),MATCH(D140,'2.職務職能需求'!$B$1:$F$1,0)),0),""))</f>
        <v/>
      </c>
      <c r="H140" s="94" t="n"/>
      <c r="I140" s="94" t="n"/>
      <c r="J140" s="120">
        <f>IF(OR(G140="",I140="",G140=0),"",I140-G140)</f>
        <v/>
      </c>
      <c r="K140" s="120">
        <f>IF(G140="","",IF(G140=0,"不適用",IF(I140="","待評核",IF(I140&gt;=G140,IF(I140&gt;G140,"超越","達標"),"待發展"))))</f>
        <v/>
      </c>
      <c r="L140" s="91" t="n"/>
      <c r="M140" s="91" t="n"/>
      <c r="N140" s="88" t="n"/>
    </row>
    <row r="141" ht="15.75" customHeight="1" s="64">
      <c r="A141" s="88" t="n"/>
      <c r="B141" s="120">
        <f t="array" ref="B141:B141">IF(A141="","",IFERROR(INDEX('3.員工名單'!$B:$B,MATCH(A141,'3.員工名單'!$A:$A,0)),"查無此員工"))</f>
        <v/>
      </c>
      <c r="C141" s="120">
        <f t="array" ref="C141:C141">IF(A141="","",IFERROR(INDEX('3.員工名單'!$C:$C,MATCH(A141,'3.員工名單'!$A:$A,0)),""))</f>
        <v/>
      </c>
      <c r="D141" s="120">
        <f t="array" ref="D141:D141">IF(A141="","",IFERROR(INDEX('3.員工名單'!$D:$D,MATCH(A141,'3.員工名單'!$A:$A,0)),""))</f>
        <v/>
      </c>
      <c r="E141" s="120">
        <f t="array" ref="E141:E141">IF(F141="","",IFERROR(INDEX('1.職能辭典'!$A:$A,MATCH(F141,'1.職能辭典'!$C:$C,0)),""))</f>
        <v/>
      </c>
      <c r="F141" s="94" t="n"/>
      <c r="G141" s="120">
        <f t="array" ref="G141:G141">IF(OR(D141="",F141=""),"",IFERROR(IF(AND(OR(INDEX('1.職能辭典'!$J:$J,MATCH(F141,'1.職能辭典'!$C:$C,0))="全部",INDEX('3.員工名單'!$H:$H,MATCH(A141,'3.員工名單'!$A:$A,0))="兩款共用",INDEX('3.員工名單'!$H:$H,MATCH(A141,'3.員工名單'!$A:$A,0))=INDEX('1.職能辭典'!$J:$J,MATCH(F141,'1.職能辭典'!$C:$C,0))),OR(INDEX('1.職能辭典'!$K:$K,MATCH(F141,'1.職能辭典'!$C:$C,0))="全部",SUMPRODUCT(ISNUMBER(SEARCH({"經營","管理","財務","企劃","營運","技術","數據","美術","測試","客服"},INDEX('3.員工名單'!$I:$I,MATCH(A141,'3.員工名單'!$A:$A,0))))*ISNUMBER(SEARCH({"經營","管理","財務","企劃","營運","技術","數據","美術","測試","客服"},INDEX('1.職能辭典'!$K:$K,MATCH(F141,'1.職能辭典'!$C:$C,0)))))&gt;0)),INDEX('2.職務職能需求'!$B$2:$F$28,MATCH(F141,'2.職務職能需求'!$A$2:$A$28,0),MATCH(D141,'2.職務職能需求'!$B$1:$F$1,0)),0),""))</f>
        <v/>
      </c>
      <c r="H141" s="94" t="n"/>
      <c r="I141" s="94" t="n"/>
      <c r="J141" s="120">
        <f>IF(OR(G141="",I141="",G141=0),"",I141-G141)</f>
        <v/>
      </c>
      <c r="K141" s="120">
        <f>IF(G141="","",IF(G141=0,"不適用",IF(I141="","待評核",IF(I141&gt;=G141,IF(I141&gt;G141,"超越","達標"),"待發展"))))</f>
        <v/>
      </c>
      <c r="L141" s="91" t="n"/>
      <c r="M141" s="91" t="n"/>
      <c r="N141" s="88" t="n"/>
    </row>
    <row r="142" ht="15.75" customHeight="1" s="64">
      <c r="A142" s="88" t="n"/>
      <c r="B142" s="120">
        <f t="array" ref="B142:B142">IF(A142="","",IFERROR(INDEX('3.員工名單'!$B:$B,MATCH(A142,'3.員工名單'!$A:$A,0)),"查無此員工"))</f>
        <v/>
      </c>
      <c r="C142" s="120">
        <f t="array" ref="C142:C142">IF(A142="","",IFERROR(INDEX('3.員工名單'!$C:$C,MATCH(A142,'3.員工名單'!$A:$A,0)),""))</f>
        <v/>
      </c>
      <c r="D142" s="120">
        <f t="array" ref="D142:D142">IF(A142="","",IFERROR(INDEX('3.員工名單'!$D:$D,MATCH(A142,'3.員工名單'!$A:$A,0)),""))</f>
        <v/>
      </c>
      <c r="E142" s="120">
        <f t="array" ref="E142:E142">IF(F142="","",IFERROR(INDEX('1.職能辭典'!$A:$A,MATCH(F142,'1.職能辭典'!$C:$C,0)),""))</f>
        <v/>
      </c>
      <c r="F142" s="94" t="n"/>
      <c r="G142" s="120">
        <f t="array" ref="G142:G142">IF(OR(D142="",F142=""),"",IFERROR(IF(AND(OR(INDEX('1.職能辭典'!$J:$J,MATCH(F142,'1.職能辭典'!$C:$C,0))="全部",INDEX('3.員工名單'!$H:$H,MATCH(A142,'3.員工名單'!$A:$A,0))="兩款共用",INDEX('3.員工名單'!$H:$H,MATCH(A142,'3.員工名單'!$A:$A,0))=INDEX('1.職能辭典'!$J:$J,MATCH(F142,'1.職能辭典'!$C:$C,0))),OR(INDEX('1.職能辭典'!$K:$K,MATCH(F142,'1.職能辭典'!$C:$C,0))="全部",SUMPRODUCT(ISNUMBER(SEARCH({"經營","管理","財務","企劃","營運","技術","數據","美術","測試","客服"},INDEX('3.員工名單'!$I:$I,MATCH(A142,'3.員工名單'!$A:$A,0))))*ISNUMBER(SEARCH({"經營","管理","財務","企劃","營運","技術","數據","美術","測試","客服"},INDEX('1.職能辭典'!$K:$K,MATCH(F142,'1.職能辭典'!$C:$C,0)))))&gt;0)),INDEX('2.職務職能需求'!$B$2:$F$28,MATCH(F142,'2.職務職能需求'!$A$2:$A$28,0),MATCH(D142,'2.職務職能需求'!$B$1:$F$1,0)),0),""))</f>
        <v/>
      </c>
      <c r="H142" s="94" t="n"/>
      <c r="I142" s="94" t="n"/>
      <c r="J142" s="120">
        <f>IF(OR(G142="",I142="",G142=0),"",I142-G142)</f>
        <v/>
      </c>
      <c r="K142" s="120">
        <f>IF(G142="","",IF(G142=0,"不適用",IF(I142="","待評核",IF(I142&gt;=G142,IF(I142&gt;G142,"超越","達標"),"待發展"))))</f>
        <v/>
      </c>
      <c r="L142" s="91" t="n"/>
      <c r="M142" s="91" t="n"/>
      <c r="N142" s="88" t="n"/>
    </row>
    <row r="143" ht="15.75" customHeight="1" s="64">
      <c r="A143" s="88" t="n"/>
      <c r="B143" s="120">
        <f t="array" ref="B143:B143">IF(A143="","",IFERROR(INDEX('3.員工名單'!$B:$B,MATCH(A143,'3.員工名單'!$A:$A,0)),"查無此員工"))</f>
        <v/>
      </c>
      <c r="C143" s="120">
        <f t="array" ref="C143:C143">IF(A143="","",IFERROR(INDEX('3.員工名單'!$C:$C,MATCH(A143,'3.員工名單'!$A:$A,0)),""))</f>
        <v/>
      </c>
      <c r="D143" s="120">
        <f t="array" ref="D143:D143">IF(A143="","",IFERROR(INDEX('3.員工名單'!$D:$D,MATCH(A143,'3.員工名單'!$A:$A,0)),""))</f>
        <v/>
      </c>
      <c r="E143" s="120">
        <f t="array" ref="E143:E143">IF(F143="","",IFERROR(INDEX('1.職能辭典'!$A:$A,MATCH(F143,'1.職能辭典'!$C:$C,0)),""))</f>
        <v/>
      </c>
      <c r="F143" s="94" t="n"/>
      <c r="G143" s="120">
        <f t="array" ref="G143:G143">IF(OR(D143="",F143=""),"",IFERROR(IF(AND(OR(INDEX('1.職能辭典'!$J:$J,MATCH(F143,'1.職能辭典'!$C:$C,0))="全部",INDEX('3.員工名單'!$H:$H,MATCH(A143,'3.員工名單'!$A:$A,0))="兩款共用",INDEX('3.員工名單'!$H:$H,MATCH(A143,'3.員工名單'!$A:$A,0))=INDEX('1.職能辭典'!$J:$J,MATCH(F143,'1.職能辭典'!$C:$C,0))),OR(INDEX('1.職能辭典'!$K:$K,MATCH(F143,'1.職能辭典'!$C:$C,0))="全部",SUMPRODUCT(ISNUMBER(SEARCH({"經營","管理","財務","企劃","營運","技術","數據","美術","測試","客服"},INDEX('3.員工名單'!$I:$I,MATCH(A143,'3.員工名單'!$A:$A,0))))*ISNUMBER(SEARCH({"經營","管理","財務","企劃","營運","技術","數據","美術","測試","客服"},INDEX('1.職能辭典'!$K:$K,MATCH(F143,'1.職能辭典'!$C:$C,0)))))&gt;0)),INDEX('2.職務職能需求'!$B$2:$F$28,MATCH(F143,'2.職務職能需求'!$A$2:$A$28,0),MATCH(D143,'2.職務職能需求'!$B$1:$F$1,0)),0),""))</f>
        <v/>
      </c>
      <c r="H143" s="94" t="n"/>
      <c r="I143" s="94" t="n"/>
      <c r="J143" s="120">
        <f>IF(OR(G143="",I143="",G143=0),"",I143-G143)</f>
        <v/>
      </c>
      <c r="K143" s="120">
        <f>IF(G143="","",IF(G143=0,"不適用",IF(I143="","待評核",IF(I143&gt;=G143,IF(I143&gt;G143,"超越","達標"),"待發展"))))</f>
        <v/>
      </c>
      <c r="L143" s="91" t="n"/>
      <c r="M143" s="91" t="n"/>
      <c r="N143" s="88" t="n"/>
    </row>
    <row r="144" ht="15.75" customHeight="1" s="64">
      <c r="A144" s="88" t="n"/>
      <c r="B144" s="120">
        <f t="array" ref="B144:B144">IF(A144="","",IFERROR(INDEX('3.員工名單'!$B:$B,MATCH(A144,'3.員工名單'!$A:$A,0)),"查無此員工"))</f>
        <v/>
      </c>
      <c r="C144" s="120">
        <f t="array" ref="C144:C144">IF(A144="","",IFERROR(INDEX('3.員工名單'!$C:$C,MATCH(A144,'3.員工名單'!$A:$A,0)),""))</f>
        <v/>
      </c>
      <c r="D144" s="120">
        <f t="array" ref="D144:D144">IF(A144="","",IFERROR(INDEX('3.員工名單'!$D:$D,MATCH(A144,'3.員工名單'!$A:$A,0)),""))</f>
        <v/>
      </c>
      <c r="E144" s="120">
        <f t="array" ref="E144:E144">IF(F144="","",IFERROR(INDEX('1.職能辭典'!$A:$A,MATCH(F144,'1.職能辭典'!$C:$C,0)),""))</f>
        <v/>
      </c>
      <c r="F144" s="94" t="n"/>
      <c r="G144" s="120">
        <f t="array" ref="G144:G144">IF(OR(D144="",F144=""),"",IFERROR(IF(AND(OR(INDEX('1.職能辭典'!$J:$J,MATCH(F144,'1.職能辭典'!$C:$C,0))="全部",INDEX('3.員工名單'!$H:$H,MATCH(A144,'3.員工名單'!$A:$A,0))="兩款共用",INDEX('3.員工名單'!$H:$H,MATCH(A144,'3.員工名單'!$A:$A,0))=INDEX('1.職能辭典'!$J:$J,MATCH(F144,'1.職能辭典'!$C:$C,0))),OR(INDEX('1.職能辭典'!$K:$K,MATCH(F144,'1.職能辭典'!$C:$C,0))="全部",SUMPRODUCT(ISNUMBER(SEARCH({"經營","管理","財務","企劃","營運","技術","數據","美術","測試","客服"},INDEX('3.員工名單'!$I:$I,MATCH(A144,'3.員工名單'!$A:$A,0))))*ISNUMBER(SEARCH({"經營","管理","財務","企劃","營運","技術","數據","美術","測試","客服"},INDEX('1.職能辭典'!$K:$K,MATCH(F144,'1.職能辭典'!$C:$C,0)))))&gt;0)),INDEX('2.職務職能需求'!$B$2:$F$28,MATCH(F144,'2.職務職能需求'!$A$2:$A$28,0),MATCH(D144,'2.職務職能需求'!$B$1:$F$1,0)),0),""))</f>
        <v/>
      </c>
      <c r="H144" s="94" t="n"/>
      <c r="I144" s="94" t="n"/>
      <c r="J144" s="120">
        <f>IF(OR(G144="",I144="",G144=0),"",I144-G144)</f>
        <v/>
      </c>
      <c r="K144" s="120">
        <f>IF(G144="","",IF(G144=0,"不適用",IF(I144="","待評核",IF(I144&gt;=G144,IF(I144&gt;G144,"超越","達標"),"待發展"))))</f>
        <v/>
      </c>
      <c r="L144" s="91" t="n"/>
      <c r="M144" s="91" t="n"/>
      <c r="N144" s="88" t="n"/>
    </row>
    <row r="145" ht="15.75" customHeight="1" s="64">
      <c r="A145" s="88" t="n"/>
      <c r="B145" s="120">
        <f t="array" ref="B145:B145">IF(A145="","",IFERROR(INDEX('3.員工名單'!$B:$B,MATCH(A145,'3.員工名單'!$A:$A,0)),"查無此員工"))</f>
        <v/>
      </c>
      <c r="C145" s="120">
        <f t="array" ref="C145:C145">IF(A145="","",IFERROR(INDEX('3.員工名單'!$C:$C,MATCH(A145,'3.員工名單'!$A:$A,0)),""))</f>
        <v/>
      </c>
      <c r="D145" s="120">
        <f t="array" ref="D145:D145">IF(A145="","",IFERROR(INDEX('3.員工名單'!$D:$D,MATCH(A145,'3.員工名單'!$A:$A,0)),""))</f>
        <v/>
      </c>
      <c r="E145" s="120">
        <f t="array" ref="E145:E145">IF(F145="","",IFERROR(INDEX('1.職能辭典'!$A:$A,MATCH(F145,'1.職能辭典'!$C:$C,0)),""))</f>
        <v/>
      </c>
      <c r="F145" s="94" t="n"/>
      <c r="G145" s="120">
        <f t="array" ref="G145:G145">IF(OR(D145="",F145=""),"",IFERROR(IF(AND(OR(INDEX('1.職能辭典'!$J:$J,MATCH(F145,'1.職能辭典'!$C:$C,0))="全部",INDEX('3.員工名單'!$H:$H,MATCH(A145,'3.員工名單'!$A:$A,0))="兩款共用",INDEX('3.員工名單'!$H:$H,MATCH(A145,'3.員工名單'!$A:$A,0))=INDEX('1.職能辭典'!$J:$J,MATCH(F145,'1.職能辭典'!$C:$C,0))),OR(INDEX('1.職能辭典'!$K:$K,MATCH(F145,'1.職能辭典'!$C:$C,0))="全部",SUMPRODUCT(ISNUMBER(SEARCH({"經營","管理","財務","企劃","營運","技術","數據","美術","測試","客服"},INDEX('3.員工名單'!$I:$I,MATCH(A145,'3.員工名單'!$A:$A,0))))*ISNUMBER(SEARCH({"經營","管理","財務","企劃","營運","技術","數據","美術","測試","客服"},INDEX('1.職能辭典'!$K:$K,MATCH(F145,'1.職能辭典'!$C:$C,0)))))&gt;0)),INDEX('2.職務職能需求'!$B$2:$F$28,MATCH(F145,'2.職務職能需求'!$A$2:$A$28,0),MATCH(D145,'2.職務職能需求'!$B$1:$F$1,0)),0),""))</f>
        <v/>
      </c>
      <c r="H145" s="94" t="n"/>
      <c r="I145" s="94" t="n"/>
      <c r="J145" s="120">
        <f>IF(OR(G145="",I145="",G145=0),"",I145-G145)</f>
        <v/>
      </c>
      <c r="K145" s="120">
        <f>IF(G145="","",IF(G145=0,"不適用",IF(I145="","待評核",IF(I145&gt;=G145,IF(I145&gt;G145,"超越","達標"),"待發展"))))</f>
        <v/>
      </c>
      <c r="L145" s="91" t="n"/>
      <c r="M145" s="91" t="n"/>
      <c r="N145" s="88" t="n"/>
    </row>
    <row r="146" ht="15.75" customHeight="1" s="64">
      <c r="A146" s="88" t="n"/>
      <c r="B146" s="120">
        <f t="array" ref="B146:B146">IF(A146="","",IFERROR(INDEX('3.員工名單'!$B:$B,MATCH(A146,'3.員工名單'!$A:$A,0)),"查無此員工"))</f>
        <v/>
      </c>
      <c r="C146" s="120">
        <f t="array" ref="C146:C146">IF(A146="","",IFERROR(INDEX('3.員工名單'!$C:$C,MATCH(A146,'3.員工名單'!$A:$A,0)),""))</f>
        <v/>
      </c>
      <c r="D146" s="120">
        <f t="array" ref="D146:D146">IF(A146="","",IFERROR(INDEX('3.員工名單'!$D:$D,MATCH(A146,'3.員工名單'!$A:$A,0)),""))</f>
        <v/>
      </c>
      <c r="E146" s="120">
        <f t="array" ref="E146:E146">IF(F146="","",IFERROR(INDEX('1.職能辭典'!$A:$A,MATCH(F146,'1.職能辭典'!$C:$C,0)),""))</f>
        <v/>
      </c>
      <c r="F146" s="94" t="n"/>
      <c r="G146" s="120">
        <f t="array" ref="G146:G146">IF(OR(D146="",F146=""),"",IFERROR(IF(AND(OR(INDEX('1.職能辭典'!$J:$J,MATCH(F146,'1.職能辭典'!$C:$C,0))="全部",INDEX('3.員工名單'!$H:$H,MATCH(A146,'3.員工名單'!$A:$A,0))="兩款共用",INDEX('3.員工名單'!$H:$H,MATCH(A146,'3.員工名單'!$A:$A,0))=INDEX('1.職能辭典'!$J:$J,MATCH(F146,'1.職能辭典'!$C:$C,0))),OR(INDEX('1.職能辭典'!$K:$K,MATCH(F146,'1.職能辭典'!$C:$C,0))="全部",SUMPRODUCT(ISNUMBER(SEARCH({"經營","管理","財務","企劃","營運","技術","數據","美術","測試","客服"},INDEX('3.員工名單'!$I:$I,MATCH(A146,'3.員工名單'!$A:$A,0))))*ISNUMBER(SEARCH({"經營","管理","財務","企劃","營運","技術","數據","美術","測試","客服"},INDEX('1.職能辭典'!$K:$K,MATCH(F146,'1.職能辭典'!$C:$C,0)))))&gt;0)),INDEX('2.職務職能需求'!$B$2:$F$28,MATCH(F146,'2.職務職能需求'!$A$2:$A$28,0),MATCH(D146,'2.職務職能需求'!$B$1:$F$1,0)),0),""))</f>
        <v/>
      </c>
      <c r="H146" s="94" t="n"/>
      <c r="I146" s="94" t="n"/>
      <c r="J146" s="120">
        <f>IF(OR(G146="",I146="",G146=0),"",I146-G146)</f>
        <v/>
      </c>
      <c r="K146" s="120">
        <f>IF(G146="","",IF(G146=0,"不適用",IF(I146="","待評核",IF(I146&gt;=G146,IF(I146&gt;G146,"超越","達標"),"待發展"))))</f>
        <v/>
      </c>
      <c r="L146" s="91" t="n"/>
      <c r="M146" s="91" t="n"/>
      <c r="N146" s="88" t="n"/>
    </row>
    <row r="147" ht="15.75" customHeight="1" s="64">
      <c r="A147" s="88" t="n"/>
      <c r="B147" s="120">
        <f t="array" ref="B147:B147">IF(A147="","",IFERROR(INDEX('3.員工名單'!$B:$B,MATCH(A147,'3.員工名單'!$A:$A,0)),"查無此員工"))</f>
        <v/>
      </c>
      <c r="C147" s="120">
        <f t="array" ref="C147:C147">IF(A147="","",IFERROR(INDEX('3.員工名單'!$C:$C,MATCH(A147,'3.員工名單'!$A:$A,0)),""))</f>
        <v/>
      </c>
      <c r="D147" s="120">
        <f t="array" ref="D147:D147">IF(A147="","",IFERROR(INDEX('3.員工名單'!$D:$D,MATCH(A147,'3.員工名單'!$A:$A,0)),""))</f>
        <v/>
      </c>
      <c r="E147" s="120">
        <f t="array" ref="E147:E147">IF(F147="","",IFERROR(INDEX('1.職能辭典'!$A:$A,MATCH(F147,'1.職能辭典'!$C:$C,0)),""))</f>
        <v/>
      </c>
      <c r="F147" s="94" t="n"/>
      <c r="G147" s="120">
        <f t="array" ref="G147:G147">IF(OR(D147="",F147=""),"",IFERROR(IF(AND(OR(INDEX('1.職能辭典'!$J:$J,MATCH(F147,'1.職能辭典'!$C:$C,0))="全部",INDEX('3.員工名單'!$H:$H,MATCH(A147,'3.員工名單'!$A:$A,0))="兩款共用",INDEX('3.員工名單'!$H:$H,MATCH(A147,'3.員工名單'!$A:$A,0))=INDEX('1.職能辭典'!$J:$J,MATCH(F147,'1.職能辭典'!$C:$C,0))),OR(INDEX('1.職能辭典'!$K:$K,MATCH(F147,'1.職能辭典'!$C:$C,0))="全部",SUMPRODUCT(ISNUMBER(SEARCH({"經營","管理","財務","企劃","營運","技術","數據","美術","測試","客服"},INDEX('3.員工名單'!$I:$I,MATCH(A147,'3.員工名單'!$A:$A,0))))*ISNUMBER(SEARCH({"經營","管理","財務","企劃","營運","技術","數據","美術","測試","客服"},INDEX('1.職能辭典'!$K:$K,MATCH(F147,'1.職能辭典'!$C:$C,0)))))&gt;0)),INDEX('2.職務職能需求'!$B$2:$F$28,MATCH(F147,'2.職務職能需求'!$A$2:$A$28,0),MATCH(D147,'2.職務職能需求'!$B$1:$F$1,0)),0),""))</f>
        <v/>
      </c>
      <c r="H147" s="94" t="n"/>
      <c r="I147" s="94" t="n"/>
      <c r="J147" s="120">
        <f>IF(OR(G147="",I147="",G147=0),"",I147-G147)</f>
        <v/>
      </c>
      <c r="K147" s="120">
        <f>IF(G147="","",IF(G147=0,"不適用",IF(I147="","待評核",IF(I147&gt;=G147,IF(I147&gt;G147,"超越","達標"),"待發展"))))</f>
        <v/>
      </c>
      <c r="L147" s="91" t="n"/>
      <c r="M147" s="91" t="n"/>
      <c r="N147" s="88" t="n"/>
    </row>
    <row r="148" ht="15.75" customHeight="1" s="64">
      <c r="A148" s="88" t="n"/>
      <c r="B148" s="120">
        <f t="array" ref="B148:B148">IF(A148="","",IFERROR(INDEX('3.員工名單'!$B:$B,MATCH(A148,'3.員工名單'!$A:$A,0)),"查無此員工"))</f>
        <v/>
      </c>
      <c r="C148" s="120">
        <f t="array" ref="C148:C148">IF(A148="","",IFERROR(INDEX('3.員工名單'!$C:$C,MATCH(A148,'3.員工名單'!$A:$A,0)),""))</f>
        <v/>
      </c>
      <c r="D148" s="120">
        <f t="array" ref="D148:D148">IF(A148="","",IFERROR(INDEX('3.員工名單'!$D:$D,MATCH(A148,'3.員工名單'!$A:$A,0)),""))</f>
        <v/>
      </c>
      <c r="E148" s="120">
        <f t="array" ref="E148:E148">IF(F148="","",IFERROR(INDEX('1.職能辭典'!$A:$A,MATCH(F148,'1.職能辭典'!$C:$C,0)),""))</f>
        <v/>
      </c>
      <c r="F148" s="94" t="n"/>
      <c r="G148" s="120">
        <f t="array" ref="G148:G148">IF(OR(D148="",F148=""),"",IFERROR(IF(AND(OR(INDEX('1.職能辭典'!$J:$J,MATCH(F148,'1.職能辭典'!$C:$C,0))="全部",INDEX('3.員工名單'!$H:$H,MATCH(A148,'3.員工名單'!$A:$A,0))="兩款共用",INDEX('3.員工名單'!$H:$H,MATCH(A148,'3.員工名單'!$A:$A,0))=INDEX('1.職能辭典'!$J:$J,MATCH(F148,'1.職能辭典'!$C:$C,0))),OR(INDEX('1.職能辭典'!$K:$K,MATCH(F148,'1.職能辭典'!$C:$C,0))="全部",SUMPRODUCT(ISNUMBER(SEARCH({"經營","管理","財務","企劃","營運","技術","數據","美術","測試","客服"},INDEX('3.員工名單'!$I:$I,MATCH(A148,'3.員工名單'!$A:$A,0))))*ISNUMBER(SEARCH({"經營","管理","財務","企劃","營運","技術","數據","美術","測試","客服"},INDEX('1.職能辭典'!$K:$K,MATCH(F148,'1.職能辭典'!$C:$C,0)))))&gt;0)),INDEX('2.職務職能需求'!$B$2:$F$28,MATCH(F148,'2.職務職能需求'!$A$2:$A$28,0),MATCH(D148,'2.職務職能需求'!$B$1:$F$1,0)),0),""))</f>
        <v/>
      </c>
      <c r="H148" s="94" t="n"/>
      <c r="I148" s="94" t="n"/>
      <c r="J148" s="120">
        <f>IF(OR(G148="",I148="",G148=0),"",I148-G148)</f>
        <v/>
      </c>
      <c r="K148" s="120">
        <f>IF(G148="","",IF(G148=0,"不適用",IF(I148="","待評核",IF(I148&gt;=G148,IF(I148&gt;G148,"超越","達標"),"待發展"))))</f>
        <v/>
      </c>
      <c r="L148" s="91" t="n"/>
      <c r="M148" s="91" t="n"/>
      <c r="N148" s="88" t="n"/>
    </row>
    <row r="149" ht="15.75" customHeight="1" s="64">
      <c r="A149" s="88" t="n"/>
      <c r="B149" s="120">
        <f t="array" ref="B149:B149">IF(A149="","",IFERROR(INDEX('3.員工名單'!$B:$B,MATCH(A149,'3.員工名單'!$A:$A,0)),"查無此員工"))</f>
        <v/>
      </c>
      <c r="C149" s="120">
        <f t="array" ref="C149:C149">IF(A149="","",IFERROR(INDEX('3.員工名單'!$C:$C,MATCH(A149,'3.員工名單'!$A:$A,0)),""))</f>
        <v/>
      </c>
      <c r="D149" s="120">
        <f t="array" ref="D149:D149">IF(A149="","",IFERROR(INDEX('3.員工名單'!$D:$D,MATCH(A149,'3.員工名單'!$A:$A,0)),""))</f>
        <v/>
      </c>
      <c r="E149" s="120">
        <f t="array" ref="E149:E149">IF(F149="","",IFERROR(INDEX('1.職能辭典'!$A:$A,MATCH(F149,'1.職能辭典'!$C:$C,0)),""))</f>
        <v/>
      </c>
      <c r="F149" s="94" t="n"/>
      <c r="G149" s="120">
        <f t="array" ref="G149:G149">IF(OR(D149="",F149=""),"",IFERROR(IF(AND(OR(INDEX('1.職能辭典'!$J:$J,MATCH(F149,'1.職能辭典'!$C:$C,0))="全部",INDEX('3.員工名單'!$H:$H,MATCH(A149,'3.員工名單'!$A:$A,0))="兩款共用",INDEX('3.員工名單'!$H:$H,MATCH(A149,'3.員工名單'!$A:$A,0))=INDEX('1.職能辭典'!$J:$J,MATCH(F149,'1.職能辭典'!$C:$C,0))),OR(INDEX('1.職能辭典'!$K:$K,MATCH(F149,'1.職能辭典'!$C:$C,0))="全部",SUMPRODUCT(ISNUMBER(SEARCH({"經營","管理","財務","企劃","營運","技術","數據","美術","測試","客服"},INDEX('3.員工名單'!$I:$I,MATCH(A149,'3.員工名單'!$A:$A,0))))*ISNUMBER(SEARCH({"經營","管理","財務","企劃","營運","技術","數據","美術","測試","客服"},INDEX('1.職能辭典'!$K:$K,MATCH(F149,'1.職能辭典'!$C:$C,0)))))&gt;0)),INDEX('2.職務職能需求'!$B$2:$F$28,MATCH(F149,'2.職務職能需求'!$A$2:$A$28,0),MATCH(D149,'2.職務職能需求'!$B$1:$F$1,0)),0),""))</f>
        <v/>
      </c>
      <c r="H149" s="94" t="n"/>
      <c r="I149" s="94" t="n"/>
      <c r="J149" s="120">
        <f>IF(OR(G149="",I149="",G149=0),"",I149-G149)</f>
        <v/>
      </c>
      <c r="K149" s="120">
        <f>IF(G149="","",IF(G149=0,"不適用",IF(I149="","待評核",IF(I149&gt;=G149,IF(I149&gt;G149,"超越","達標"),"待發展"))))</f>
        <v/>
      </c>
      <c r="L149" s="91" t="n"/>
      <c r="M149" s="91" t="n"/>
      <c r="N149" s="88" t="n"/>
    </row>
    <row r="150" ht="15.75" customHeight="1" s="64">
      <c r="A150" s="88" t="n"/>
      <c r="B150" s="120">
        <f t="array" ref="B150:B150">IF(A150="","",IFERROR(INDEX('3.員工名單'!$B:$B,MATCH(A150,'3.員工名單'!$A:$A,0)),"查無此員工"))</f>
        <v/>
      </c>
      <c r="C150" s="120">
        <f t="array" ref="C150:C150">IF(A150="","",IFERROR(INDEX('3.員工名單'!$C:$C,MATCH(A150,'3.員工名單'!$A:$A,0)),""))</f>
        <v/>
      </c>
      <c r="D150" s="120">
        <f t="array" ref="D150:D150">IF(A150="","",IFERROR(INDEX('3.員工名單'!$D:$D,MATCH(A150,'3.員工名單'!$A:$A,0)),""))</f>
        <v/>
      </c>
      <c r="E150" s="120">
        <f t="array" ref="E150:E150">IF(F150="","",IFERROR(INDEX('1.職能辭典'!$A:$A,MATCH(F150,'1.職能辭典'!$C:$C,0)),""))</f>
        <v/>
      </c>
      <c r="F150" s="94" t="n"/>
      <c r="G150" s="120">
        <f t="array" ref="G150:G150">IF(OR(D150="",F150=""),"",IFERROR(IF(AND(OR(INDEX('1.職能辭典'!$J:$J,MATCH(F150,'1.職能辭典'!$C:$C,0))="全部",INDEX('3.員工名單'!$H:$H,MATCH(A150,'3.員工名單'!$A:$A,0))="兩款共用",INDEX('3.員工名單'!$H:$H,MATCH(A150,'3.員工名單'!$A:$A,0))=INDEX('1.職能辭典'!$J:$J,MATCH(F150,'1.職能辭典'!$C:$C,0))),OR(INDEX('1.職能辭典'!$K:$K,MATCH(F150,'1.職能辭典'!$C:$C,0))="全部",SUMPRODUCT(ISNUMBER(SEARCH({"經營","管理","財務","企劃","營運","技術","數據","美術","測試","客服"},INDEX('3.員工名單'!$I:$I,MATCH(A150,'3.員工名單'!$A:$A,0))))*ISNUMBER(SEARCH({"經營","管理","財務","企劃","營運","技術","數據","美術","測試","客服"},INDEX('1.職能辭典'!$K:$K,MATCH(F150,'1.職能辭典'!$C:$C,0)))))&gt;0)),INDEX('2.職務職能需求'!$B$2:$F$28,MATCH(F150,'2.職務職能需求'!$A$2:$A$28,0),MATCH(D150,'2.職務職能需求'!$B$1:$F$1,0)),0),""))</f>
        <v/>
      </c>
      <c r="H150" s="94" t="n"/>
      <c r="I150" s="94" t="n"/>
      <c r="J150" s="120">
        <f>IF(OR(G150="",I150="",G150=0),"",I150-G150)</f>
        <v/>
      </c>
      <c r="K150" s="120">
        <f>IF(G150="","",IF(G150=0,"不適用",IF(I150="","待評核",IF(I150&gt;=G150,IF(I150&gt;G150,"超越","達標"),"待發展"))))</f>
        <v/>
      </c>
      <c r="L150" s="91" t="n"/>
      <c r="M150" s="91" t="n"/>
      <c r="N150" s="88" t="n"/>
    </row>
    <row r="151" ht="15.75" customHeight="1" s="64">
      <c r="A151" s="88" t="n"/>
      <c r="B151" s="120">
        <f t="array" ref="B151:B151">IF(A151="","",IFERROR(INDEX('3.員工名單'!$B:$B,MATCH(A151,'3.員工名單'!$A:$A,0)),"查無此員工"))</f>
        <v/>
      </c>
      <c r="C151" s="120">
        <f t="array" ref="C151:C151">IF(A151="","",IFERROR(INDEX('3.員工名單'!$C:$C,MATCH(A151,'3.員工名單'!$A:$A,0)),""))</f>
        <v/>
      </c>
      <c r="D151" s="120">
        <f t="array" ref="D151:D151">IF(A151="","",IFERROR(INDEX('3.員工名單'!$D:$D,MATCH(A151,'3.員工名單'!$A:$A,0)),""))</f>
        <v/>
      </c>
      <c r="E151" s="120">
        <f t="array" ref="E151:E151">IF(F151="","",IFERROR(INDEX('1.職能辭典'!$A:$A,MATCH(F151,'1.職能辭典'!$C:$C,0)),""))</f>
        <v/>
      </c>
      <c r="F151" s="94" t="n"/>
      <c r="G151" s="120">
        <f t="array" ref="G151:G151">IF(OR(D151="",F151=""),"",IFERROR(IF(AND(OR(INDEX('1.職能辭典'!$J:$J,MATCH(F151,'1.職能辭典'!$C:$C,0))="全部",INDEX('3.員工名單'!$H:$H,MATCH(A151,'3.員工名單'!$A:$A,0))="兩款共用",INDEX('3.員工名單'!$H:$H,MATCH(A151,'3.員工名單'!$A:$A,0))=INDEX('1.職能辭典'!$J:$J,MATCH(F151,'1.職能辭典'!$C:$C,0))),OR(INDEX('1.職能辭典'!$K:$K,MATCH(F151,'1.職能辭典'!$C:$C,0))="全部",SUMPRODUCT(ISNUMBER(SEARCH({"經營","管理","財務","企劃","營運","技術","數據","美術","測試","客服"},INDEX('3.員工名單'!$I:$I,MATCH(A151,'3.員工名單'!$A:$A,0))))*ISNUMBER(SEARCH({"經營","管理","財務","企劃","營運","技術","數據","美術","測試","客服"},INDEX('1.職能辭典'!$K:$K,MATCH(F151,'1.職能辭典'!$C:$C,0)))))&gt;0)),INDEX('2.職務職能需求'!$B$2:$F$28,MATCH(F151,'2.職務職能需求'!$A$2:$A$28,0),MATCH(D151,'2.職務職能需求'!$B$1:$F$1,0)),0),""))</f>
        <v/>
      </c>
      <c r="H151" s="94" t="n"/>
      <c r="I151" s="94" t="n"/>
      <c r="J151" s="120">
        <f>IF(OR(G151="",I151="",G151=0),"",I151-G151)</f>
        <v/>
      </c>
      <c r="K151" s="120">
        <f>IF(G151="","",IF(G151=0,"不適用",IF(I151="","待評核",IF(I151&gt;=G151,IF(I151&gt;G151,"超越","達標"),"待發展"))))</f>
        <v/>
      </c>
      <c r="L151" s="91" t="n"/>
      <c r="M151" s="91" t="n"/>
      <c r="N151" s="88" t="n"/>
    </row>
    <row r="152" ht="15.75" customHeight="1" s="64">
      <c r="A152" s="88" t="n"/>
      <c r="B152" s="120">
        <f t="array" ref="B152:B152">IF(A152="","",IFERROR(INDEX('3.員工名單'!$B:$B,MATCH(A152,'3.員工名單'!$A:$A,0)),"查無此員工"))</f>
        <v/>
      </c>
      <c r="C152" s="120">
        <f t="array" ref="C152:C152">IF(A152="","",IFERROR(INDEX('3.員工名單'!$C:$C,MATCH(A152,'3.員工名單'!$A:$A,0)),""))</f>
        <v/>
      </c>
      <c r="D152" s="120">
        <f t="array" ref="D152:D152">IF(A152="","",IFERROR(INDEX('3.員工名單'!$D:$D,MATCH(A152,'3.員工名單'!$A:$A,0)),""))</f>
        <v/>
      </c>
      <c r="E152" s="120">
        <f t="array" ref="E152:E152">IF(F152="","",IFERROR(INDEX('1.職能辭典'!$A:$A,MATCH(F152,'1.職能辭典'!$C:$C,0)),""))</f>
        <v/>
      </c>
      <c r="F152" s="94" t="n"/>
      <c r="G152" s="120">
        <f t="array" ref="G152:G152">IF(OR(D152="",F152=""),"",IFERROR(IF(AND(OR(INDEX('1.職能辭典'!$J:$J,MATCH(F152,'1.職能辭典'!$C:$C,0))="全部",INDEX('3.員工名單'!$H:$H,MATCH(A152,'3.員工名單'!$A:$A,0))="兩款共用",INDEX('3.員工名單'!$H:$H,MATCH(A152,'3.員工名單'!$A:$A,0))=INDEX('1.職能辭典'!$J:$J,MATCH(F152,'1.職能辭典'!$C:$C,0))),OR(INDEX('1.職能辭典'!$K:$K,MATCH(F152,'1.職能辭典'!$C:$C,0))="全部",SUMPRODUCT(ISNUMBER(SEARCH({"經營","管理","財務","企劃","營運","技術","數據","美術","測試","客服"},INDEX('3.員工名單'!$I:$I,MATCH(A152,'3.員工名單'!$A:$A,0))))*ISNUMBER(SEARCH({"經營","管理","財務","企劃","營運","技術","數據","美術","測試","客服"},INDEX('1.職能辭典'!$K:$K,MATCH(F152,'1.職能辭典'!$C:$C,0)))))&gt;0)),INDEX('2.職務職能需求'!$B$2:$F$28,MATCH(F152,'2.職務職能需求'!$A$2:$A$28,0),MATCH(D152,'2.職務職能需求'!$B$1:$F$1,0)),0),""))</f>
        <v/>
      </c>
      <c r="H152" s="94" t="n"/>
      <c r="I152" s="94" t="n"/>
      <c r="J152" s="120">
        <f>IF(OR(G152="",I152="",G152=0),"",I152-G152)</f>
        <v/>
      </c>
      <c r="K152" s="120">
        <f>IF(G152="","",IF(G152=0,"不適用",IF(I152="","待評核",IF(I152&gt;=G152,IF(I152&gt;G152,"超越","達標"),"待發展"))))</f>
        <v/>
      </c>
      <c r="L152" s="91" t="n"/>
      <c r="M152" s="91" t="n"/>
      <c r="N152" s="88" t="n"/>
    </row>
    <row r="153" ht="15.75" customHeight="1" s="64">
      <c r="A153" s="88" t="n"/>
      <c r="B153" s="120">
        <f t="array" ref="B153:B153">IF(A153="","",IFERROR(INDEX('3.員工名單'!$B:$B,MATCH(A153,'3.員工名單'!$A:$A,0)),"查無此員工"))</f>
        <v/>
      </c>
      <c r="C153" s="120">
        <f t="array" ref="C153:C153">IF(A153="","",IFERROR(INDEX('3.員工名單'!$C:$C,MATCH(A153,'3.員工名單'!$A:$A,0)),""))</f>
        <v/>
      </c>
      <c r="D153" s="120">
        <f t="array" ref="D153:D153">IF(A153="","",IFERROR(INDEX('3.員工名單'!$D:$D,MATCH(A153,'3.員工名單'!$A:$A,0)),""))</f>
        <v/>
      </c>
      <c r="E153" s="120">
        <f t="array" ref="E153:E153">IF(F153="","",IFERROR(INDEX('1.職能辭典'!$A:$A,MATCH(F153,'1.職能辭典'!$C:$C,0)),""))</f>
        <v/>
      </c>
      <c r="F153" s="94" t="n"/>
      <c r="G153" s="120">
        <f t="array" ref="G153:G153">IF(OR(D153="",F153=""),"",IFERROR(IF(AND(OR(INDEX('1.職能辭典'!$J:$J,MATCH(F153,'1.職能辭典'!$C:$C,0))="全部",INDEX('3.員工名單'!$H:$H,MATCH(A153,'3.員工名單'!$A:$A,0))="兩款共用",INDEX('3.員工名單'!$H:$H,MATCH(A153,'3.員工名單'!$A:$A,0))=INDEX('1.職能辭典'!$J:$J,MATCH(F153,'1.職能辭典'!$C:$C,0))),OR(INDEX('1.職能辭典'!$K:$K,MATCH(F153,'1.職能辭典'!$C:$C,0))="全部",SUMPRODUCT(ISNUMBER(SEARCH({"經營","管理","財務","企劃","營運","技術","數據","美術","測試","客服"},INDEX('3.員工名單'!$I:$I,MATCH(A153,'3.員工名單'!$A:$A,0))))*ISNUMBER(SEARCH({"經營","管理","財務","企劃","營運","技術","數據","美術","測試","客服"},INDEX('1.職能辭典'!$K:$K,MATCH(F153,'1.職能辭典'!$C:$C,0)))))&gt;0)),INDEX('2.職務職能需求'!$B$2:$F$28,MATCH(F153,'2.職務職能需求'!$A$2:$A$28,0),MATCH(D153,'2.職務職能需求'!$B$1:$F$1,0)),0),""))</f>
        <v/>
      </c>
      <c r="H153" s="94" t="n"/>
      <c r="I153" s="94" t="n"/>
      <c r="J153" s="120">
        <f>IF(OR(G153="",I153="",G153=0),"",I153-G153)</f>
        <v/>
      </c>
      <c r="K153" s="120">
        <f>IF(G153="","",IF(G153=0,"不適用",IF(I153="","待評核",IF(I153&gt;=G153,IF(I153&gt;G153,"超越","達標"),"待發展"))))</f>
        <v/>
      </c>
      <c r="L153" s="91" t="n"/>
      <c r="M153" s="91" t="n"/>
      <c r="N153" s="88" t="n"/>
    </row>
    <row r="154" ht="15.75" customHeight="1" s="64">
      <c r="A154" s="88" t="n"/>
      <c r="B154" s="120">
        <f t="array" ref="B154:B154">IF(A154="","",IFERROR(INDEX('3.員工名單'!$B:$B,MATCH(A154,'3.員工名單'!$A:$A,0)),"查無此員工"))</f>
        <v/>
      </c>
      <c r="C154" s="120">
        <f t="array" ref="C154:C154">IF(A154="","",IFERROR(INDEX('3.員工名單'!$C:$C,MATCH(A154,'3.員工名單'!$A:$A,0)),""))</f>
        <v/>
      </c>
      <c r="D154" s="120">
        <f t="array" ref="D154:D154">IF(A154="","",IFERROR(INDEX('3.員工名單'!$D:$D,MATCH(A154,'3.員工名單'!$A:$A,0)),""))</f>
        <v/>
      </c>
      <c r="E154" s="120">
        <f t="array" ref="E154:E154">IF(F154="","",IFERROR(INDEX('1.職能辭典'!$A:$A,MATCH(F154,'1.職能辭典'!$C:$C,0)),""))</f>
        <v/>
      </c>
      <c r="F154" s="94" t="n"/>
      <c r="G154" s="120">
        <f t="array" ref="G154:G154">IF(OR(D154="",F154=""),"",IFERROR(IF(AND(OR(INDEX('1.職能辭典'!$J:$J,MATCH(F154,'1.職能辭典'!$C:$C,0))="全部",INDEX('3.員工名單'!$H:$H,MATCH(A154,'3.員工名單'!$A:$A,0))="兩款共用",INDEX('3.員工名單'!$H:$H,MATCH(A154,'3.員工名單'!$A:$A,0))=INDEX('1.職能辭典'!$J:$J,MATCH(F154,'1.職能辭典'!$C:$C,0))),OR(INDEX('1.職能辭典'!$K:$K,MATCH(F154,'1.職能辭典'!$C:$C,0))="全部",SUMPRODUCT(ISNUMBER(SEARCH({"經營","管理","財務","企劃","營運","技術","數據","美術","測試","客服"},INDEX('3.員工名單'!$I:$I,MATCH(A154,'3.員工名單'!$A:$A,0))))*ISNUMBER(SEARCH({"經營","管理","財務","企劃","營運","技術","數據","美術","測試","客服"},INDEX('1.職能辭典'!$K:$K,MATCH(F154,'1.職能辭典'!$C:$C,0)))))&gt;0)),INDEX('2.職務職能需求'!$B$2:$F$28,MATCH(F154,'2.職務職能需求'!$A$2:$A$28,0),MATCH(D154,'2.職務職能需求'!$B$1:$F$1,0)),0),""))</f>
        <v/>
      </c>
      <c r="H154" s="94" t="n"/>
      <c r="I154" s="94" t="n"/>
      <c r="J154" s="120">
        <f>IF(OR(G154="",I154="",G154=0),"",I154-G154)</f>
        <v/>
      </c>
      <c r="K154" s="120">
        <f>IF(G154="","",IF(G154=0,"不適用",IF(I154="","待評核",IF(I154&gt;=G154,IF(I154&gt;G154,"超越","達標"),"待發展"))))</f>
        <v/>
      </c>
      <c r="L154" s="91" t="n"/>
      <c r="M154" s="91" t="n"/>
      <c r="N154" s="88" t="n"/>
    </row>
    <row r="155" ht="15.75" customHeight="1" s="64">
      <c r="A155" s="88" t="n"/>
      <c r="B155" s="120">
        <f t="array" ref="B155:B155">IF(A155="","",IFERROR(INDEX('3.員工名單'!$B:$B,MATCH(A155,'3.員工名單'!$A:$A,0)),"查無此員工"))</f>
        <v/>
      </c>
      <c r="C155" s="120">
        <f t="array" ref="C155:C155">IF(A155="","",IFERROR(INDEX('3.員工名單'!$C:$C,MATCH(A155,'3.員工名單'!$A:$A,0)),""))</f>
        <v/>
      </c>
      <c r="D155" s="120">
        <f t="array" ref="D155:D155">IF(A155="","",IFERROR(INDEX('3.員工名單'!$D:$D,MATCH(A155,'3.員工名單'!$A:$A,0)),""))</f>
        <v/>
      </c>
      <c r="E155" s="120">
        <f t="array" ref="E155:E155">IF(F155="","",IFERROR(INDEX('1.職能辭典'!$A:$A,MATCH(F155,'1.職能辭典'!$C:$C,0)),""))</f>
        <v/>
      </c>
      <c r="F155" s="94" t="n"/>
      <c r="G155" s="120">
        <f t="array" ref="G155:G155">IF(OR(D155="",F155=""),"",IFERROR(IF(AND(OR(INDEX('1.職能辭典'!$J:$J,MATCH(F155,'1.職能辭典'!$C:$C,0))="全部",INDEX('3.員工名單'!$H:$H,MATCH(A155,'3.員工名單'!$A:$A,0))="兩款共用",INDEX('3.員工名單'!$H:$H,MATCH(A155,'3.員工名單'!$A:$A,0))=INDEX('1.職能辭典'!$J:$J,MATCH(F155,'1.職能辭典'!$C:$C,0))),OR(INDEX('1.職能辭典'!$K:$K,MATCH(F155,'1.職能辭典'!$C:$C,0))="全部",SUMPRODUCT(ISNUMBER(SEARCH({"經營","管理","財務","企劃","營運","技術","數據","美術","測試","客服"},INDEX('3.員工名單'!$I:$I,MATCH(A155,'3.員工名單'!$A:$A,0))))*ISNUMBER(SEARCH({"經營","管理","財務","企劃","營運","技術","數據","美術","測試","客服"},INDEX('1.職能辭典'!$K:$K,MATCH(F155,'1.職能辭典'!$C:$C,0)))))&gt;0)),INDEX('2.職務職能需求'!$B$2:$F$28,MATCH(F155,'2.職務職能需求'!$A$2:$A$28,0),MATCH(D155,'2.職務職能需求'!$B$1:$F$1,0)),0),""))</f>
        <v/>
      </c>
      <c r="H155" s="94" t="n"/>
      <c r="I155" s="94" t="n"/>
      <c r="J155" s="120">
        <f>IF(OR(G155="",I155="",G155=0),"",I155-G155)</f>
        <v/>
      </c>
      <c r="K155" s="120">
        <f>IF(G155="","",IF(G155=0,"不適用",IF(I155="","待評核",IF(I155&gt;=G155,IF(I155&gt;G155,"超越","達標"),"待發展"))))</f>
        <v/>
      </c>
      <c r="L155" s="91" t="n"/>
      <c r="M155" s="91" t="n"/>
      <c r="N155" s="88" t="n"/>
    </row>
    <row r="156" ht="15.75" customHeight="1" s="64">
      <c r="A156" s="88" t="n"/>
      <c r="B156" s="120">
        <f t="array" ref="B156:B156">IF(A156="","",IFERROR(INDEX('3.員工名單'!$B:$B,MATCH(A156,'3.員工名單'!$A:$A,0)),"查無此員工"))</f>
        <v/>
      </c>
      <c r="C156" s="120">
        <f t="array" ref="C156:C156">IF(A156="","",IFERROR(INDEX('3.員工名單'!$C:$C,MATCH(A156,'3.員工名單'!$A:$A,0)),""))</f>
        <v/>
      </c>
      <c r="D156" s="120">
        <f t="array" ref="D156:D156">IF(A156="","",IFERROR(INDEX('3.員工名單'!$D:$D,MATCH(A156,'3.員工名單'!$A:$A,0)),""))</f>
        <v/>
      </c>
      <c r="E156" s="120">
        <f t="array" ref="E156:E156">IF(F156="","",IFERROR(INDEX('1.職能辭典'!$A:$A,MATCH(F156,'1.職能辭典'!$C:$C,0)),""))</f>
        <v/>
      </c>
      <c r="F156" s="94" t="n"/>
      <c r="G156" s="120">
        <f t="array" ref="G156:G156">IF(OR(D156="",F156=""),"",IFERROR(IF(AND(OR(INDEX('1.職能辭典'!$J:$J,MATCH(F156,'1.職能辭典'!$C:$C,0))="全部",INDEX('3.員工名單'!$H:$H,MATCH(A156,'3.員工名單'!$A:$A,0))="兩款共用",INDEX('3.員工名單'!$H:$H,MATCH(A156,'3.員工名單'!$A:$A,0))=INDEX('1.職能辭典'!$J:$J,MATCH(F156,'1.職能辭典'!$C:$C,0))),OR(INDEX('1.職能辭典'!$K:$K,MATCH(F156,'1.職能辭典'!$C:$C,0))="全部",SUMPRODUCT(ISNUMBER(SEARCH({"經營","管理","財務","企劃","營運","技術","數據","美術","測試","客服"},INDEX('3.員工名單'!$I:$I,MATCH(A156,'3.員工名單'!$A:$A,0))))*ISNUMBER(SEARCH({"經營","管理","財務","企劃","營運","技術","數據","美術","測試","客服"},INDEX('1.職能辭典'!$K:$K,MATCH(F156,'1.職能辭典'!$C:$C,0)))))&gt;0)),INDEX('2.職務職能需求'!$B$2:$F$28,MATCH(F156,'2.職務職能需求'!$A$2:$A$28,0),MATCH(D156,'2.職務職能需求'!$B$1:$F$1,0)),0),""))</f>
        <v/>
      </c>
      <c r="H156" s="94" t="n"/>
      <c r="I156" s="94" t="n"/>
      <c r="J156" s="120">
        <f>IF(OR(G156="",I156="",G156=0),"",I156-G156)</f>
        <v/>
      </c>
      <c r="K156" s="120">
        <f>IF(G156="","",IF(G156=0,"不適用",IF(I156="","待評核",IF(I156&gt;=G156,IF(I156&gt;G156,"超越","達標"),"待發展"))))</f>
        <v/>
      </c>
      <c r="L156" s="91" t="n"/>
      <c r="M156" s="91" t="n"/>
      <c r="N156" s="88" t="n"/>
    </row>
    <row r="157" ht="15.75" customHeight="1" s="64">
      <c r="A157" s="88" t="n"/>
      <c r="B157" s="120">
        <f t="array" ref="B157:B157">IF(A157="","",IFERROR(INDEX('3.員工名單'!$B:$B,MATCH(A157,'3.員工名單'!$A:$A,0)),"查無此員工"))</f>
        <v/>
      </c>
      <c r="C157" s="120">
        <f t="array" ref="C157:C157">IF(A157="","",IFERROR(INDEX('3.員工名單'!$C:$C,MATCH(A157,'3.員工名單'!$A:$A,0)),""))</f>
        <v/>
      </c>
      <c r="D157" s="120">
        <f t="array" ref="D157:D157">IF(A157="","",IFERROR(INDEX('3.員工名單'!$D:$D,MATCH(A157,'3.員工名單'!$A:$A,0)),""))</f>
        <v/>
      </c>
      <c r="E157" s="120">
        <f t="array" ref="E157:E157">IF(F157="","",IFERROR(INDEX('1.職能辭典'!$A:$A,MATCH(F157,'1.職能辭典'!$C:$C,0)),""))</f>
        <v/>
      </c>
      <c r="F157" s="94" t="n"/>
      <c r="G157" s="120">
        <f t="array" ref="G157:G157">IF(OR(D157="",F157=""),"",IFERROR(IF(AND(OR(INDEX('1.職能辭典'!$J:$J,MATCH(F157,'1.職能辭典'!$C:$C,0))="全部",INDEX('3.員工名單'!$H:$H,MATCH(A157,'3.員工名單'!$A:$A,0))="兩款共用",INDEX('3.員工名單'!$H:$H,MATCH(A157,'3.員工名單'!$A:$A,0))=INDEX('1.職能辭典'!$J:$J,MATCH(F157,'1.職能辭典'!$C:$C,0))),OR(INDEX('1.職能辭典'!$K:$K,MATCH(F157,'1.職能辭典'!$C:$C,0))="全部",SUMPRODUCT(ISNUMBER(SEARCH({"經營","管理","財務","企劃","營運","技術","數據","美術","測試","客服"},INDEX('3.員工名單'!$I:$I,MATCH(A157,'3.員工名單'!$A:$A,0))))*ISNUMBER(SEARCH({"經營","管理","財務","企劃","營運","技術","數據","美術","測試","客服"},INDEX('1.職能辭典'!$K:$K,MATCH(F157,'1.職能辭典'!$C:$C,0)))))&gt;0)),INDEX('2.職務職能需求'!$B$2:$F$28,MATCH(F157,'2.職務職能需求'!$A$2:$A$28,0),MATCH(D157,'2.職務職能需求'!$B$1:$F$1,0)),0),""))</f>
        <v/>
      </c>
      <c r="H157" s="94" t="n"/>
      <c r="I157" s="94" t="n"/>
      <c r="J157" s="120">
        <f>IF(OR(G157="",I157="",G157=0),"",I157-G157)</f>
        <v/>
      </c>
      <c r="K157" s="120">
        <f>IF(G157="","",IF(G157=0,"不適用",IF(I157="","待評核",IF(I157&gt;=G157,IF(I157&gt;G157,"超越","達標"),"待發展"))))</f>
        <v/>
      </c>
      <c r="L157" s="91" t="n"/>
      <c r="M157" s="91" t="n"/>
      <c r="N157" s="88" t="n"/>
    </row>
    <row r="158" ht="15.75" customHeight="1" s="64">
      <c r="A158" s="88" t="n"/>
      <c r="B158" s="120">
        <f t="array" ref="B158:B158">IF(A158="","",IFERROR(INDEX('3.員工名單'!$B:$B,MATCH(A158,'3.員工名單'!$A:$A,0)),"查無此員工"))</f>
        <v/>
      </c>
      <c r="C158" s="120">
        <f t="array" ref="C158:C158">IF(A158="","",IFERROR(INDEX('3.員工名單'!$C:$C,MATCH(A158,'3.員工名單'!$A:$A,0)),""))</f>
        <v/>
      </c>
      <c r="D158" s="120">
        <f t="array" ref="D158:D158">IF(A158="","",IFERROR(INDEX('3.員工名單'!$D:$D,MATCH(A158,'3.員工名單'!$A:$A,0)),""))</f>
        <v/>
      </c>
      <c r="E158" s="120">
        <f t="array" ref="E158:E158">IF(F158="","",IFERROR(INDEX('1.職能辭典'!$A:$A,MATCH(F158,'1.職能辭典'!$C:$C,0)),""))</f>
        <v/>
      </c>
      <c r="F158" s="94" t="n"/>
      <c r="G158" s="120">
        <f t="array" ref="G158:G158">IF(OR(D158="",F158=""),"",IFERROR(IF(AND(OR(INDEX('1.職能辭典'!$J:$J,MATCH(F158,'1.職能辭典'!$C:$C,0))="全部",INDEX('3.員工名單'!$H:$H,MATCH(A158,'3.員工名單'!$A:$A,0))="兩款共用",INDEX('3.員工名單'!$H:$H,MATCH(A158,'3.員工名單'!$A:$A,0))=INDEX('1.職能辭典'!$J:$J,MATCH(F158,'1.職能辭典'!$C:$C,0))),OR(INDEX('1.職能辭典'!$K:$K,MATCH(F158,'1.職能辭典'!$C:$C,0))="全部",SUMPRODUCT(ISNUMBER(SEARCH({"經營","管理","財務","企劃","營運","技術","數據","美術","測試","客服"},INDEX('3.員工名單'!$I:$I,MATCH(A158,'3.員工名單'!$A:$A,0))))*ISNUMBER(SEARCH({"經營","管理","財務","企劃","營運","技術","數據","美術","測試","客服"},INDEX('1.職能辭典'!$K:$K,MATCH(F158,'1.職能辭典'!$C:$C,0)))))&gt;0)),INDEX('2.職務職能需求'!$B$2:$F$28,MATCH(F158,'2.職務職能需求'!$A$2:$A$28,0),MATCH(D158,'2.職務職能需求'!$B$1:$F$1,0)),0),""))</f>
        <v/>
      </c>
      <c r="H158" s="94" t="n"/>
      <c r="I158" s="94" t="n"/>
      <c r="J158" s="120">
        <f>IF(OR(G158="",I158="",G158=0),"",I158-G158)</f>
        <v/>
      </c>
      <c r="K158" s="120">
        <f>IF(G158="","",IF(G158=0,"不適用",IF(I158="","待評核",IF(I158&gt;=G158,IF(I158&gt;G158,"超越","達標"),"待發展"))))</f>
        <v/>
      </c>
      <c r="L158" s="91" t="n"/>
      <c r="M158" s="91" t="n"/>
      <c r="N158" s="88" t="n"/>
    </row>
    <row r="159" ht="15.75" customHeight="1" s="64">
      <c r="A159" s="88" t="n"/>
      <c r="B159" s="120">
        <f t="array" ref="B159:B159">IF(A159="","",IFERROR(INDEX('3.員工名單'!$B:$B,MATCH(A159,'3.員工名單'!$A:$A,0)),"查無此員工"))</f>
        <v/>
      </c>
      <c r="C159" s="120">
        <f t="array" ref="C159:C159">IF(A159="","",IFERROR(INDEX('3.員工名單'!$C:$C,MATCH(A159,'3.員工名單'!$A:$A,0)),""))</f>
        <v/>
      </c>
      <c r="D159" s="120">
        <f t="array" ref="D159:D159">IF(A159="","",IFERROR(INDEX('3.員工名單'!$D:$D,MATCH(A159,'3.員工名單'!$A:$A,0)),""))</f>
        <v/>
      </c>
      <c r="E159" s="120">
        <f t="array" ref="E159:E159">IF(F159="","",IFERROR(INDEX('1.職能辭典'!$A:$A,MATCH(F159,'1.職能辭典'!$C:$C,0)),""))</f>
        <v/>
      </c>
      <c r="F159" s="94" t="n"/>
      <c r="G159" s="120">
        <f t="array" ref="G159:G159">IF(OR(D159="",F159=""),"",IFERROR(IF(AND(OR(INDEX('1.職能辭典'!$J:$J,MATCH(F159,'1.職能辭典'!$C:$C,0))="全部",INDEX('3.員工名單'!$H:$H,MATCH(A159,'3.員工名單'!$A:$A,0))="兩款共用",INDEX('3.員工名單'!$H:$H,MATCH(A159,'3.員工名單'!$A:$A,0))=INDEX('1.職能辭典'!$J:$J,MATCH(F159,'1.職能辭典'!$C:$C,0))),OR(INDEX('1.職能辭典'!$K:$K,MATCH(F159,'1.職能辭典'!$C:$C,0))="全部",SUMPRODUCT(ISNUMBER(SEARCH({"經營","管理","財務","企劃","營運","技術","數據","美術","測試","客服"},INDEX('3.員工名單'!$I:$I,MATCH(A159,'3.員工名單'!$A:$A,0))))*ISNUMBER(SEARCH({"經營","管理","財務","企劃","營運","技術","數據","美術","測試","客服"},INDEX('1.職能辭典'!$K:$K,MATCH(F159,'1.職能辭典'!$C:$C,0)))))&gt;0)),INDEX('2.職務職能需求'!$B$2:$F$28,MATCH(F159,'2.職務職能需求'!$A$2:$A$28,0),MATCH(D159,'2.職務職能需求'!$B$1:$F$1,0)),0),""))</f>
        <v/>
      </c>
      <c r="H159" s="94" t="n"/>
      <c r="I159" s="94" t="n"/>
      <c r="J159" s="120">
        <f>IF(OR(G159="",I159="",G159=0),"",I159-G159)</f>
        <v/>
      </c>
      <c r="K159" s="120">
        <f>IF(G159="","",IF(G159=0,"不適用",IF(I159="","待評核",IF(I159&gt;=G159,IF(I159&gt;G159,"超越","達標"),"待發展"))))</f>
        <v/>
      </c>
      <c r="L159" s="91" t="n"/>
      <c r="M159" s="91" t="n"/>
      <c r="N159" s="88" t="n"/>
    </row>
    <row r="160" ht="15.75" customHeight="1" s="64">
      <c r="A160" s="88" t="n"/>
      <c r="B160" s="120">
        <f t="array" ref="B160:B160">IF(A160="","",IFERROR(INDEX('3.員工名單'!$B:$B,MATCH(A160,'3.員工名單'!$A:$A,0)),"查無此員工"))</f>
        <v/>
      </c>
      <c r="C160" s="120">
        <f t="array" ref="C160:C160">IF(A160="","",IFERROR(INDEX('3.員工名單'!$C:$C,MATCH(A160,'3.員工名單'!$A:$A,0)),""))</f>
        <v/>
      </c>
      <c r="D160" s="120">
        <f t="array" ref="D160:D160">IF(A160="","",IFERROR(INDEX('3.員工名單'!$D:$D,MATCH(A160,'3.員工名單'!$A:$A,0)),""))</f>
        <v/>
      </c>
      <c r="E160" s="120">
        <f t="array" ref="E160:E160">IF(F160="","",IFERROR(INDEX('1.職能辭典'!$A:$A,MATCH(F160,'1.職能辭典'!$C:$C,0)),""))</f>
        <v/>
      </c>
      <c r="F160" s="94" t="n"/>
      <c r="G160" s="120">
        <f t="array" ref="G160:G160">IF(OR(D160="",F160=""),"",IFERROR(IF(AND(OR(INDEX('1.職能辭典'!$J:$J,MATCH(F160,'1.職能辭典'!$C:$C,0))="全部",INDEX('3.員工名單'!$H:$H,MATCH(A160,'3.員工名單'!$A:$A,0))="兩款共用",INDEX('3.員工名單'!$H:$H,MATCH(A160,'3.員工名單'!$A:$A,0))=INDEX('1.職能辭典'!$J:$J,MATCH(F160,'1.職能辭典'!$C:$C,0))),OR(INDEX('1.職能辭典'!$K:$K,MATCH(F160,'1.職能辭典'!$C:$C,0))="全部",SUMPRODUCT(ISNUMBER(SEARCH({"經營","管理","財務","企劃","營運","技術","數據","美術","測試","客服"},INDEX('3.員工名單'!$I:$I,MATCH(A160,'3.員工名單'!$A:$A,0))))*ISNUMBER(SEARCH({"經營","管理","財務","企劃","營運","技術","數據","美術","測試","客服"},INDEX('1.職能辭典'!$K:$K,MATCH(F160,'1.職能辭典'!$C:$C,0)))))&gt;0)),INDEX('2.職務職能需求'!$B$2:$F$28,MATCH(F160,'2.職務職能需求'!$A$2:$A$28,0),MATCH(D160,'2.職務職能需求'!$B$1:$F$1,0)),0),""))</f>
        <v/>
      </c>
      <c r="H160" s="94" t="n"/>
      <c r="I160" s="94" t="n"/>
      <c r="J160" s="120">
        <f>IF(OR(G160="",I160="",G160=0),"",I160-G160)</f>
        <v/>
      </c>
      <c r="K160" s="120">
        <f>IF(G160="","",IF(G160=0,"不適用",IF(I160="","待評核",IF(I160&gt;=G160,IF(I160&gt;G160,"超越","達標"),"待發展"))))</f>
        <v/>
      </c>
      <c r="L160" s="91" t="n"/>
      <c r="M160" s="91" t="n"/>
      <c r="N160" s="88" t="n"/>
    </row>
    <row r="161" ht="15.75" customHeight="1" s="64">
      <c r="A161" s="88" t="n"/>
      <c r="B161" s="120">
        <f t="array" ref="B161:B161">IF(A161="","",IFERROR(INDEX('3.員工名單'!$B:$B,MATCH(A161,'3.員工名單'!$A:$A,0)),"查無此員工"))</f>
        <v/>
      </c>
      <c r="C161" s="120">
        <f t="array" ref="C161:C161">IF(A161="","",IFERROR(INDEX('3.員工名單'!$C:$C,MATCH(A161,'3.員工名單'!$A:$A,0)),""))</f>
        <v/>
      </c>
      <c r="D161" s="120">
        <f t="array" ref="D161:D161">IF(A161="","",IFERROR(INDEX('3.員工名單'!$D:$D,MATCH(A161,'3.員工名單'!$A:$A,0)),""))</f>
        <v/>
      </c>
      <c r="E161" s="120">
        <f t="array" ref="E161:E161">IF(F161="","",IFERROR(INDEX('1.職能辭典'!$A:$A,MATCH(F161,'1.職能辭典'!$C:$C,0)),""))</f>
        <v/>
      </c>
      <c r="F161" s="94" t="n"/>
      <c r="G161" s="120">
        <f t="array" ref="G161:G161">IF(OR(D161="",F161=""),"",IFERROR(IF(AND(OR(INDEX('1.職能辭典'!$J:$J,MATCH(F161,'1.職能辭典'!$C:$C,0))="全部",INDEX('3.員工名單'!$H:$H,MATCH(A161,'3.員工名單'!$A:$A,0))="兩款共用",INDEX('3.員工名單'!$H:$H,MATCH(A161,'3.員工名單'!$A:$A,0))=INDEX('1.職能辭典'!$J:$J,MATCH(F161,'1.職能辭典'!$C:$C,0))),OR(INDEX('1.職能辭典'!$K:$K,MATCH(F161,'1.職能辭典'!$C:$C,0))="全部",SUMPRODUCT(ISNUMBER(SEARCH({"經營","管理","財務","企劃","營運","技術","數據","美術","測試","客服"},INDEX('3.員工名單'!$I:$I,MATCH(A161,'3.員工名單'!$A:$A,0))))*ISNUMBER(SEARCH({"經營","管理","財務","企劃","營運","技術","數據","美術","測試","客服"},INDEX('1.職能辭典'!$K:$K,MATCH(F161,'1.職能辭典'!$C:$C,0)))))&gt;0)),INDEX('2.職務職能需求'!$B$2:$F$28,MATCH(F161,'2.職務職能需求'!$A$2:$A$28,0),MATCH(D161,'2.職務職能需求'!$B$1:$F$1,0)),0),""))</f>
        <v/>
      </c>
      <c r="H161" s="94" t="n"/>
      <c r="I161" s="94" t="n"/>
      <c r="J161" s="120">
        <f>IF(OR(G161="",I161="",G161=0),"",I161-G161)</f>
        <v/>
      </c>
      <c r="K161" s="120">
        <f>IF(G161="","",IF(G161=0,"不適用",IF(I161="","待評核",IF(I161&gt;=G161,IF(I161&gt;G161,"超越","達標"),"待發展"))))</f>
        <v/>
      </c>
      <c r="L161" s="91" t="n"/>
      <c r="M161" s="91" t="n"/>
      <c r="N161" s="88" t="n"/>
    </row>
    <row r="162" ht="15.75" customHeight="1" s="64">
      <c r="A162" s="88" t="n"/>
      <c r="B162" s="120">
        <f t="array" ref="B162:B162">IF(A162="","",IFERROR(INDEX('3.員工名單'!$B:$B,MATCH(A162,'3.員工名單'!$A:$A,0)),"查無此員工"))</f>
        <v/>
      </c>
      <c r="C162" s="120">
        <f t="array" ref="C162:C162">IF(A162="","",IFERROR(INDEX('3.員工名單'!$C:$C,MATCH(A162,'3.員工名單'!$A:$A,0)),""))</f>
        <v/>
      </c>
      <c r="D162" s="120">
        <f t="array" ref="D162:D162">IF(A162="","",IFERROR(INDEX('3.員工名單'!$D:$D,MATCH(A162,'3.員工名單'!$A:$A,0)),""))</f>
        <v/>
      </c>
      <c r="E162" s="120">
        <f t="array" ref="E162:E162">IF(F162="","",IFERROR(INDEX('1.職能辭典'!$A:$A,MATCH(F162,'1.職能辭典'!$C:$C,0)),""))</f>
        <v/>
      </c>
      <c r="F162" s="94" t="n"/>
      <c r="G162" s="120">
        <f t="array" ref="G162:G162">IF(OR(D162="",F162=""),"",IFERROR(IF(AND(OR(INDEX('1.職能辭典'!$J:$J,MATCH(F162,'1.職能辭典'!$C:$C,0))="全部",INDEX('3.員工名單'!$H:$H,MATCH(A162,'3.員工名單'!$A:$A,0))="兩款共用",INDEX('3.員工名單'!$H:$H,MATCH(A162,'3.員工名單'!$A:$A,0))=INDEX('1.職能辭典'!$J:$J,MATCH(F162,'1.職能辭典'!$C:$C,0))),OR(INDEX('1.職能辭典'!$K:$K,MATCH(F162,'1.職能辭典'!$C:$C,0))="全部",SUMPRODUCT(ISNUMBER(SEARCH({"經營","管理","財務","企劃","營運","技術","數據","美術","測試","客服"},INDEX('3.員工名單'!$I:$I,MATCH(A162,'3.員工名單'!$A:$A,0))))*ISNUMBER(SEARCH({"經營","管理","財務","企劃","營運","技術","數據","美術","測試","客服"},INDEX('1.職能辭典'!$K:$K,MATCH(F162,'1.職能辭典'!$C:$C,0)))))&gt;0)),INDEX('2.職務職能需求'!$B$2:$F$28,MATCH(F162,'2.職務職能需求'!$A$2:$A$28,0),MATCH(D162,'2.職務職能需求'!$B$1:$F$1,0)),0),""))</f>
        <v/>
      </c>
      <c r="H162" s="94" t="n"/>
      <c r="I162" s="94" t="n"/>
      <c r="J162" s="120">
        <f>IF(OR(G162="",I162="",G162=0),"",I162-G162)</f>
        <v/>
      </c>
      <c r="K162" s="120">
        <f>IF(G162="","",IF(G162=0,"不適用",IF(I162="","待評核",IF(I162&gt;=G162,IF(I162&gt;G162,"超越","達標"),"待發展"))))</f>
        <v/>
      </c>
      <c r="L162" s="91" t="n"/>
      <c r="M162" s="91" t="n"/>
      <c r="N162" s="88" t="n"/>
    </row>
    <row r="163" ht="15.75" customHeight="1" s="64">
      <c r="A163" s="88" t="n"/>
      <c r="B163" s="120">
        <f t="array" ref="B163:B163">IF(A163="","",IFERROR(INDEX('3.員工名單'!$B:$B,MATCH(A163,'3.員工名單'!$A:$A,0)),"查無此員工"))</f>
        <v/>
      </c>
      <c r="C163" s="120">
        <f t="array" ref="C163:C163">IF(A163="","",IFERROR(INDEX('3.員工名單'!$C:$C,MATCH(A163,'3.員工名單'!$A:$A,0)),""))</f>
        <v/>
      </c>
      <c r="D163" s="120">
        <f t="array" ref="D163:D163">IF(A163="","",IFERROR(INDEX('3.員工名單'!$D:$D,MATCH(A163,'3.員工名單'!$A:$A,0)),""))</f>
        <v/>
      </c>
      <c r="E163" s="120">
        <f t="array" ref="E163:E163">IF(F163="","",IFERROR(INDEX('1.職能辭典'!$A:$A,MATCH(F163,'1.職能辭典'!$C:$C,0)),""))</f>
        <v/>
      </c>
      <c r="F163" s="94" t="n"/>
      <c r="G163" s="120">
        <f t="array" ref="G163:G163">IF(OR(D163="",F163=""),"",IFERROR(IF(AND(OR(INDEX('1.職能辭典'!$J:$J,MATCH(F163,'1.職能辭典'!$C:$C,0))="全部",INDEX('3.員工名單'!$H:$H,MATCH(A163,'3.員工名單'!$A:$A,0))="兩款共用",INDEX('3.員工名單'!$H:$H,MATCH(A163,'3.員工名單'!$A:$A,0))=INDEX('1.職能辭典'!$J:$J,MATCH(F163,'1.職能辭典'!$C:$C,0))),OR(INDEX('1.職能辭典'!$K:$K,MATCH(F163,'1.職能辭典'!$C:$C,0))="全部",SUMPRODUCT(ISNUMBER(SEARCH({"經營","管理","財務","企劃","營運","技術","數據","美術","測試","客服"},INDEX('3.員工名單'!$I:$I,MATCH(A163,'3.員工名單'!$A:$A,0))))*ISNUMBER(SEARCH({"經營","管理","財務","企劃","營運","技術","數據","美術","測試","客服"},INDEX('1.職能辭典'!$K:$K,MATCH(F163,'1.職能辭典'!$C:$C,0)))))&gt;0)),INDEX('2.職務職能需求'!$B$2:$F$28,MATCH(F163,'2.職務職能需求'!$A$2:$A$28,0),MATCH(D163,'2.職務職能需求'!$B$1:$F$1,0)),0),""))</f>
        <v/>
      </c>
      <c r="H163" s="94" t="n"/>
      <c r="I163" s="94" t="n"/>
      <c r="J163" s="120">
        <f>IF(OR(G163="",I163="",G163=0),"",I163-G163)</f>
        <v/>
      </c>
      <c r="K163" s="120">
        <f>IF(G163="","",IF(G163=0,"不適用",IF(I163="","待評核",IF(I163&gt;=G163,IF(I163&gt;G163,"超越","達標"),"待發展"))))</f>
        <v/>
      </c>
      <c r="L163" s="91" t="n"/>
      <c r="M163" s="91" t="n"/>
      <c r="N163" s="88" t="n"/>
    </row>
    <row r="164" ht="15.75" customHeight="1" s="64">
      <c r="A164" s="88" t="n"/>
      <c r="B164" s="120">
        <f t="array" ref="B164:B164">IF(A164="","",IFERROR(INDEX('3.員工名單'!$B:$B,MATCH(A164,'3.員工名單'!$A:$A,0)),"查無此員工"))</f>
        <v/>
      </c>
      <c r="C164" s="120">
        <f t="array" ref="C164:C164">IF(A164="","",IFERROR(INDEX('3.員工名單'!$C:$C,MATCH(A164,'3.員工名單'!$A:$A,0)),""))</f>
        <v/>
      </c>
      <c r="D164" s="120">
        <f t="array" ref="D164:D164">IF(A164="","",IFERROR(INDEX('3.員工名單'!$D:$D,MATCH(A164,'3.員工名單'!$A:$A,0)),""))</f>
        <v/>
      </c>
      <c r="E164" s="120">
        <f t="array" ref="E164:E164">IF(F164="","",IFERROR(INDEX('1.職能辭典'!$A:$A,MATCH(F164,'1.職能辭典'!$C:$C,0)),""))</f>
        <v/>
      </c>
      <c r="F164" s="94" t="n"/>
      <c r="G164" s="120">
        <f t="array" ref="G164:G164">IF(OR(D164="",F164=""),"",IFERROR(IF(AND(OR(INDEX('1.職能辭典'!$J:$J,MATCH(F164,'1.職能辭典'!$C:$C,0))="全部",INDEX('3.員工名單'!$H:$H,MATCH(A164,'3.員工名單'!$A:$A,0))="兩款共用",INDEX('3.員工名單'!$H:$H,MATCH(A164,'3.員工名單'!$A:$A,0))=INDEX('1.職能辭典'!$J:$J,MATCH(F164,'1.職能辭典'!$C:$C,0))),OR(INDEX('1.職能辭典'!$K:$K,MATCH(F164,'1.職能辭典'!$C:$C,0))="全部",SUMPRODUCT(ISNUMBER(SEARCH({"經營","管理","財務","企劃","營運","技術","數據","美術","測試","客服"},INDEX('3.員工名單'!$I:$I,MATCH(A164,'3.員工名單'!$A:$A,0))))*ISNUMBER(SEARCH({"經營","管理","財務","企劃","營運","技術","數據","美術","測試","客服"},INDEX('1.職能辭典'!$K:$K,MATCH(F164,'1.職能辭典'!$C:$C,0)))))&gt;0)),INDEX('2.職務職能需求'!$B$2:$F$28,MATCH(F164,'2.職務職能需求'!$A$2:$A$28,0),MATCH(D164,'2.職務職能需求'!$B$1:$F$1,0)),0),""))</f>
        <v/>
      </c>
      <c r="H164" s="94" t="n"/>
      <c r="I164" s="94" t="n"/>
      <c r="J164" s="120">
        <f>IF(OR(G164="",I164="",G164=0),"",I164-G164)</f>
        <v/>
      </c>
      <c r="K164" s="120">
        <f>IF(G164="","",IF(G164=0,"不適用",IF(I164="","待評核",IF(I164&gt;=G164,IF(I164&gt;G164,"超越","達標"),"待發展"))))</f>
        <v/>
      </c>
      <c r="L164" s="91" t="n"/>
      <c r="M164" s="91" t="n"/>
      <c r="N164" s="88" t="n"/>
    </row>
    <row r="165" ht="15.75" customHeight="1" s="64">
      <c r="A165" s="88" t="n"/>
      <c r="B165" s="120">
        <f t="array" ref="B165:B165">IF(A165="","",IFERROR(INDEX('3.員工名單'!$B:$B,MATCH(A165,'3.員工名單'!$A:$A,0)),"查無此員工"))</f>
        <v/>
      </c>
      <c r="C165" s="120">
        <f t="array" ref="C165:C165">IF(A165="","",IFERROR(INDEX('3.員工名單'!$C:$C,MATCH(A165,'3.員工名單'!$A:$A,0)),""))</f>
        <v/>
      </c>
      <c r="D165" s="120">
        <f t="array" ref="D165:D165">IF(A165="","",IFERROR(INDEX('3.員工名單'!$D:$D,MATCH(A165,'3.員工名單'!$A:$A,0)),""))</f>
        <v/>
      </c>
      <c r="E165" s="120">
        <f t="array" ref="E165:E165">IF(F165="","",IFERROR(INDEX('1.職能辭典'!$A:$A,MATCH(F165,'1.職能辭典'!$C:$C,0)),""))</f>
        <v/>
      </c>
      <c r="F165" s="94" t="n"/>
      <c r="G165" s="120">
        <f t="array" ref="G165:G165">IF(OR(D165="",F165=""),"",IFERROR(IF(AND(OR(INDEX('1.職能辭典'!$J:$J,MATCH(F165,'1.職能辭典'!$C:$C,0))="全部",INDEX('3.員工名單'!$H:$H,MATCH(A165,'3.員工名單'!$A:$A,0))="兩款共用",INDEX('3.員工名單'!$H:$H,MATCH(A165,'3.員工名單'!$A:$A,0))=INDEX('1.職能辭典'!$J:$J,MATCH(F165,'1.職能辭典'!$C:$C,0))),OR(INDEX('1.職能辭典'!$K:$K,MATCH(F165,'1.職能辭典'!$C:$C,0))="全部",SUMPRODUCT(ISNUMBER(SEARCH({"經營","管理","財務","企劃","營運","技術","數據","美術","測試","客服"},INDEX('3.員工名單'!$I:$I,MATCH(A165,'3.員工名單'!$A:$A,0))))*ISNUMBER(SEARCH({"經營","管理","財務","企劃","營運","技術","數據","美術","測試","客服"},INDEX('1.職能辭典'!$K:$K,MATCH(F165,'1.職能辭典'!$C:$C,0)))))&gt;0)),INDEX('2.職務職能需求'!$B$2:$F$28,MATCH(F165,'2.職務職能需求'!$A$2:$A$28,0),MATCH(D165,'2.職務職能需求'!$B$1:$F$1,0)),0),""))</f>
        <v/>
      </c>
      <c r="H165" s="94" t="n"/>
      <c r="I165" s="94" t="n"/>
      <c r="J165" s="120">
        <f>IF(OR(G165="",I165="",G165=0),"",I165-G165)</f>
        <v/>
      </c>
      <c r="K165" s="120">
        <f>IF(G165="","",IF(G165=0,"不適用",IF(I165="","待評核",IF(I165&gt;=G165,IF(I165&gt;G165,"超越","達標"),"待發展"))))</f>
        <v/>
      </c>
      <c r="L165" s="91" t="n"/>
      <c r="M165" s="91" t="n"/>
      <c r="N165" s="88" t="n"/>
    </row>
    <row r="166" ht="15.75" customHeight="1" s="64">
      <c r="A166" s="88" t="n"/>
      <c r="B166" s="120">
        <f t="array" ref="B166:B166">IF(A166="","",IFERROR(INDEX('3.員工名單'!$B:$B,MATCH(A166,'3.員工名單'!$A:$A,0)),"查無此員工"))</f>
        <v/>
      </c>
      <c r="C166" s="120">
        <f t="array" ref="C166:C166">IF(A166="","",IFERROR(INDEX('3.員工名單'!$C:$C,MATCH(A166,'3.員工名單'!$A:$A,0)),""))</f>
        <v/>
      </c>
      <c r="D166" s="120">
        <f t="array" ref="D166:D166">IF(A166="","",IFERROR(INDEX('3.員工名單'!$D:$D,MATCH(A166,'3.員工名單'!$A:$A,0)),""))</f>
        <v/>
      </c>
      <c r="E166" s="120">
        <f t="array" ref="E166:E166">IF(F166="","",IFERROR(INDEX('1.職能辭典'!$A:$A,MATCH(F166,'1.職能辭典'!$C:$C,0)),""))</f>
        <v/>
      </c>
      <c r="F166" s="94" t="n"/>
      <c r="G166" s="120">
        <f t="array" ref="G166:G166">IF(OR(D166="",F166=""),"",IFERROR(IF(AND(OR(INDEX('1.職能辭典'!$J:$J,MATCH(F166,'1.職能辭典'!$C:$C,0))="全部",INDEX('3.員工名單'!$H:$H,MATCH(A166,'3.員工名單'!$A:$A,0))="兩款共用",INDEX('3.員工名單'!$H:$H,MATCH(A166,'3.員工名單'!$A:$A,0))=INDEX('1.職能辭典'!$J:$J,MATCH(F166,'1.職能辭典'!$C:$C,0))),OR(INDEX('1.職能辭典'!$K:$K,MATCH(F166,'1.職能辭典'!$C:$C,0))="全部",SUMPRODUCT(ISNUMBER(SEARCH({"經營","管理","財務","企劃","營運","技術","數據","美術","測試","客服"},INDEX('3.員工名單'!$I:$I,MATCH(A166,'3.員工名單'!$A:$A,0))))*ISNUMBER(SEARCH({"經營","管理","財務","企劃","營運","技術","數據","美術","測試","客服"},INDEX('1.職能辭典'!$K:$K,MATCH(F166,'1.職能辭典'!$C:$C,0)))))&gt;0)),INDEX('2.職務職能需求'!$B$2:$F$28,MATCH(F166,'2.職務職能需求'!$A$2:$A$28,0),MATCH(D166,'2.職務職能需求'!$B$1:$F$1,0)),0),""))</f>
        <v/>
      </c>
      <c r="H166" s="94" t="n"/>
      <c r="I166" s="94" t="n"/>
      <c r="J166" s="120">
        <f>IF(OR(G166="",I166="",G166=0),"",I166-G166)</f>
        <v/>
      </c>
      <c r="K166" s="120">
        <f>IF(G166="","",IF(G166=0,"不適用",IF(I166="","待評核",IF(I166&gt;=G166,IF(I166&gt;G166,"超越","達標"),"待發展"))))</f>
        <v/>
      </c>
      <c r="L166" s="91" t="n"/>
      <c r="M166" s="91" t="n"/>
      <c r="N166" s="88" t="n"/>
    </row>
    <row r="167" ht="15.75" customHeight="1" s="64">
      <c r="A167" s="88" t="n"/>
      <c r="B167" s="120">
        <f t="array" ref="B167:B167">IF(A167="","",IFERROR(INDEX('3.員工名單'!$B:$B,MATCH(A167,'3.員工名單'!$A:$A,0)),"查無此員工"))</f>
        <v/>
      </c>
      <c r="C167" s="120">
        <f t="array" ref="C167:C167">IF(A167="","",IFERROR(INDEX('3.員工名單'!$C:$C,MATCH(A167,'3.員工名單'!$A:$A,0)),""))</f>
        <v/>
      </c>
      <c r="D167" s="120">
        <f t="array" ref="D167:D167">IF(A167="","",IFERROR(INDEX('3.員工名單'!$D:$D,MATCH(A167,'3.員工名單'!$A:$A,0)),""))</f>
        <v/>
      </c>
      <c r="E167" s="120">
        <f t="array" ref="E167:E167">IF(F167="","",IFERROR(INDEX('1.職能辭典'!$A:$A,MATCH(F167,'1.職能辭典'!$C:$C,0)),""))</f>
        <v/>
      </c>
      <c r="F167" s="94" t="n"/>
      <c r="G167" s="120">
        <f t="array" ref="G167:G167">IF(OR(D167="",F167=""),"",IFERROR(IF(AND(OR(INDEX('1.職能辭典'!$J:$J,MATCH(F167,'1.職能辭典'!$C:$C,0))="全部",INDEX('3.員工名單'!$H:$H,MATCH(A167,'3.員工名單'!$A:$A,0))="兩款共用",INDEX('3.員工名單'!$H:$H,MATCH(A167,'3.員工名單'!$A:$A,0))=INDEX('1.職能辭典'!$J:$J,MATCH(F167,'1.職能辭典'!$C:$C,0))),OR(INDEX('1.職能辭典'!$K:$K,MATCH(F167,'1.職能辭典'!$C:$C,0))="全部",SUMPRODUCT(ISNUMBER(SEARCH({"經營","管理","財務","企劃","營運","技術","數據","美術","測試","客服"},INDEX('3.員工名單'!$I:$I,MATCH(A167,'3.員工名單'!$A:$A,0))))*ISNUMBER(SEARCH({"經營","管理","財務","企劃","營運","技術","數據","美術","測試","客服"},INDEX('1.職能辭典'!$K:$K,MATCH(F167,'1.職能辭典'!$C:$C,0)))))&gt;0)),INDEX('2.職務職能需求'!$B$2:$F$28,MATCH(F167,'2.職務職能需求'!$A$2:$A$28,0),MATCH(D167,'2.職務職能需求'!$B$1:$F$1,0)),0),""))</f>
        <v/>
      </c>
      <c r="H167" s="94" t="n"/>
      <c r="I167" s="94" t="n"/>
      <c r="J167" s="120">
        <f>IF(OR(G167="",I167="",G167=0),"",I167-G167)</f>
        <v/>
      </c>
      <c r="K167" s="120">
        <f>IF(G167="","",IF(G167=0,"不適用",IF(I167="","待評核",IF(I167&gt;=G167,IF(I167&gt;G167,"超越","達標"),"待發展"))))</f>
        <v/>
      </c>
      <c r="L167" s="91" t="n"/>
      <c r="M167" s="91" t="n"/>
      <c r="N167" s="88" t="n"/>
    </row>
    <row r="168" ht="15.75" customHeight="1" s="64">
      <c r="A168" s="88" t="n"/>
      <c r="B168" s="120">
        <f t="array" ref="B168:B168">IF(A168="","",IFERROR(INDEX('3.員工名單'!$B:$B,MATCH(A168,'3.員工名單'!$A:$A,0)),"查無此員工"))</f>
        <v/>
      </c>
      <c r="C168" s="120">
        <f t="array" ref="C168:C168">IF(A168="","",IFERROR(INDEX('3.員工名單'!$C:$C,MATCH(A168,'3.員工名單'!$A:$A,0)),""))</f>
        <v/>
      </c>
      <c r="D168" s="120">
        <f t="array" ref="D168:D168">IF(A168="","",IFERROR(INDEX('3.員工名單'!$D:$D,MATCH(A168,'3.員工名單'!$A:$A,0)),""))</f>
        <v/>
      </c>
      <c r="E168" s="120">
        <f t="array" ref="E168:E168">IF(F168="","",IFERROR(INDEX('1.職能辭典'!$A:$A,MATCH(F168,'1.職能辭典'!$C:$C,0)),""))</f>
        <v/>
      </c>
      <c r="F168" s="94" t="n"/>
      <c r="G168" s="120">
        <f t="array" ref="G168:G168">IF(OR(D168="",F168=""),"",IFERROR(IF(AND(OR(INDEX('1.職能辭典'!$J:$J,MATCH(F168,'1.職能辭典'!$C:$C,0))="全部",INDEX('3.員工名單'!$H:$H,MATCH(A168,'3.員工名單'!$A:$A,0))="兩款共用",INDEX('3.員工名單'!$H:$H,MATCH(A168,'3.員工名單'!$A:$A,0))=INDEX('1.職能辭典'!$J:$J,MATCH(F168,'1.職能辭典'!$C:$C,0))),OR(INDEX('1.職能辭典'!$K:$K,MATCH(F168,'1.職能辭典'!$C:$C,0))="全部",SUMPRODUCT(ISNUMBER(SEARCH({"經營","管理","財務","企劃","營運","技術","數據","美術","測試","客服"},INDEX('3.員工名單'!$I:$I,MATCH(A168,'3.員工名單'!$A:$A,0))))*ISNUMBER(SEARCH({"經營","管理","財務","企劃","營運","技術","數據","美術","測試","客服"},INDEX('1.職能辭典'!$K:$K,MATCH(F168,'1.職能辭典'!$C:$C,0)))))&gt;0)),INDEX('2.職務職能需求'!$B$2:$F$28,MATCH(F168,'2.職務職能需求'!$A$2:$A$28,0),MATCH(D168,'2.職務職能需求'!$B$1:$F$1,0)),0),""))</f>
        <v/>
      </c>
      <c r="H168" s="94" t="n"/>
      <c r="I168" s="94" t="n"/>
      <c r="J168" s="120">
        <f>IF(OR(G168="",I168="",G168=0),"",I168-G168)</f>
        <v/>
      </c>
      <c r="K168" s="120">
        <f>IF(G168="","",IF(G168=0,"不適用",IF(I168="","待評核",IF(I168&gt;=G168,IF(I168&gt;G168,"超越","達標"),"待發展"))))</f>
        <v/>
      </c>
      <c r="L168" s="91" t="n"/>
      <c r="M168" s="91" t="n"/>
      <c r="N168" s="88" t="n"/>
    </row>
    <row r="169" ht="15.75" customHeight="1" s="64">
      <c r="A169" s="88" t="n"/>
      <c r="B169" s="120">
        <f t="array" ref="B169:B169">IF(A169="","",IFERROR(INDEX('3.員工名單'!$B:$B,MATCH(A169,'3.員工名單'!$A:$A,0)),"查無此員工"))</f>
        <v/>
      </c>
      <c r="C169" s="120">
        <f t="array" ref="C169:C169">IF(A169="","",IFERROR(INDEX('3.員工名單'!$C:$C,MATCH(A169,'3.員工名單'!$A:$A,0)),""))</f>
        <v/>
      </c>
      <c r="D169" s="120">
        <f t="array" ref="D169:D169">IF(A169="","",IFERROR(INDEX('3.員工名單'!$D:$D,MATCH(A169,'3.員工名單'!$A:$A,0)),""))</f>
        <v/>
      </c>
      <c r="E169" s="120">
        <f t="array" ref="E169:E169">IF(F169="","",IFERROR(INDEX('1.職能辭典'!$A:$A,MATCH(F169,'1.職能辭典'!$C:$C,0)),""))</f>
        <v/>
      </c>
      <c r="F169" s="94" t="n"/>
      <c r="G169" s="120">
        <f t="array" ref="G169:G169">IF(OR(D169="",F169=""),"",IFERROR(IF(AND(OR(INDEX('1.職能辭典'!$J:$J,MATCH(F169,'1.職能辭典'!$C:$C,0))="全部",INDEX('3.員工名單'!$H:$H,MATCH(A169,'3.員工名單'!$A:$A,0))="兩款共用",INDEX('3.員工名單'!$H:$H,MATCH(A169,'3.員工名單'!$A:$A,0))=INDEX('1.職能辭典'!$J:$J,MATCH(F169,'1.職能辭典'!$C:$C,0))),OR(INDEX('1.職能辭典'!$K:$K,MATCH(F169,'1.職能辭典'!$C:$C,0))="全部",SUMPRODUCT(ISNUMBER(SEARCH({"經營","管理","財務","企劃","營運","技術","數據","美術","測試","客服"},INDEX('3.員工名單'!$I:$I,MATCH(A169,'3.員工名單'!$A:$A,0))))*ISNUMBER(SEARCH({"經營","管理","財務","企劃","營運","技術","數據","美術","測試","客服"},INDEX('1.職能辭典'!$K:$K,MATCH(F169,'1.職能辭典'!$C:$C,0)))))&gt;0)),INDEX('2.職務職能需求'!$B$2:$F$28,MATCH(F169,'2.職務職能需求'!$A$2:$A$28,0),MATCH(D169,'2.職務職能需求'!$B$1:$F$1,0)),0),""))</f>
        <v/>
      </c>
      <c r="H169" s="94" t="n"/>
      <c r="I169" s="94" t="n"/>
      <c r="J169" s="120">
        <f>IF(OR(G169="",I169="",G169=0),"",I169-G169)</f>
        <v/>
      </c>
      <c r="K169" s="120">
        <f>IF(G169="","",IF(G169=0,"不適用",IF(I169="","待評核",IF(I169&gt;=G169,IF(I169&gt;G169,"超越","達標"),"待發展"))))</f>
        <v/>
      </c>
      <c r="L169" s="91" t="n"/>
      <c r="M169" s="91" t="n"/>
      <c r="N169" s="88" t="n"/>
    </row>
    <row r="170" ht="15.75" customHeight="1" s="64">
      <c r="A170" s="88" t="n"/>
      <c r="B170" s="120">
        <f t="array" ref="B170:B170">IF(A170="","",IFERROR(INDEX('3.員工名單'!$B:$B,MATCH(A170,'3.員工名單'!$A:$A,0)),"查無此員工"))</f>
        <v/>
      </c>
      <c r="C170" s="120">
        <f t="array" ref="C170:C170">IF(A170="","",IFERROR(INDEX('3.員工名單'!$C:$C,MATCH(A170,'3.員工名單'!$A:$A,0)),""))</f>
        <v/>
      </c>
      <c r="D170" s="120">
        <f t="array" ref="D170:D170">IF(A170="","",IFERROR(INDEX('3.員工名單'!$D:$D,MATCH(A170,'3.員工名單'!$A:$A,0)),""))</f>
        <v/>
      </c>
      <c r="E170" s="120">
        <f t="array" ref="E170:E170">IF(F170="","",IFERROR(INDEX('1.職能辭典'!$A:$A,MATCH(F170,'1.職能辭典'!$C:$C,0)),""))</f>
        <v/>
      </c>
      <c r="F170" s="94" t="n"/>
      <c r="G170" s="120">
        <f t="array" ref="G170:G170">IF(OR(D170="",F170=""),"",IFERROR(IF(AND(OR(INDEX('1.職能辭典'!$J:$J,MATCH(F170,'1.職能辭典'!$C:$C,0))="全部",INDEX('3.員工名單'!$H:$H,MATCH(A170,'3.員工名單'!$A:$A,0))="兩款共用",INDEX('3.員工名單'!$H:$H,MATCH(A170,'3.員工名單'!$A:$A,0))=INDEX('1.職能辭典'!$J:$J,MATCH(F170,'1.職能辭典'!$C:$C,0))),OR(INDEX('1.職能辭典'!$K:$K,MATCH(F170,'1.職能辭典'!$C:$C,0))="全部",SUMPRODUCT(ISNUMBER(SEARCH({"經營","管理","財務","企劃","營運","技術","數據","美術","測試","客服"},INDEX('3.員工名單'!$I:$I,MATCH(A170,'3.員工名單'!$A:$A,0))))*ISNUMBER(SEARCH({"經營","管理","財務","企劃","營運","技術","數據","美術","測試","客服"},INDEX('1.職能辭典'!$K:$K,MATCH(F170,'1.職能辭典'!$C:$C,0)))))&gt;0)),INDEX('2.職務職能需求'!$B$2:$F$28,MATCH(F170,'2.職務職能需求'!$A$2:$A$28,0),MATCH(D170,'2.職務職能需求'!$B$1:$F$1,0)),0),""))</f>
        <v/>
      </c>
      <c r="H170" s="94" t="n"/>
      <c r="I170" s="94" t="n"/>
      <c r="J170" s="120">
        <f>IF(OR(G170="",I170="",G170=0),"",I170-G170)</f>
        <v/>
      </c>
      <c r="K170" s="120">
        <f>IF(G170="","",IF(G170=0,"不適用",IF(I170="","待評核",IF(I170&gt;=G170,IF(I170&gt;G170,"超越","達標"),"待發展"))))</f>
        <v/>
      </c>
      <c r="L170" s="91" t="n"/>
      <c r="M170" s="91" t="n"/>
      <c r="N170" s="88" t="n"/>
    </row>
    <row r="171" ht="15.75" customHeight="1" s="64">
      <c r="A171" s="88" t="n"/>
      <c r="B171" s="120">
        <f t="array" ref="B171:B171">IF(A171="","",IFERROR(INDEX('3.員工名單'!$B:$B,MATCH(A171,'3.員工名單'!$A:$A,0)),"查無此員工"))</f>
        <v/>
      </c>
      <c r="C171" s="120">
        <f t="array" ref="C171:C171">IF(A171="","",IFERROR(INDEX('3.員工名單'!$C:$C,MATCH(A171,'3.員工名單'!$A:$A,0)),""))</f>
        <v/>
      </c>
      <c r="D171" s="120">
        <f t="array" ref="D171:D171">IF(A171="","",IFERROR(INDEX('3.員工名單'!$D:$D,MATCH(A171,'3.員工名單'!$A:$A,0)),""))</f>
        <v/>
      </c>
      <c r="E171" s="120">
        <f t="array" ref="E171:E171">IF(F171="","",IFERROR(INDEX('1.職能辭典'!$A:$A,MATCH(F171,'1.職能辭典'!$C:$C,0)),""))</f>
        <v/>
      </c>
      <c r="F171" s="94" t="n"/>
      <c r="G171" s="120">
        <f t="array" ref="G171:G171">IF(OR(D171="",F171=""),"",IFERROR(IF(AND(OR(INDEX('1.職能辭典'!$J:$J,MATCH(F171,'1.職能辭典'!$C:$C,0))="全部",INDEX('3.員工名單'!$H:$H,MATCH(A171,'3.員工名單'!$A:$A,0))="兩款共用",INDEX('3.員工名單'!$H:$H,MATCH(A171,'3.員工名單'!$A:$A,0))=INDEX('1.職能辭典'!$J:$J,MATCH(F171,'1.職能辭典'!$C:$C,0))),OR(INDEX('1.職能辭典'!$K:$K,MATCH(F171,'1.職能辭典'!$C:$C,0))="全部",SUMPRODUCT(ISNUMBER(SEARCH({"經營","管理","財務","企劃","營運","技術","數據","美術","測試","客服"},INDEX('3.員工名單'!$I:$I,MATCH(A171,'3.員工名單'!$A:$A,0))))*ISNUMBER(SEARCH({"經營","管理","財務","企劃","營運","技術","數據","美術","測試","客服"},INDEX('1.職能辭典'!$K:$K,MATCH(F171,'1.職能辭典'!$C:$C,0)))))&gt;0)),INDEX('2.職務職能需求'!$B$2:$F$28,MATCH(F171,'2.職務職能需求'!$A$2:$A$28,0),MATCH(D171,'2.職務職能需求'!$B$1:$F$1,0)),0),""))</f>
        <v/>
      </c>
      <c r="H171" s="94" t="n"/>
      <c r="I171" s="94" t="n"/>
      <c r="J171" s="120">
        <f>IF(OR(G171="",I171="",G171=0),"",I171-G171)</f>
        <v/>
      </c>
      <c r="K171" s="120">
        <f>IF(G171="","",IF(G171=0,"不適用",IF(I171="","待評核",IF(I171&gt;=G171,IF(I171&gt;G171,"超越","達標"),"待發展"))))</f>
        <v/>
      </c>
      <c r="L171" s="91" t="n"/>
      <c r="M171" s="91" t="n"/>
      <c r="N171" s="88" t="n"/>
    </row>
    <row r="172" ht="15.75" customHeight="1" s="64">
      <c r="A172" s="88" t="n"/>
      <c r="B172" s="120">
        <f t="array" ref="B172:B172">IF(A172="","",IFERROR(INDEX('3.員工名單'!$B:$B,MATCH(A172,'3.員工名單'!$A:$A,0)),"查無此員工"))</f>
        <v/>
      </c>
      <c r="C172" s="120">
        <f t="array" ref="C172:C172">IF(A172="","",IFERROR(INDEX('3.員工名單'!$C:$C,MATCH(A172,'3.員工名單'!$A:$A,0)),""))</f>
        <v/>
      </c>
      <c r="D172" s="120">
        <f t="array" ref="D172:D172">IF(A172="","",IFERROR(INDEX('3.員工名單'!$D:$D,MATCH(A172,'3.員工名單'!$A:$A,0)),""))</f>
        <v/>
      </c>
      <c r="E172" s="120">
        <f t="array" ref="E172:E172">IF(F172="","",IFERROR(INDEX('1.職能辭典'!$A:$A,MATCH(F172,'1.職能辭典'!$C:$C,0)),""))</f>
        <v/>
      </c>
      <c r="F172" s="94" t="n"/>
      <c r="G172" s="120">
        <f t="array" ref="G172:G172">IF(OR(D172="",F172=""),"",IFERROR(IF(AND(OR(INDEX('1.職能辭典'!$J:$J,MATCH(F172,'1.職能辭典'!$C:$C,0))="全部",INDEX('3.員工名單'!$H:$H,MATCH(A172,'3.員工名單'!$A:$A,0))="兩款共用",INDEX('3.員工名單'!$H:$H,MATCH(A172,'3.員工名單'!$A:$A,0))=INDEX('1.職能辭典'!$J:$J,MATCH(F172,'1.職能辭典'!$C:$C,0))),OR(INDEX('1.職能辭典'!$K:$K,MATCH(F172,'1.職能辭典'!$C:$C,0))="全部",SUMPRODUCT(ISNUMBER(SEARCH({"經營","管理","財務","企劃","營運","技術","數據","美術","測試","客服"},INDEX('3.員工名單'!$I:$I,MATCH(A172,'3.員工名單'!$A:$A,0))))*ISNUMBER(SEARCH({"經營","管理","財務","企劃","營運","技術","數據","美術","測試","客服"},INDEX('1.職能辭典'!$K:$K,MATCH(F172,'1.職能辭典'!$C:$C,0)))))&gt;0)),INDEX('2.職務職能需求'!$B$2:$F$28,MATCH(F172,'2.職務職能需求'!$A$2:$A$28,0),MATCH(D172,'2.職務職能需求'!$B$1:$F$1,0)),0),""))</f>
        <v/>
      </c>
      <c r="H172" s="94" t="n"/>
      <c r="I172" s="94" t="n"/>
      <c r="J172" s="120">
        <f>IF(OR(G172="",I172="",G172=0),"",I172-G172)</f>
        <v/>
      </c>
      <c r="K172" s="120">
        <f>IF(G172="","",IF(G172=0,"不適用",IF(I172="","待評核",IF(I172&gt;=G172,IF(I172&gt;G172,"超越","達標"),"待發展"))))</f>
        <v/>
      </c>
      <c r="L172" s="91" t="n"/>
      <c r="M172" s="91" t="n"/>
      <c r="N172" s="88" t="n"/>
    </row>
    <row r="173" ht="15.75" customHeight="1" s="64">
      <c r="A173" s="88" t="n"/>
      <c r="B173" s="120">
        <f t="array" ref="B173:B173">IF(A173="","",IFERROR(INDEX('3.員工名單'!$B:$B,MATCH(A173,'3.員工名單'!$A:$A,0)),"查無此員工"))</f>
        <v/>
      </c>
      <c r="C173" s="120">
        <f t="array" ref="C173:C173">IF(A173="","",IFERROR(INDEX('3.員工名單'!$C:$C,MATCH(A173,'3.員工名單'!$A:$A,0)),""))</f>
        <v/>
      </c>
      <c r="D173" s="120">
        <f t="array" ref="D173:D173">IF(A173="","",IFERROR(INDEX('3.員工名單'!$D:$D,MATCH(A173,'3.員工名單'!$A:$A,0)),""))</f>
        <v/>
      </c>
      <c r="E173" s="120">
        <f t="array" ref="E173:E173">IF(F173="","",IFERROR(INDEX('1.職能辭典'!$A:$A,MATCH(F173,'1.職能辭典'!$C:$C,0)),""))</f>
        <v/>
      </c>
      <c r="F173" s="94" t="n"/>
      <c r="G173" s="120">
        <f t="array" ref="G173:G173">IF(OR(D173="",F173=""),"",IFERROR(IF(AND(OR(INDEX('1.職能辭典'!$J:$J,MATCH(F173,'1.職能辭典'!$C:$C,0))="全部",INDEX('3.員工名單'!$H:$H,MATCH(A173,'3.員工名單'!$A:$A,0))="兩款共用",INDEX('3.員工名單'!$H:$H,MATCH(A173,'3.員工名單'!$A:$A,0))=INDEX('1.職能辭典'!$J:$J,MATCH(F173,'1.職能辭典'!$C:$C,0))),OR(INDEX('1.職能辭典'!$K:$K,MATCH(F173,'1.職能辭典'!$C:$C,0))="全部",SUMPRODUCT(ISNUMBER(SEARCH({"經營","管理","財務","企劃","營運","技術","數據","美術","測試","客服"},INDEX('3.員工名單'!$I:$I,MATCH(A173,'3.員工名單'!$A:$A,0))))*ISNUMBER(SEARCH({"經營","管理","財務","企劃","營運","技術","數據","美術","測試","客服"},INDEX('1.職能辭典'!$K:$K,MATCH(F173,'1.職能辭典'!$C:$C,0)))))&gt;0)),INDEX('2.職務職能需求'!$B$2:$F$28,MATCH(F173,'2.職務職能需求'!$A$2:$A$28,0),MATCH(D173,'2.職務職能需求'!$B$1:$F$1,0)),0),""))</f>
        <v/>
      </c>
      <c r="H173" s="94" t="n"/>
      <c r="I173" s="94" t="n"/>
      <c r="J173" s="120">
        <f>IF(OR(G173="",I173="",G173=0),"",I173-G173)</f>
        <v/>
      </c>
      <c r="K173" s="120">
        <f>IF(G173="","",IF(G173=0,"不適用",IF(I173="","待評核",IF(I173&gt;=G173,IF(I173&gt;G173,"超越","達標"),"待發展"))))</f>
        <v/>
      </c>
      <c r="L173" s="91" t="n"/>
      <c r="M173" s="91" t="n"/>
      <c r="N173" s="88" t="n"/>
    </row>
    <row r="174" ht="15.75" customHeight="1" s="64">
      <c r="A174" s="88" t="n"/>
      <c r="B174" s="120">
        <f t="array" ref="B174:B174">IF(A174="","",IFERROR(INDEX('3.員工名單'!$B:$B,MATCH(A174,'3.員工名單'!$A:$A,0)),"查無此員工"))</f>
        <v/>
      </c>
      <c r="C174" s="120">
        <f t="array" ref="C174:C174">IF(A174="","",IFERROR(INDEX('3.員工名單'!$C:$C,MATCH(A174,'3.員工名單'!$A:$A,0)),""))</f>
        <v/>
      </c>
      <c r="D174" s="120">
        <f t="array" ref="D174:D174">IF(A174="","",IFERROR(INDEX('3.員工名單'!$D:$D,MATCH(A174,'3.員工名單'!$A:$A,0)),""))</f>
        <v/>
      </c>
      <c r="E174" s="120">
        <f t="array" ref="E174:E174">IF(F174="","",IFERROR(INDEX('1.職能辭典'!$A:$A,MATCH(F174,'1.職能辭典'!$C:$C,0)),""))</f>
        <v/>
      </c>
      <c r="F174" s="94" t="n"/>
      <c r="G174" s="120">
        <f t="array" ref="G174:G174">IF(OR(D174="",F174=""),"",IFERROR(IF(AND(OR(INDEX('1.職能辭典'!$J:$J,MATCH(F174,'1.職能辭典'!$C:$C,0))="全部",INDEX('3.員工名單'!$H:$H,MATCH(A174,'3.員工名單'!$A:$A,0))="兩款共用",INDEX('3.員工名單'!$H:$H,MATCH(A174,'3.員工名單'!$A:$A,0))=INDEX('1.職能辭典'!$J:$J,MATCH(F174,'1.職能辭典'!$C:$C,0))),OR(INDEX('1.職能辭典'!$K:$K,MATCH(F174,'1.職能辭典'!$C:$C,0))="全部",SUMPRODUCT(ISNUMBER(SEARCH({"經營","管理","財務","企劃","營運","技術","數據","美術","測試","客服"},INDEX('3.員工名單'!$I:$I,MATCH(A174,'3.員工名單'!$A:$A,0))))*ISNUMBER(SEARCH({"經營","管理","財務","企劃","營運","技術","數據","美術","測試","客服"},INDEX('1.職能辭典'!$K:$K,MATCH(F174,'1.職能辭典'!$C:$C,0)))))&gt;0)),INDEX('2.職務職能需求'!$B$2:$F$28,MATCH(F174,'2.職務職能需求'!$A$2:$A$28,0),MATCH(D174,'2.職務職能需求'!$B$1:$F$1,0)),0),""))</f>
        <v/>
      </c>
      <c r="H174" s="94" t="n"/>
      <c r="I174" s="94" t="n"/>
      <c r="J174" s="120">
        <f>IF(OR(G174="",I174="",G174=0),"",I174-G174)</f>
        <v/>
      </c>
      <c r="K174" s="120">
        <f>IF(G174="","",IF(G174=0,"不適用",IF(I174="","待評核",IF(I174&gt;=G174,IF(I174&gt;G174,"超越","達標"),"待發展"))))</f>
        <v/>
      </c>
      <c r="L174" s="91" t="n"/>
      <c r="M174" s="91" t="n"/>
      <c r="N174" s="88" t="n"/>
    </row>
    <row r="175" ht="15.75" customHeight="1" s="64">
      <c r="A175" s="88" t="n"/>
      <c r="B175" s="120">
        <f t="array" ref="B175:B175">IF(A175="","",IFERROR(INDEX('3.員工名單'!$B:$B,MATCH(A175,'3.員工名單'!$A:$A,0)),"查無此員工"))</f>
        <v/>
      </c>
      <c r="C175" s="120">
        <f t="array" ref="C175:C175">IF(A175="","",IFERROR(INDEX('3.員工名單'!$C:$C,MATCH(A175,'3.員工名單'!$A:$A,0)),""))</f>
        <v/>
      </c>
      <c r="D175" s="120">
        <f t="array" ref="D175:D175">IF(A175="","",IFERROR(INDEX('3.員工名單'!$D:$D,MATCH(A175,'3.員工名單'!$A:$A,0)),""))</f>
        <v/>
      </c>
      <c r="E175" s="120">
        <f t="array" ref="E175:E175">IF(F175="","",IFERROR(INDEX('1.職能辭典'!$A:$A,MATCH(F175,'1.職能辭典'!$C:$C,0)),""))</f>
        <v/>
      </c>
      <c r="F175" s="94" t="n"/>
      <c r="G175" s="120">
        <f t="array" ref="G175:G175">IF(OR(D175="",F175=""),"",IFERROR(IF(AND(OR(INDEX('1.職能辭典'!$J:$J,MATCH(F175,'1.職能辭典'!$C:$C,0))="全部",INDEX('3.員工名單'!$H:$H,MATCH(A175,'3.員工名單'!$A:$A,0))="兩款共用",INDEX('3.員工名單'!$H:$H,MATCH(A175,'3.員工名單'!$A:$A,0))=INDEX('1.職能辭典'!$J:$J,MATCH(F175,'1.職能辭典'!$C:$C,0))),OR(INDEX('1.職能辭典'!$K:$K,MATCH(F175,'1.職能辭典'!$C:$C,0))="全部",SUMPRODUCT(ISNUMBER(SEARCH({"經營","管理","財務","企劃","營運","技術","數據","美術","測試","客服"},INDEX('3.員工名單'!$I:$I,MATCH(A175,'3.員工名單'!$A:$A,0))))*ISNUMBER(SEARCH({"經營","管理","財務","企劃","營運","技術","數據","美術","測試","客服"},INDEX('1.職能辭典'!$K:$K,MATCH(F175,'1.職能辭典'!$C:$C,0)))))&gt;0)),INDEX('2.職務職能需求'!$B$2:$F$28,MATCH(F175,'2.職務職能需求'!$A$2:$A$28,0),MATCH(D175,'2.職務職能需求'!$B$1:$F$1,0)),0),""))</f>
        <v/>
      </c>
      <c r="H175" s="94" t="n"/>
      <c r="I175" s="94" t="n"/>
      <c r="J175" s="120">
        <f>IF(OR(G175="",I175="",G175=0),"",I175-G175)</f>
        <v/>
      </c>
      <c r="K175" s="120">
        <f>IF(G175="","",IF(G175=0,"不適用",IF(I175="","待評核",IF(I175&gt;=G175,IF(I175&gt;G175,"超越","達標"),"待發展"))))</f>
        <v/>
      </c>
      <c r="L175" s="91" t="n"/>
      <c r="M175" s="91" t="n"/>
      <c r="N175" s="88" t="n"/>
    </row>
    <row r="176" ht="15.75" customHeight="1" s="64">
      <c r="A176" s="88" t="n"/>
      <c r="B176" s="120">
        <f t="array" ref="B176:B176">IF(A176="","",IFERROR(INDEX('3.員工名單'!$B:$B,MATCH(A176,'3.員工名單'!$A:$A,0)),"查無此員工"))</f>
        <v/>
      </c>
      <c r="C176" s="120">
        <f t="array" ref="C176:C176">IF(A176="","",IFERROR(INDEX('3.員工名單'!$C:$C,MATCH(A176,'3.員工名單'!$A:$A,0)),""))</f>
        <v/>
      </c>
      <c r="D176" s="120">
        <f t="array" ref="D176:D176">IF(A176="","",IFERROR(INDEX('3.員工名單'!$D:$D,MATCH(A176,'3.員工名單'!$A:$A,0)),""))</f>
        <v/>
      </c>
      <c r="E176" s="120">
        <f t="array" ref="E176:E176">IF(F176="","",IFERROR(INDEX('1.職能辭典'!$A:$A,MATCH(F176,'1.職能辭典'!$C:$C,0)),""))</f>
        <v/>
      </c>
      <c r="F176" s="94" t="n"/>
      <c r="G176" s="120">
        <f t="array" ref="G176:G176">IF(OR(D176="",F176=""),"",IFERROR(IF(AND(OR(INDEX('1.職能辭典'!$J:$J,MATCH(F176,'1.職能辭典'!$C:$C,0))="全部",INDEX('3.員工名單'!$H:$H,MATCH(A176,'3.員工名單'!$A:$A,0))="兩款共用",INDEX('3.員工名單'!$H:$H,MATCH(A176,'3.員工名單'!$A:$A,0))=INDEX('1.職能辭典'!$J:$J,MATCH(F176,'1.職能辭典'!$C:$C,0))),OR(INDEX('1.職能辭典'!$K:$K,MATCH(F176,'1.職能辭典'!$C:$C,0))="全部",SUMPRODUCT(ISNUMBER(SEARCH({"經營","管理","財務","企劃","營運","技術","數據","美術","測試","客服"},INDEX('3.員工名單'!$I:$I,MATCH(A176,'3.員工名單'!$A:$A,0))))*ISNUMBER(SEARCH({"經營","管理","財務","企劃","營運","技術","數據","美術","測試","客服"},INDEX('1.職能辭典'!$K:$K,MATCH(F176,'1.職能辭典'!$C:$C,0)))))&gt;0)),INDEX('2.職務職能需求'!$B$2:$F$28,MATCH(F176,'2.職務職能需求'!$A$2:$A$28,0),MATCH(D176,'2.職務職能需求'!$B$1:$F$1,0)),0),""))</f>
        <v/>
      </c>
      <c r="H176" s="94" t="n"/>
      <c r="I176" s="94" t="n"/>
      <c r="J176" s="120">
        <f>IF(OR(G176="",I176="",G176=0),"",I176-G176)</f>
        <v/>
      </c>
      <c r="K176" s="120">
        <f>IF(G176="","",IF(G176=0,"不適用",IF(I176="","待評核",IF(I176&gt;=G176,IF(I176&gt;G176,"超越","達標"),"待發展"))))</f>
        <v/>
      </c>
      <c r="L176" s="91" t="n"/>
      <c r="M176" s="91" t="n"/>
      <c r="N176" s="88" t="n"/>
    </row>
    <row r="177" ht="15.75" customHeight="1" s="64">
      <c r="A177" s="88" t="n"/>
      <c r="B177" s="120">
        <f t="array" ref="B177:B177">IF(A177="","",IFERROR(INDEX('3.員工名單'!$B:$B,MATCH(A177,'3.員工名單'!$A:$A,0)),"查無此員工"))</f>
        <v/>
      </c>
      <c r="C177" s="120">
        <f t="array" ref="C177:C177">IF(A177="","",IFERROR(INDEX('3.員工名單'!$C:$C,MATCH(A177,'3.員工名單'!$A:$A,0)),""))</f>
        <v/>
      </c>
      <c r="D177" s="120">
        <f t="array" ref="D177:D177">IF(A177="","",IFERROR(INDEX('3.員工名單'!$D:$D,MATCH(A177,'3.員工名單'!$A:$A,0)),""))</f>
        <v/>
      </c>
      <c r="E177" s="120">
        <f t="array" ref="E177:E177">IF(F177="","",IFERROR(INDEX('1.職能辭典'!$A:$A,MATCH(F177,'1.職能辭典'!$C:$C,0)),""))</f>
        <v/>
      </c>
      <c r="F177" s="94" t="n"/>
      <c r="G177" s="120">
        <f t="array" ref="G177:G177">IF(OR(D177="",F177=""),"",IFERROR(IF(AND(OR(INDEX('1.職能辭典'!$J:$J,MATCH(F177,'1.職能辭典'!$C:$C,0))="全部",INDEX('3.員工名單'!$H:$H,MATCH(A177,'3.員工名單'!$A:$A,0))="兩款共用",INDEX('3.員工名單'!$H:$H,MATCH(A177,'3.員工名單'!$A:$A,0))=INDEX('1.職能辭典'!$J:$J,MATCH(F177,'1.職能辭典'!$C:$C,0))),OR(INDEX('1.職能辭典'!$K:$K,MATCH(F177,'1.職能辭典'!$C:$C,0))="全部",SUMPRODUCT(ISNUMBER(SEARCH({"經營","管理","財務","企劃","營運","技術","數據","美術","測試","客服"},INDEX('3.員工名單'!$I:$I,MATCH(A177,'3.員工名單'!$A:$A,0))))*ISNUMBER(SEARCH({"經營","管理","財務","企劃","營運","技術","數據","美術","測試","客服"},INDEX('1.職能辭典'!$K:$K,MATCH(F177,'1.職能辭典'!$C:$C,0)))))&gt;0)),INDEX('2.職務職能需求'!$B$2:$F$28,MATCH(F177,'2.職務職能需求'!$A$2:$A$28,0),MATCH(D177,'2.職務職能需求'!$B$1:$F$1,0)),0),""))</f>
        <v/>
      </c>
      <c r="H177" s="94" t="n"/>
      <c r="I177" s="94" t="n"/>
      <c r="J177" s="120">
        <f>IF(OR(G177="",I177="",G177=0),"",I177-G177)</f>
        <v/>
      </c>
      <c r="K177" s="120">
        <f>IF(G177="","",IF(G177=0,"不適用",IF(I177="","待評核",IF(I177&gt;=G177,IF(I177&gt;G177,"超越","達標"),"待發展"))))</f>
        <v/>
      </c>
      <c r="L177" s="91" t="n"/>
      <c r="M177" s="91" t="n"/>
      <c r="N177" s="88" t="n"/>
    </row>
    <row r="178" ht="15.75" customHeight="1" s="64">
      <c r="A178" s="88" t="n"/>
      <c r="B178" s="120">
        <f t="array" ref="B178:B178">IF(A178="","",IFERROR(INDEX('3.員工名單'!$B:$B,MATCH(A178,'3.員工名單'!$A:$A,0)),"查無此員工"))</f>
        <v/>
      </c>
      <c r="C178" s="120">
        <f t="array" ref="C178:C178">IF(A178="","",IFERROR(INDEX('3.員工名單'!$C:$C,MATCH(A178,'3.員工名單'!$A:$A,0)),""))</f>
        <v/>
      </c>
      <c r="D178" s="120">
        <f t="array" ref="D178:D178">IF(A178="","",IFERROR(INDEX('3.員工名單'!$D:$D,MATCH(A178,'3.員工名單'!$A:$A,0)),""))</f>
        <v/>
      </c>
      <c r="E178" s="120">
        <f t="array" ref="E178:E178">IF(F178="","",IFERROR(INDEX('1.職能辭典'!$A:$A,MATCH(F178,'1.職能辭典'!$C:$C,0)),""))</f>
        <v/>
      </c>
      <c r="F178" s="94" t="n"/>
      <c r="G178" s="120">
        <f t="array" ref="G178:G178">IF(OR(D178="",F178=""),"",IFERROR(IF(AND(OR(INDEX('1.職能辭典'!$J:$J,MATCH(F178,'1.職能辭典'!$C:$C,0))="全部",INDEX('3.員工名單'!$H:$H,MATCH(A178,'3.員工名單'!$A:$A,0))="兩款共用",INDEX('3.員工名單'!$H:$H,MATCH(A178,'3.員工名單'!$A:$A,0))=INDEX('1.職能辭典'!$J:$J,MATCH(F178,'1.職能辭典'!$C:$C,0))),OR(INDEX('1.職能辭典'!$K:$K,MATCH(F178,'1.職能辭典'!$C:$C,0))="全部",SUMPRODUCT(ISNUMBER(SEARCH({"經營","管理","財務","企劃","營運","技術","數據","美術","測試","客服"},INDEX('3.員工名單'!$I:$I,MATCH(A178,'3.員工名單'!$A:$A,0))))*ISNUMBER(SEARCH({"經營","管理","財務","企劃","營運","技術","數據","美術","測試","客服"},INDEX('1.職能辭典'!$K:$K,MATCH(F178,'1.職能辭典'!$C:$C,0)))))&gt;0)),INDEX('2.職務職能需求'!$B$2:$F$28,MATCH(F178,'2.職務職能需求'!$A$2:$A$28,0),MATCH(D178,'2.職務職能需求'!$B$1:$F$1,0)),0),""))</f>
        <v/>
      </c>
      <c r="H178" s="94" t="n"/>
      <c r="I178" s="94" t="n"/>
      <c r="J178" s="120">
        <f>IF(OR(G178="",I178="",G178=0),"",I178-G178)</f>
        <v/>
      </c>
      <c r="K178" s="120">
        <f>IF(G178="","",IF(G178=0,"不適用",IF(I178="","待評核",IF(I178&gt;=G178,IF(I178&gt;G178,"超越","達標"),"待發展"))))</f>
        <v/>
      </c>
      <c r="L178" s="91" t="n"/>
      <c r="M178" s="91" t="n"/>
      <c r="N178" s="88" t="n"/>
    </row>
    <row r="179" ht="15.75" customHeight="1" s="64">
      <c r="A179" s="88" t="n"/>
      <c r="B179" s="120">
        <f t="array" ref="B179:B179">IF(A179="","",IFERROR(INDEX('3.員工名單'!$B:$B,MATCH(A179,'3.員工名單'!$A:$A,0)),"查無此員工"))</f>
        <v/>
      </c>
      <c r="C179" s="120">
        <f t="array" ref="C179:C179">IF(A179="","",IFERROR(INDEX('3.員工名單'!$C:$C,MATCH(A179,'3.員工名單'!$A:$A,0)),""))</f>
        <v/>
      </c>
      <c r="D179" s="120">
        <f t="array" ref="D179:D179">IF(A179="","",IFERROR(INDEX('3.員工名單'!$D:$D,MATCH(A179,'3.員工名單'!$A:$A,0)),""))</f>
        <v/>
      </c>
      <c r="E179" s="120">
        <f t="array" ref="E179:E179">IF(F179="","",IFERROR(INDEX('1.職能辭典'!$A:$A,MATCH(F179,'1.職能辭典'!$C:$C,0)),""))</f>
        <v/>
      </c>
      <c r="F179" s="94" t="n"/>
      <c r="G179" s="120">
        <f t="array" ref="G179:G179">IF(OR(D179="",F179=""),"",IFERROR(IF(AND(OR(INDEX('1.職能辭典'!$J:$J,MATCH(F179,'1.職能辭典'!$C:$C,0))="全部",INDEX('3.員工名單'!$H:$H,MATCH(A179,'3.員工名單'!$A:$A,0))="兩款共用",INDEX('3.員工名單'!$H:$H,MATCH(A179,'3.員工名單'!$A:$A,0))=INDEX('1.職能辭典'!$J:$J,MATCH(F179,'1.職能辭典'!$C:$C,0))),OR(INDEX('1.職能辭典'!$K:$K,MATCH(F179,'1.職能辭典'!$C:$C,0))="全部",SUMPRODUCT(ISNUMBER(SEARCH({"經營","管理","財務","企劃","營運","技術","數據","美術","測試","客服"},INDEX('3.員工名單'!$I:$I,MATCH(A179,'3.員工名單'!$A:$A,0))))*ISNUMBER(SEARCH({"經營","管理","財務","企劃","營運","技術","數據","美術","測試","客服"},INDEX('1.職能辭典'!$K:$K,MATCH(F179,'1.職能辭典'!$C:$C,0)))))&gt;0)),INDEX('2.職務職能需求'!$B$2:$F$28,MATCH(F179,'2.職務職能需求'!$A$2:$A$28,0),MATCH(D179,'2.職務職能需求'!$B$1:$F$1,0)),0),""))</f>
        <v/>
      </c>
      <c r="H179" s="94" t="n"/>
      <c r="I179" s="94" t="n"/>
      <c r="J179" s="120">
        <f>IF(OR(G179="",I179="",G179=0),"",I179-G179)</f>
        <v/>
      </c>
      <c r="K179" s="120">
        <f>IF(G179="","",IF(G179=0,"不適用",IF(I179="","待評核",IF(I179&gt;=G179,IF(I179&gt;G179,"超越","達標"),"待發展"))))</f>
        <v/>
      </c>
      <c r="L179" s="91" t="n"/>
      <c r="M179" s="91" t="n"/>
      <c r="N179" s="88" t="n"/>
    </row>
    <row r="180" ht="15.75" customHeight="1" s="64">
      <c r="A180" s="88" t="n"/>
      <c r="B180" s="120">
        <f t="array" ref="B180:B180">IF(A180="","",IFERROR(INDEX('3.員工名單'!$B:$B,MATCH(A180,'3.員工名單'!$A:$A,0)),"查無此員工"))</f>
        <v/>
      </c>
      <c r="C180" s="120">
        <f t="array" ref="C180:C180">IF(A180="","",IFERROR(INDEX('3.員工名單'!$C:$C,MATCH(A180,'3.員工名單'!$A:$A,0)),""))</f>
        <v/>
      </c>
      <c r="D180" s="120">
        <f t="array" ref="D180:D180">IF(A180="","",IFERROR(INDEX('3.員工名單'!$D:$D,MATCH(A180,'3.員工名單'!$A:$A,0)),""))</f>
        <v/>
      </c>
      <c r="E180" s="120">
        <f t="array" ref="E180:E180">IF(F180="","",IFERROR(INDEX('1.職能辭典'!$A:$A,MATCH(F180,'1.職能辭典'!$C:$C,0)),""))</f>
        <v/>
      </c>
      <c r="F180" s="94" t="n"/>
      <c r="G180" s="120">
        <f t="array" ref="G180:G180">IF(OR(D180="",F180=""),"",IFERROR(IF(AND(OR(INDEX('1.職能辭典'!$J:$J,MATCH(F180,'1.職能辭典'!$C:$C,0))="全部",INDEX('3.員工名單'!$H:$H,MATCH(A180,'3.員工名單'!$A:$A,0))="兩款共用",INDEX('3.員工名單'!$H:$H,MATCH(A180,'3.員工名單'!$A:$A,0))=INDEX('1.職能辭典'!$J:$J,MATCH(F180,'1.職能辭典'!$C:$C,0))),OR(INDEX('1.職能辭典'!$K:$K,MATCH(F180,'1.職能辭典'!$C:$C,0))="全部",SUMPRODUCT(ISNUMBER(SEARCH({"經營","管理","財務","企劃","營運","技術","數據","美術","測試","客服"},INDEX('3.員工名單'!$I:$I,MATCH(A180,'3.員工名單'!$A:$A,0))))*ISNUMBER(SEARCH({"經營","管理","財務","企劃","營運","技術","數據","美術","測試","客服"},INDEX('1.職能辭典'!$K:$K,MATCH(F180,'1.職能辭典'!$C:$C,0)))))&gt;0)),INDEX('2.職務職能需求'!$B$2:$F$28,MATCH(F180,'2.職務職能需求'!$A$2:$A$28,0),MATCH(D180,'2.職務職能需求'!$B$1:$F$1,0)),0),""))</f>
        <v/>
      </c>
      <c r="H180" s="94" t="n"/>
      <c r="I180" s="94" t="n"/>
      <c r="J180" s="120">
        <f>IF(OR(G180="",I180="",G180=0),"",I180-G180)</f>
        <v/>
      </c>
      <c r="K180" s="120">
        <f>IF(G180="","",IF(G180=0,"不適用",IF(I180="","待評核",IF(I180&gt;=G180,IF(I180&gt;G180,"超越","達標"),"待發展"))))</f>
        <v/>
      </c>
      <c r="L180" s="91" t="n"/>
      <c r="M180" s="91" t="n"/>
      <c r="N180" s="88" t="n"/>
    </row>
    <row r="181" ht="15.75" customHeight="1" s="64">
      <c r="A181" s="88" t="n"/>
      <c r="B181" s="120">
        <f t="array" ref="B181:B181">IF(A181="","",IFERROR(INDEX('3.員工名單'!$B:$B,MATCH(A181,'3.員工名單'!$A:$A,0)),"查無此員工"))</f>
        <v/>
      </c>
      <c r="C181" s="120">
        <f t="array" ref="C181:C181">IF(A181="","",IFERROR(INDEX('3.員工名單'!$C:$C,MATCH(A181,'3.員工名單'!$A:$A,0)),""))</f>
        <v/>
      </c>
      <c r="D181" s="120">
        <f t="array" ref="D181:D181">IF(A181="","",IFERROR(INDEX('3.員工名單'!$D:$D,MATCH(A181,'3.員工名單'!$A:$A,0)),""))</f>
        <v/>
      </c>
      <c r="E181" s="120">
        <f t="array" ref="E181:E181">IF(F181="","",IFERROR(INDEX('1.職能辭典'!$A:$A,MATCH(F181,'1.職能辭典'!$C:$C,0)),""))</f>
        <v/>
      </c>
      <c r="F181" s="94" t="n"/>
      <c r="G181" s="120">
        <f t="array" ref="G181:G181">IF(OR(D181="",F181=""),"",IFERROR(IF(AND(OR(INDEX('1.職能辭典'!$J:$J,MATCH(F181,'1.職能辭典'!$C:$C,0))="全部",INDEX('3.員工名單'!$H:$H,MATCH(A181,'3.員工名單'!$A:$A,0))="兩款共用",INDEX('3.員工名單'!$H:$H,MATCH(A181,'3.員工名單'!$A:$A,0))=INDEX('1.職能辭典'!$J:$J,MATCH(F181,'1.職能辭典'!$C:$C,0))),OR(INDEX('1.職能辭典'!$K:$K,MATCH(F181,'1.職能辭典'!$C:$C,0))="全部",SUMPRODUCT(ISNUMBER(SEARCH({"經營","管理","財務","企劃","營運","技術","數據","美術","測試","客服"},INDEX('3.員工名單'!$I:$I,MATCH(A181,'3.員工名單'!$A:$A,0))))*ISNUMBER(SEARCH({"經營","管理","財務","企劃","營運","技術","數據","美術","測試","客服"},INDEX('1.職能辭典'!$K:$K,MATCH(F181,'1.職能辭典'!$C:$C,0)))))&gt;0)),INDEX('2.職務職能需求'!$B$2:$F$28,MATCH(F181,'2.職務職能需求'!$A$2:$A$28,0),MATCH(D181,'2.職務職能需求'!$B$1:$F$1,0)),0),""))</f>
        <v/>
      </c>
      <c r="H181" s="94" t="n"/>
      <c r="I181" s="94" t="n"/>
      <c r="J181" s="120">
        <f>IF(OR(G181="",I181="",G181=0),"",I181-G181)</f>
        <v/>
      </c>
      <c r="K181" s="120">
        <f>IF(G181="","",IF(G181=0,"不適用",IF(I181="","待評核",IF(I181&gt;=G181,IF(I181&gt;G181,"超越","達標"),"待發展"))))</f>
        <v/>
      </c>
      <c r="L181" s="91" t="n"/>
      <c r="M181" s="91" t="n"/>
      <c r="N181" s="88" t="n"/>
    </row>
    <row r="182" ht="15.75" customHeight="1" s="64">
      <c r="A182" s="88" t="n"/>
      <c r="B182" s="120">
        <f t="array" ref="B182:B182">IF(A182="","",IFERROR(INDEX('3.員工名單'!$B:$B,MATCH(A182,'3.員工名單'!$A:$A,0)),"查無此員工"))</f>
        <v/>
      </c>
      <c r="C182" s="120">
        <f t="array" ref="C182:C182">IF(A182="","",IFERROR(INDEX('3.員工名單'!$C:$C,MATCH(A182,'3.員工名單'!$A:$A,0)),""))</f>
        <v/>
      </c>
      <c r="D182" s="120">
        <f t="array" ref="D182:D182">IF(A182="","",IFERROR(INDEX('3.員工名單'!$D:$D,MATCH(A182,'3.員工名單'!$A:$A,0)),""))</f>
        <v/>
      </c>
      <c r="E182" s="120">
        <f t="array" ref="E182:E182">IF(F182="","",IFERROR(INDEX('1.職能辭典'!$A:$A,MATCH(F182,'1.職能辭典'!$C:$C,0)),""))</f>
        <v/>
      </c>
      <c r="F182" s="94" t="n"/>
      <c r="G182" s="120">
        <f t="array" ref="G182:G182">IF(OR(D182="",F182=""),"",IFERROR(IF(AND(OR(INDEX('1.職能辭典'!$J:$J,MATCH(F182,'1.職能辭典'!$C:$C,0))="全部",INDEX('3.員工名單'!$H:$H,MATCH(A182,'3.員工名單'!$A:$A,0))="兩款共用",INDEX('3.員工名單'!$H:$H,MATCH(A182,'3.員工名單'!$A:$A,0))=INDEX('1.職能辭典'!$J:$J,MATCH(F182,'1.職能辭典'!$C:$C,0))),OR(INDEX('1.職能辭典'!$K:$K,MATCH(F182,'1.職能辭典'!$C:$C,0))="全部",SUMPRODUCT(ISNUMBER(SEARCH({"經營","管理","財務","企劃","營運","技術","數據","美術","測試","客服"},INDEX('3.員工名單'!$I:$I,MATCH(A182,'3.員工名單'!$A:$A,0))))*ISNUMBER(SEARCH({"經營","管理","財務","企劃","營運","技術","數據","美術","測試","客服"},INDEX('1.職能辭典'!$K:$K,MATCH(F182,'1.職能辭典'!$C:$C,0)))))&gt;0)),INDEX('2.職務職能需求'!$B$2:$F$28,MATCH(F182,'2.職務職能需求'!$A$2:$A$28,0),MATCH(D182,'2.職務職能需求'!$B$1:$F$1,0)),0),""))</f>
        <v/>
      </c>
      <c r="H182" s="94" t="n"/>
      <c r="I182" s="94" t="n"/>
      <c r="J182" s="120">
        <f>IF(OR(G182="",I182="",G182=0),"",I182-G182)</f>
        <v/>
      </c>
      <c r="K182" s="120">
        <f>IF(G182="","",IF(G182=0,"不適用",IF(I182="","待評核",IF(I182&gt;=G182,IF(I182&gt;G182,"超越","達標"),"待發展"))))</f>
        <v/>
      </c>
      <c r="L182" s="91" t="n"/>
      <c r="M182" s="91" t="n"/>
      <c r="N182" s="88" t="n"/>
    </row>
    <row r="183" ht="15.75" customHeight="1" s="64">
      <c r="A183" s="88" t="n"/>
      <c r="B183" s="120">
        <f t="array" ref="B183:B183">IF(A183="","",IFERROR(INDEX('3.員工名單'!$B:$B,MATCH(A183,'3.員工名單'!$A:$A,0)),"查無此員工"))</f>
        <v/>
      </c>
      <c r="C183" s="120">
        <f t="array" ref="C183:C183">IF(A183="","",IFERROR(INDEX('3.員工名單'!$C:$C,MATCH(A183,'3.員工名單'!$A:$A,0)),""))</f>
        <v/>
      </c>
      <c r="D183" s="120">
        <f t="array" ref="D183:D183">IF(A183="","",IFERROR(INDEX('3.員工名單'!$D:$D,MATCH(A183,'3.員工名單'!$A:$A,0)),""))</f>
        <v/>
      </c>
      <c r="E183" s="120">
        <f t="array" ref="E183:E183">IF(F183="","",IFERROR(INDEX('1.職能辭典'!$A:$A,MATCH(F183,'1.職能辭典'!$C:$C,0)),""))</f>
        <v/>
      </c>
      <c r="F183" s="94" t="n"/>
      <c r="G183" s="120">
        <f t="array" ref="G183:G183">IF(OR(D183="",F183=""),"",IFERROR(IF(AND(OR(INDEX('1.職能辭典'!$J:$J,MATCH(F183,'1.職能辭典'!$C:$C,0))="全部",INDEX('3.員工名單'!$H:$H,MATCH(A183,'3.員工名單'!$A:$A,0))="兩款共用",INDEX('3.員工名單'!$H:$H,MATCH(A183,'3.員工名單'!$A:$A,0))=INDEX('1.職能辭典'!$J:$J,MATCH(F183,'1.職能辭典'!$C:$C,0))),OR(INDEX('1.職能辭典'!$K:$K,MATCH(F183,'1.職能辭典'!$C:$C,0))="全部",SUMPRODUCT(ISNUMBER(SEARCH({"經營","管理","財務","企劃","營運","技術","數據","美術","測試","客服"},INDEX('3.員工名單'!$I:$I,MATCH(A183,'3.員工名單'!$A:$A,0))))*ISNUMBER(SEARCH({"經營","管理","財務","企劃","營運","技術","數據","美術","測試","客服"},INDEX('1.職能辭典'!$K:$K,MATCH(F183,'1.職能辭典'!$C:$C,0)))))&gt;0)),INDEX('2.職務職能需求'!$B$2:$F$28,MATCH(F183,'2.職務職能需求'!$A$2:$A$28,0),MATCH(D183,'2.職務職能需求'!$B$1:$F$1,0)),0),""))</f>
        <v/>
      </c>
      <c r="H183" s="94" t="n"/>
      <c r="I183" s="94" t="n"/>
      <c r="J183" s="120">
        <f>IF(OR(G183="",I183="",G183=0),"",I183-G183)</f>
        <v/>
      </c>
      <c r="K183" s="120">
        <f>IF(G183="","",IF(G183=0,"不適用",IF(I183="","待評核",IF(I183&gt;=G183,IF(I183&gt;G183,"超越","達標"),"待發展"))))</f>
        <v/>
      </c>
      <c r="L183" s="91" t="n"/>
      <c r="M183" s="91" t="n"/>
      <c r="N183" s="88" t="n"/>
    </row>
    <row r="184" ht="15.75" customHeight="1" s="64">
      <c r="A184" s="88" t="n"/>
      <c r="B184" s="120">
        <f t="array" ref="B184:B184">IF(A184="","",IFERROR(INDEX('3.員工名單'!$B:$B,MATCH(A184,'3.員工名單'!$A:$A,0)),"查無此員工"))</f>
        <v/>
      </c>
      <c r="C184" s="120">
        <f t="array" ref="C184:C184">IF(A184="","",IFERROR(INDEX('3.員工名單'!$C:$C,MATCH(A184,'3.員工名單'!$A:$A,0)),""))</f>
        <v/>
      </c>
      <c r="D184" s="120">
        <f t="array" ref="D184:D184">IF(A184="","",IFERROR(INDEX('3.員工名單'!$D:$D,MATCH(A184,'3.員工名單'!$A:$A,0)),""))</f>
        <v/>
      </c>
      <c r="E184" s="120">
        <f t="array" ref="E184:E184">IF(F184="","",IFERROR(INDEX('1.職能辭典'!$A:$A,MATCH(F184,'1.職能辭典'!$C:$C,0)),""))</f>
        <v/>
      </c>
      <c r="F184" s="94" t="n"/>
      <c r="G184" s="120">
        <f t="array" ref="G184:G184">IF(OR(D184="",F184=""),"",IFERROR(IF(AND(OR(INDEX('1.職能辭典'!$J:$J,MATCH(F184,'1.職能辭典'!$C:$C,0))="全部",INDEX('3.員工名單'!$H:$H,MATCH(A184,'3.員工名單'!$A:$A,0))="兩款共用",INDEX('3.員工名單'!$H:$H,MATCH(A184,'3.員工名單'!$A:$A,0))=INDEX('1.職能辭典'!$J:$J,MATCH(F184,'1.職能辭典'!$C:$C,0))),OR(INDEX('1.職能辭典'!$K:$K,MATCH(F184,'1.職能辭典'!$C:$C,0))="全部",SUMPRODUCT(ISNUMBER(SEARCH({"經營","管理","財務","企劃","營運","技術","數據","美術","測試","客服"},INDEX('3.員工名單'!$I:$I,MATCH(A184,'3.員工名單'!$A:$A,0))))*ISNUMBER(SEARCH({"經營","管理","財務","企劃","營運","技術","數據","美術","測試","客服"},INDEX('1.職能辭典'!$K:$K,MATCH(F184,'1.職能辭典'!$C:$C,0)))))&gt;0)),INDEX('2.職務職能需求'!$B$2:$F$28,MATCH(F184,'2.職務職能需求'!$A$2:$A$28,0),MATCH(D184,'2.職務職能需求'!$B$1:$F$1,0)),0),""))</f>
        <v/>
      </c>
      <c r="H184" s="94" t="n"/>
      <c r="I184" s="94" t="n"/>
      <c r="J184" s="120">
        <f>IF(OR(G184="",I184="",G184=0),"",I184-G184)</f>
        <v/>
      </c>
      <c r="K184" s="120">
        <f>IF(G184="","",IF(G184=0,"不適用",IF(I184="","待評核",IF(I184&gt;=G184,IF(I184&gt;G184,"超越","達標"),"待發展"))))</f>
        <v/>
      </c>
      <c r="L184" s="91" t="n"/>
      <c r="M184" s="91" t="n"/>
      <c r="N184" s="88" t="n"/>
    </row>
    <row r="185" ht="15.75" customHeight="1" s="64">
      <c r="A185" s="88" t="n"/>
      <c r="B185" s="120">
        <f t="array" ref="B185:B185">IF(A185="","",IFERROR(INDEX('3.員工名單'!$B:$B,MATCH(A185,'3.員工名單'!$A:$A,0)),"查無此員工"))</f>
        <v/>
      </c>
      <c r="C185" s="120">
        <f t="array" ref="C185:C185">IF(A185="","",IFERROR(INDEX('3.員工名單'!$C:$C,MATCH(A185,'3.員工名單'!$A:$A,0)),""))</f>
        <v/>
      </c>
      <c r="D185" s="120">
        <f t="array" ref="D185:D185">IF(A185="","",IFERROR(INDEX('3.員工名單'!$D:$D,MATCH(A185,'3.員工名單'!$A:$A,0)),""))</f>
        <v/>
      </c>
      <c r="E185" s="120">
        <f t="array" ref="E185:E185">IF(F185="","",IFERROR(INDEX('1.職能辭典'!$A:$A,MATCH(F185,'1.職能辭典'!$C:$C,0)),""))</f>
        <v/>
      </c>
      <c r="F185" s="94" t="n"/>
      <c r="G185" s="120">
        <f t="array" ref="G185:G185">IF(OR(D185="",F185=""),"",IFERROR(IF(AND(OR(INDEX('1.職能辭典'!$J:$J,MATCH(F185,'1.職能辭典'!$C:$C,0))="全部",INDEX('3.員工名單'!$H:$H,MATCH(A185,'3.員工名單'!$A:$A,0))="兩款共用",INDEX('3.員工名單'!$H:$H,MATCH(A185,'3.員工名單'!$A:$A,0))=INDEX('1.職能辭典'!$J:$J,MATCH(F185,'1.職能辭典'!$C:$C,0))),OR(INDEX('1.職能辭典'!$K:$K,MATCH(F185,'1.職能辭典'!$C:$C,0))="全部",SUMPRODUCT(ISNUMBER(SEARCH({"經營","管理","財務","企劃","營運","技術","數據","美術","測試","客服"},INDEX('3.員工名單'!$I:$I,MATCH(A185,'3.員工名單'!$A:$A,0))))*ISNUMBER(SEARCH({"經營","管理","財務","企劃","營運","技術","數據","美術","測試","客服"},INDEX('1.職能辭典'!$K:$K,MATCH(F185,'1.職能辭典'!$C:$C,0)))))&gt;0)),INDEX('2.職務職能需求'!$B$2:$F$28,MATCH(F185,'2.職務職能需求'!$A$2:$A$28,0),MATCH(D185,'2.職務職能需求'!$B$1:$F$1,0)),0),""))</f>
        <v/>
      </c>
      <c r="H185" s="94" t="n"/>
      <c r="I185" s="94" t="n"/>
      <c r="J185" s="120">
        <f>IF(OR(G185="",I185="",G185=0),"",I185-G185)</f>
        <v/>
      </c>
      <c r="K185" s="120">
        <f>IF(G185="","",IF(G185=0,"不適用",IF(I185="","待評核",IF(I185&gt;=G185,IF(I185&gt;G185,"超越","達標"),"待發展"))))</f>
        <v/>
      </c>
      <c r="L185" s="91" t="n"/>
      <c r="M185" s="91" t="n"/>
      <c r="N185" s="88" t="n"/>
    </row>
    <row r="186" ht="15.75" customHeight="1" s="64">
      <c r="A186" s="88" t="n"/>
      <c r="B186" s="120">
        <f t="array" ref="B186:B186">IF(A186="","",IFERROR(INDEX('3.員工名單'!$B:$B,MATCH(A186,'3.員工名單'!$A:$A,0)),"查無此員工"))</f>
        <v/>
      </c>
      <c r="C186" s="120">
        <f t="array" ref="C186:C186">IF(A186="","",IFERROR(INDEX('3.員工名單'!$C:$C,MATCH(A186,'3.員工名單'!$A:$A,0)),""))</f>
        <v/>
      </c>
      <c r="D186" s="120">
        <f t="array" ref="D186:D186">IF(A186="","",IFERROR(INDEX('3.員工名單'!$D:$D,MATCH(A186,'3.員工名單'!$A:$A,0)),""))</f>
        <v/>
      </c>
      <c r="E186" s="120">
        <f t="array" ref="E186:E186">IF(F186="","",IFERROR(INDEX('1.職能辭典'!$A:$A,MATCH(F186,'1.職能辭典'!$C:$C,0)),""))</f>
        <v/>
      </c>
      <c r="F186" s="94" t="n"/>
      <c r="G186" s="120">
        <f t="array" ref="G186:G186">IF(OR(D186="",F186=""),"",IFERROR(IF(AND(OR(INDEX('1.職能辭典'!$J:$J,MATCH(F186,'1.職能辭典'!$C:$C,0))="全部",INDEX('3.員工名單'!$H:$H,MATCH(A186,'3.員工名單'!$A:$A,0))="兩款共用",INDEX('3.員工名單'!$H:$H,MATCH(A186,'3.員工名單'!$A:$A,0))=INDEX('1.職能辭典'!$J:$J,MATCH(F186,'1.職能辭典'!$C:$C,0))),OR(INDEX('1.職能辭典'!$K:$K,MATCH(F186,'1.職能辭典'!$C:$C,0))="全部",SUMPRODUCT(ISNUMBER(SEARCH({"經營","管理","財務","企劃","營運","技術","數據","美術","測試","客服"},INDEX('3.員工名單'!$I:$I,MATCH(A186,'3.員工名單'!$A:$A,0))))*ISNUMBER(SEARCH({"經營","管理","財務","企劃","營運","技術","數據","美術","測試","客服"},INDEX('1.職能辭典'!$K:$K,MATCH(F186,'1.職能辭典'!$C:$C,0)))))&gt;0)),INDEX('2.職務職能需求'!$B$2:$F$28,MATCH(F186,'2.職務職能需求'!$A$2:$A$28,0),MATCH(D186,'2.職務職能需求'!$B$1:$F$1,0)),0),""))</f>
        <v/>
      </c>
      <c r="H186" s="94" t="n"/>
      <c r="I186" s="94" t="n"/>
      <c r="J186" s="120">
        <f>IF(OR(G186="",I186="",G186=0),"",I186-G186)</f>
        <v/>
      </c>
      <c r="K186" s="120">
        <f>IF(G186="","",IF(G186=0,"不適用",IF(I186="","待評核",IF(I186&gt;=G186,IF(I186&gt;G186,"超越","達標"),"待發展"))))</f>
        <v/>
      </c>
      <c r="L186" s="91" t="n"/>
      <c r="M186" s="91" t="n"/>
      <c r="N186" s="88" t="n"/>
    </row>
    <row r="187" ht="15.75" customHeight="1" s="64">
      <c r="A187" s="88" t="n"/>
      <c r="B187" s="120">
        <f t="array" ref="B187:B187">IF(A187="","",IFERROR(INDEX('3.員工名單'!$B:$B,MATCH(A187,'3.員工名單'!$A:$A,0)),"查無此員工"))</f>
        <v/>
      </c>
      <c r="C187" s="120">
        <f t="array" ref="C187:C187">IF(A187="","",IFERROR(INDEX('3.員工名單'!$C:$C,MATCH(A187,'3.員工名單'!$A:$A,0)),""))</f>
        <v/>
      </c>
      <c r="D187" s="120">
        <f t="array" ref="D187:D187">IF(A187="","",IFERROR(INDEX('3.員工名單'!$D:$D,MATCH(A187,'3.員工名單'!$A:$A,0)),""))</f>
        <v/>
      </c>
      <c r="E187" s="120">
        <f t="array" ref="E187:E187">IF(F187="","",IFERROR(INDEX('1.職能辭典'!$A:$A,MATCH(F187,'1.職能辭典'!$C:$C,0)),""))</f>
        <v/>
      </c>
      <c r="F187" s="94" t="n"/>
      <c r="G187" s="120">
        <f t="array" ref="G187:G187">IF(OR(D187="",F187=""),"",IFERROR(IF(AND(OR(INDEX('1.職能辭典'!$J:$J,MATCH(F187,'1.職能辭典'!$C:$C,0))="全部",INDEX('3.員工名單'!$H:$H,MATCH(A187,'3.員工名單'!$A:$A,0))="兩款共用",INDEX('3.員工名單'!$H:$H,MATCH(A187,'3.員工名單'!$A:$A,0))=INDEX('1.職能辭典'!$J:$J,MATCH(F187,'1.職能辭典'!$C:$C,0))),OR(INDEX('1.職能辭典'!$K:$K,MATCH(F187,'1.職能辭典'!$C:$C,0))="全部",SUMPRODUCT(ISNUMBER(SEARCH({"經營","管理","財務","企劃","營運","技術","數據","美術","測試","客服"},INDEX('3.員工名單'!$I:$I,MATCH(A187,'3.員工名單'!$A:$A,0))))*ISNUMBER(SEARCH({"經營","管理","財務","企劃","營運","技術","數據","美術","測試","客服"},INDEX('1.職能辭典'!$K:$K,MATCH(F187,'1.職能辭典'!$C:$C,0)))))&gt;0)),INDEX('2.職務職能需求'!$B$2:$F$28,MATCH(F187,'2.職務職能需求'!$A$2:$A$28,0),MATCH(D187,'2.職務職能需求'!$B$1:$F$1,0)),0),""))</f>
        <v/>
      </c>
      <c r="H187" s="94" t="n"/>
      <c r="I187" s="94" t="n"/>
      <c r="J187" s="120">
        <f>IF(OR(G187="",I187="",G187=0),"",I187-G187)</f>
        <v/>
      </c>
      <c r="K187" s="120">
        <f>IF(G187="","",IF(G187=0,"不適用",IF(I187="","待評核",IF(I187&gt;=G187,IF(I187&gt;G187,"超越","達標"),"待發展"))))</f>
        <v/>
      </c>
      <c r="L187" s="91" t="n"/>
      <c r="M187" s="91" t="n"/>
      <c r="N187" s="88" t="n"/>
    </row>
    <row r="188" ht="15.75" customHeight="1" s="64">
      <c r="A188" s="88" t="n"/>
      <c r="B188" s="120">
        <f t="array" ref="B188:B188">IF(A188="","",IFERROR(INDEX('3.員工名單'!$B:$B,MATCH(A188,'3.員工名單'!$A:$A,0)),"查無此員工"))</f>
        <v/>
      </c>
      <c r="C188" s="120">
        <f t="array" ref="C188:C188">IF(A188="","",IFERROR(INDEX('3.員工名單'!$C:$C,MATCH(A188,'3.員工名單'!$A:$A,0)),""))</f>
        <v/>
      </c>
      <c r="D188" s="120">
        <f t="array" ref="D188:D188">IF(A188="","",IFERROR(INDEX('3.員工名單'!$D:$D,MATCH(A188,'3.員工名單'!$A:$A,0)),""))</f>
        <v/>
      </c>
      <c r="E188" s="120">
        <f t="array" ref="E188:E188">IF(F188="","",IFERROR(INDEX('1.職能辭典'!$A:$A,MATCH(F188,'1.職能辭典'!$C:$C,0)),""))</f>
        <v/>
      </c>
      <c r="F188" s="94" t="n"/>
      <c r="G188" s="120">
        <f t="array" ref="G188:G188">IF(OR(D188="",F188=""),"",IFERROR(IF(AND(OR(INDEX('1.職能辭典'!$J:$J,MATCH(F188,'1.職能辭典'!$C:$C,0))="全部",INDEX('3.員工名單'!$H:$H,MATCH(A188,'3.員工名單'!$A:$A,0))="兩款共用",INDEX('3.員工名單'!$H:$H,MATCH(A188,'3.員工名單'!$A:$A,0))=INDEX('1.職能辭典'!$J:$J,MATCH(F188,'1.職能辭典'!$C:$C,0))),OR(INDEX('1.職能辭典'!$K:$K,MATCH(F188,'1.職能辭典'!$C:$C,0))="全部",SUMPRODUCT(ISNUMBER(SEARCH({"經營","管理","財務","企劃","營運","技術","數據","美術","測試","客服"},INDEX('3.員工名單'!$I:$I,MATCH(A188,'3.員工名單'!$A:$A,0))))*ISNUMBER(SEARCH({"經營","管理","財務","企劃","營運","技術","數據","美術","測試","客服"},INDEX('1.職能辭典'!$K:$K,MATCH(F188,'1.職能辭典'!$C:$C,0)))))&gt;0)),INDEX('2.職務職能需求'!$B$2:$F$28,MATCH(F188,'2.職務職能需求'!$A$2:$A$28,0),MATCH(D188,'2.職務職能需求'!$B$1:$F$1,0)),0),""))</f>
        <v/>
      </c>
      <c r="H188" s="94" t="n"/>
      <c r="I188" s="94" t="n"/>
      <c r="J188" s="120">
        <f>IF(OR(G188="",I188="",G188=0),"",I188-G188)</f>
        <v/>
      </c>
      <c r="K188" s="120">
        <f>IF(G188="","",IF(G188=0,"不適用",IF(I188="","待評核",IF(I188&gt;=G188,IF(I188&gt;G188,"超越","達標"),"待發展"))))</f>
        <v/>
      </c>
      <c r="L188" s="91" t="n"/>
      <c r="M188" s="91" t="n"/>
      <c r="N188" s="88" t="n"/>
    </row>
    <row r="189" ht="15.75" customHeight="1" s="64">
      <c r="A189" s="88" t="n"/>
      <c r="B189" s="120">
        <f t="array" ref="B189:B189">IF(A189="","",IFERROR(INDEX('3.員工名單'!$B:$B,MATCH(A189,'3.員工名單'!$A:$A,0)),"查無此員工"))</f>
        <v/>
      </c>
      <c r="C189" s="120">
        <f t="array" ref="C189:C189">IF(A189="","",IFERROR(INDEX('3.員工名單'!$C:$C,MATCH(A189,'3.員工名單'!$A:$A,0)),""))</f>
        <v/>
      </c>
      <c r="D189" s="120">
        <f t="array" ref="D189:D189">IF(A189="","",IFERROR(INDEX('3.員工名單'!$D:$D,MATCH(A189,'3.員工名單'!$A:$A,0)),""))</f>
        <v/>
      </c>
      <c r="E189" s="120">
        <f t="array" ref="E189:E189">IF(F189="","",IFERROR(INDEX('1.職能辭典'!$A:$A,MATCH(F189,'1.職能辭典'!$C:$C,0)),""))</f>
        <v/>
      </c>
      <c r="F189" s="94" t="n"/>
      <c r="G189" s="120">
        <f t="array" ref="G189:G189">IF(OR(D189="",F189=""),"",IFERROR(IF(AND(OR(INDEX('1.職能辭典'!$J:$J,MATCH(F189,'1.職能辭典'!$C:$C,0))="全部",INDEX('3.員工名單'!$H:$H,MATCH(A189,'3.員工名單'!$A:$A,0))="兩款共用",INDEX('3.員工名單'!$H:$H,MATCH(A189,'3.員工名單'!$A:$A,0))=INDEX('1.職能辭典'!$J:$J,MATCH(F189,'1.職能辭典'!$C:$C,0))),OR(INDEX('1.職能辭典'!$K:$K,MATCH(F189,'1.職能辭典'!$C:$C,0))="全部",SUMPRODUCT(ISNUMBER(SEARCH({"經營","管理","財務","企劃","營運","技術","數據","美術","測試","客服"},INDEX('3.員工名單'!$I:$I,MATCH(A189,'3.員工名單'!$A:$A,0))))*ISNUMBER(SEARCH({"經營","管理","財務","企劃","營運","技術","數據","美術","測試","客服"},INDEX('1.職能辭典'!$K:$K,MATCH(F189,'1.職能辭典'!$C:$C,0)))))&gt;0)),INDEX('2.職務職能需求'!$B$2:$F$28,MATCH(F189,'2.職務職能需求'!$A$2:$A$28,0),MATCH(D189,'2.職務職能需求'!$B$1:$F$1,0)),0),""))</f>
        <v/>
      </c>
      <c r="H189" s="94" t="n"/>
      <c r="I189" s="94" t="n"/>
      <c r="J189" s="120">
        <f>IF(OR(G189="",I189="",G189=0),"",I189-G189)</f>
        <v/>
      </c>
      <c r="K189" s="120">
        <f>IF(G189="","",IF(G189=0,"不適用",IF(I189="","待評核",IF(I189&gt;=G189,IF(I189&gt;G189,"超越","達標"),"待發展"))))</f>
        <v/>
      </c>
      <c r="L189" s="91" t="n"/>
      <c r="M189" s="91" t="n"/>
      <c r="N189" s="88" t="n"/>
    </row>
    <row r="190" ht="15.75" customHeight="1" s="64">
      <c r="A190" s="88" t="n"/>
      <c r="B190" s="120">
        <f t="array" ref="B190:B190">IF(A190="","",IFERROR(INDEX('3.員工名單'!$B:$B,MATCH(A190,'3.員工名單'!$A:$A,0)),"查無此員工"))</f>
        <v/>
      </c>
      <c r="C190" s="120">
        <f t="array" ref="C190:C190">IF(A190="","",IFERROR(INDEX('3.員工名單'!$C:$C,MATCH(A190,'3.員工名單'!$A:$A,0)),""))</f>
        <v/>
      </c>
      <c r="D190" s="120">
        <f t="array" ref="D190:D190">IF(A190="","",IFERROR(INDEX('3.員工名單'!$D:$D,MATCH(A190,'3.員工名單'!$A:$A,0)),""))</f>
        <v/>
      </c>
      <c r="E190" s="120">
        <f t="array" ref="E190:E190">IF(F190="","",IFERROR(INDEX('1.職能辭典'!$A:$A,MATCH(F190,'1.職能辭典'!$C:$C,0)),""))</f>
        <v/>
      </c>
      <c r="F190" s="94" t="n"/>
      <c r="G190" s="120">
        <f t="array" ref="G190:G190">IF(OR(D190="",F190=""),"",IFERROR(IF(AND(OR(INDEX('1.職能辭典'!$J:$J,MATCH(F190,'1.職能辭典'!$C:$C,0))="全部",INDEX('3.員工名單'!$H:$H,MATCH(A190,'3.員工名單'!$A:$A,0))="兩款共用",INDEX('3.員工名單'!$H:$H,MATCH(A190,'3.員工名單'!$A:$A,0))=INDEX('1.職能辭典'!$J:$J,MATCH(F190,'1.職能辭典'!$C:$C,0))),OR(INDEX('1.職能辭典'!$K:$K,MATCH(F190,'1.職能辭典'!$C:$C,0))="全部",SUMPRODUCT(ISNUMBER(SEARCH({"經營","管理","財務","企劃","營運","技術","數據","美術","測試","客服"},INDEX('3.員工名單'!$I:$I,MATCH(A190,'3.員工名單'!$A:$A,0))))*ISNUMBER(SEARCH({"經營","管理","財務","企劃","營運","技術","數據","美術","測試","客服"},INDEX('1.職能辭典'!$K:$K,MATCH(F190,'1.職能辭典'!$C:$C,0)))))&gt;0)),INDEX('2.職務職能需求'!$B$2:$F$28,MATCH(F190,'2.職務職能需求'!$A$2:$A$28,0),MATCH(D190,'2.職務職能需求'!$B$1:$F$1,0)),0),""))</f>
        <v/>
      </c>
      <c r="H190" s="94" t="n"/>
      <c r="I190" s="94" t="n"/>
      <c r="J190" s="120">
        <f>IF(OR(G190="",I190="",G190=0),"",I190-G190)</f>
        <v/>
      </c>
      <c r="K190" s="120">
        <f>IF(G190="","",IF(G190=0,"不適用",IF(I190="","待評核",IF(I190&gt;=G190,IF(I190&gt;G190,"超越","達標"),"待發展"))))</f>
        <v/>
      </c>
      <c r="L190" s="91" t="n"/>
      <c r="M190" s="91" t="n"/>
      <c r="N190" s="88" t="n"/>
    </row>
    <row r="191" ht="15.75" customHeight="1" s="64">
      <c r="A191" s="88" t="n"/>
      <c r="B191" s="120">
        <f t="array" ref="B191:B191">IF(A191="","",IFERROR(INDEX('3.員工名單'!$B:$B,MATCH(A191,'3.員工名單'!$A:$A,0)),"查無此員工"))</f>
        <v/>
      </c>
      <c r="C191" s="120">
        <f t="array" ref="C191:C191">IF(A191="","",IFERROR(INDEX('3.員工名單'!$C:$C,MATCH(A191,'3.員工名單'!$A:$A,0)),""))</f>
        <v/>
      </c>
      <c r="D191" s="120">
        <f t="array" ref="D191:D191">IF(A191="","",IFERROR(INDEX('3.員工名單'!$D:$D,MATCH(A191,'3.員工名單'!$A:$A,0)),""))</f>
        <v/>
      </c>
      <c r="E191" s="120">
        <f t="array" ref="E191:E191">IF(F191="","",IFERROR(INDEX('1.職能辭典'!$A:$A,MATCH(F191,'1.職能辭典'!$C:$C,0)),""))</f>
        <v/>
      </c>
      <c r="F191" s="94" t="n"/>
      <c r="G191" s="120">
        <f t="array" ref="G191:G191">IF(OR(D191="",F191=""),"",IFERROR(IF(AND(OR(INDEX('1.職能辭典'!$J:$J,MATCH(F191,'1.職能辭典'!$C:$C,0))="全部",INDEX('3.員工名單'!$H:$H,MATCH(A191,'3.員工名單'!$A:$A,0))="兩款共用",INDEX('3.員工名單'!$H:$H,MATCH(A191,'3.員工名單'!$A:$A,0))=INDEX('1.職能辭典'!$J:$J,MATCH(F191,'1.職能辭典'!$C:$C,0))),OR(INDEX('1.職能辭典'!$K:$K,MATCH(F191,'1.職能辭典'!$C:$C,0))="全部",SUMPRODUCT(ISNUMBER(SEARCH({"經營","管理","財務","企劃","營運","技術","數據","美術","測試","客服"},INDEX('3.員工名單'!$I:$I,MATCH(A191,'3.員工名單'!$A:$A,0))))*ISNUMBER(SEARCH({"經營","管理","財務","企劃","營運","技術","數據","美術","測試","客服"},INDEX('1.職能辭典'!$K:$K,MATCH(F191,'1.職能辭典'!$C:$C,0)))))&gt;0)),INDEX('2.職務職能需求'!$B$2:$F$28,MATCH(F191,'2.職務職能需求'!$A$2:$A$28,0),MATCH(D191,'2.職務職能需求'!$B$1:$F$1,0)),0),""))</f>
        <v/>
      </c>
      <c r="H191" s="94" t="n"/>
      <c r="I191" s="94" t="n"/>
      <c r="J191" s="120">
        <f>IF(OR(G191="",I191="",G191=0),"",I191-G191)</f>
        <v/>
      </c>
      <c r="K191" s="120">
        <f>IF(G191="","",IF(G191=0,"不適用",IF(I191="","待評核",IF(I191&gt;=G191,IF(I191&gt;G191,"超越","達標"),"待發展"))))</f>
        <v/>
      </c>
      <c r="L191" s="91" t="n"/>
      <c r="M191" s="91" t="n"/>
      <c r="N191" s="88" t="n"/>
    </row>
    <row r="192" ht="15.75" customHeight="1" s="64">
      <c r="A192" s="88" t="n"/>
      <c r="B192" s="120">
        <f t="array" ref="B192:B192">IF(A192="","",IFERROR(INDEX('3.員工名單'!$B:$B,MATCH(A192,'3.員工名單'!$A:$A,0)),"查無此員工"))</f>
        <v/>
      </c>
      <c r="C192" s="120">
        <f t="array" ref="C192:C192">IF(A192="","",IFERROR(INDEX('3.員工名單'!$C:$C,MATCH(A192,'3.員工名單'!$A:$A,0)),""))</f>
        <v/>
      </c>
      <c r="D192" s="120">
        <f t="array" ref="D192:D192">IF(A192="","",IFERROR(INDEX('3.員工名單'!$D:$D,MATCH(A192,'3.員工名單'!$A:$A,0)),""))</f>
        <v/>
      </c>
      <c r="E192" s="120">
        <f t="array" ref="E192:E192">IF(F192="","",IFERROR(INDEX('1.職能辭典'!$A:$A,MATCH(F192,'1.職能辭典'!$C:$C,0)),""))</f>
        <v/>
      </c>
      <c r="F192" s="94" t="n"/>
      <c r="G192" s="120">
        <f t="array" ref="G192:G192">IF(OR(D192="",F192=""),"",IFERROR(IF(AND(OR(INDEX('1.職能辭典'!$J:$J,MATCH(F192,'1.職能辭典'!$C:$C,0))="全部",INDEX('3.員工名單'!$H:$H,MATCH(A192,'3.員工名單'!$A:$A,0))="兩款共用",INDEX('3.員工名單'!$H:$H,MATCH(A192,'3.員工名單'!$A:$A,0))=INDEX('1.職能辭典'!$J:$J,MATCH(F192,'1.職能辭典'!$C:$C,0))),OR(INDEX('1.職能辭典'!$K:$K,MATCH(F192,'1.職能辭典'!$C:$C,0))="全部",SUMPRODUCT(ISNUMBER(SEARCH({"經營","管理","財務","企劃","營運","技術","數據","美術","測試","客服"},INDEX('3.員工名單'!$I:$I,MATCH(A192,'3.員工名單'!$A:$A,0))))*ISNUMBER(SEARCH({"經營","管理","財務","企劃","營運","技術","數據","美術","測試","客服"},INDEX('1.職能辭典'!$K:$K,MATCH(F192,'1.職能辭典'!$C:$C,0)))))&gt;0)),INDEX('2.職務職能需求'!$B$2:$F$28,MATCH(F192,'2.職務職能需求'!$A$2:$A$28,0),MATCH(D192,'2.職務職能需求'!$B$1:$F$1,0)),0),""))</f>
        <v/>
      </c>
      <c r="H192" s="94" t="n"/>
      <c r="I192" s="94" t="n"/>
      <c r="J192" s="120">
        <f>IF(OR(G192="",I192="",G192=0),"",I192-G192)</f>
        <v/>
      </c>
      <c r="K192" s="120">
        <f>IF(G192="","",IF(G192=0,"不適用",IF(I192="","待評核",IF(I192&gt;=G192,IF(I192&gt;G192,"超越","達標"),"待發展"))))</f>
        <v/>
      </c>
      <c r="L192" s="91" t="n"/>
      <c r="M192" s="91" t="n"/>
      <c r="N192" s="88" t="n"/>
    </row>
    <row r="193" ht="15.75" customHeight="1" s="64">
      <c r="A193" s="88" t="n"/>
      <c r="B193" s="120">
        <f t="array" ref="B193:B193">IF(A193="","",IFERROR(INDEX('3.員工名單'!$B:$B,MATCH(A193,'3.員工名單'!$A:$A,0)),"查無此員工"))</f>
        <v/>
      </c>
      <c r="C193" s="120">
        <f t="array" ref="C193:C193">IF(A193="","",IFERROR(INDEX('3.員工名單'!$C:$C,MATCH(A193,'3.員工名單'!$A:$A,0)),""))</f>
        <v/>
      </c>
      <c r="D193" s="120">
        <f t="array" ref="D193:D193">IF(A193="","",IFERROR(INDEX('3.員工名單'!$D:$D,MATCH(A193,'3.員工名單'!$A:$A,0)),""))</f>
        <v/>
      </c>
      <c r="E193" s="120">
        <f t="array" ref="E193:E193">IF(F193="","",IFERROR(INDEX('1.職能辭典'!$A:$A,MATCH(F193,'1.職能辭典'!$C:$C,0)),""))</f>
        <v/>
      </c>
      <c r="F193" s="94" t="n"/>
      <c r="G193" s="120">
        <f t="array" ref="G193:G193">IF(OR(D193="",F193=""),"",IFERROR(IF(AND(OR(INDEX('1.職能辭典'!$J:$J,MATCH(F193,'1.職能辭典'!$C:$C,0))="全部",INDEX('3.員工名單'!$H:$H,MATCH(A193,'3.員工名單'!$A:$A,0))="兩款共用",INDEX('3.員工名單'!$H:$H,MATCH(A193,'3.員工名單'!$A:$A,0))=INDEX('1.職能辭典'!$J:$J,MATCH(F193,'1.職能辭典'!$C:$C,0))),OR(INDEX('1.職能辭典'!$K:$K,MATCH(F193,'1.職能辭典'!$C:$C,0))="全部",SUMPRODUCT(ISNUMBER(SEARCH({"經營","管理","財務","企劃","營運","技術","數據","美術","測試","客服"},INDEX('3.員工名單'!$I:$I,MATCH(A193,'3.員工名單'!$A:$A,0))))*ISNUMBER(SEARCH({"經營","管理","財務","企劃","營運","技術","數據","美術","測試","客服"},INDEX('1.職能辭典'!$K:$K,MATCH(F193,'1.職能辭典'!$C:$C,0)))))&gt;0)),INDEX('2.職務職能需求'!$B$2:$F$28,MATCH(F193,'2.職務職能需求'!$A$2:$A$28,0),MATCH(D193,'2.職務職能需求'!$B$1:$F$1,0)),0),""))</f>
        <v/>
      </c>
      <c r="H193" s="94" t="n"/>
      <c r="I193" s="94" t="n"/>
      <c r="J193" s="120">
        <f>IF(OR(G193="",I193="",G193=0),"",I193-G193)</f>
        <v/>
      </c>
      <c r="K193" s="120">
        <f>IF(G193="","",IF(G193=0,"不適用",IF(I193="","待評核",IF(I193&gt;=G193,IF(I193&gt;G193,"超越","達標"),"待發展"))))</f>
        <v/>
      </c>
      <c r="L193" s="91" t="n"/>
      <c r="M193" s="91" t="n"/>
      <c r="N193" s="88" t="n"/>
    </row>
    <row r="194" ht="15.75" customHeight="1" s="64">
      <c r="A194" s="88" t="n"/>
      <c r="B194" s="120">
        <f t="array" ref="B194:B194">IF(A194="","",IFERROR(INDEX('3.員工名單'!$B:$B,MATCH(A194,'3.員工名單'!$A:$A,0)),"查無此員工"))</f>
        <v/>
      </c>
      <c r="C194" s="120">
        <f t="array" ref="C194:C194">IF(A194="","",IFERROR(INDEX('3.員工名單'!$C:$C,MATCH(A194,'3.員工名單'!$A:$A,0)),""))</f>
        <v/>
      </c>
      <c r="D194" s="120">
        <f t="array" ref="D194:D194">IF(A194="","",IFERROR(INDEX('3.員工名單'!$D:$D,MATCH(A194,'3.員工名單'!$A:$A,0)),""))</f>
        <v/>
      </c>
      <c r="E194" s="120">
        <f t="array" ref="E194:E194">IF(F194="","",IFERROR(INDEX('1.職能辭典'!$A:$A,MATCH(F194,'1.職能辭典'!$C:$C,0)),""))</f>
        <v/>
      </c>
      <c r="F194" s="94" t="n"/>
      <c r="G194" s="120">
        <f t="array" ref="G194:G194">IF(OR(D194="",F194=""),"",IFERROR(IF(AND(OR(INDEX('1.職能辭典'!$J:$J,MATCH(F194,'1.職能辭典'!$C:$C,0))="全部",INDEX('3.員工名單'!$H:$H,MATCH(A194,'3.員工名單'!$A:$A,0))="兩款共用",INDEX('3.員工名單'!$H:$H,MATCH(A194,'3.員工名單'!$A:$A,0))=INDEX('1.職能辭典'!$J:$J,MATCH(F194,'1.職能辭典'!$C:$C,0))),OR(INDEX('1.職能辭典'!$K:$K,MATCH(F194,'1.職能辭典'!$C:$C,0))="全部",SUMPRODUCT(ISNUMBER(SEARCH({"經營","管理","財務","企劃","營運","技術","數據","美術","測試","客服"},INDEX('3.員工名單'!$I:$I,MATCH(A194,'3.員工名單'!$A:$A,0))))*ISNUMBER(SEARCH({"經營","管理","財務","企劃","營運","技術","數據","美術","測試","客服"},INDEX('1.職能辭典'!$K:$K,MATCH(F194,'1.職能辭典'!$C:$C,0)))))&gt;0)),INDEX('2.職務職能需求'!$B$2:$F$28,MATCH(F194,'2.職務職能需求'!$A$2:$A$28,0),MATCH(D194,'2.職務職能需求'!$B$1:$F$1,0)),0),""))</f>
        <v/>
      </c>
      <c r="H194" s="94" t="n"/>
      <c r="I194" s="94" t="n"/>
      <c r="J194" s="120">
        <f>IF(OR(G194="",I194="",G194=0),"",I194-G194)</f>
        <v/>
      </c>
      <c r="K194" s="120">
        <f>IF(G194="","",IF(G194=0,"不適用",IF(I194="","待評核",IF(I194&gt;=G194,IF(I194&gt;G194,"超越","達標"),"待發展"))))</f>
        <v/>
      </c>
      <c r="L194" s="91" t="n"/>
      <c r="M194" s="91" t="n"/>
      <c r="N194" s="88" t="n"/>
    </row>
    <row r="195" ht="15.75" customHeight="1" s="64">
      <c r="A195" s="88" t="n"/>
      <c r="B195" s="120">
        <f t="array" ref="B195:B195">IF(A195="","",IFERROR(INDEX('3.員工名單'!$B:$B,MATCH(A195,'3.員工名單'!$A:$A,0)),"查無此員工"))</f>
        <v/>
      </c>
      <c r="C195" s="120">
        <f t="array" ref="C195:C195">IF(A195="","",IFERROR(INDEX('3.員工名單'!$C:$C,MATCH(A195,'3.員工名單'!$A:$A,0)),""))</f>
        <v/>
      </c>
      <c r="D195" s="120">
        <f t="array" ref="D195:D195">IF(A195="","",IFERROR(INDEX('3.員工名單'!$D:$D,MATCH(A195,'3.員工名單'!$A:$A,0)),""))</f>
        <v/>
      </c>
      <c r="E195" s="120">
        <f t="array" ref="E195:E195">IF(F195="","",IFERROR(INDEX('1.職能辭典'!$A:$A,MATCH(F195,'1.職能辭典'!$C:$C,0)),""))</f>
        <v/>
      </c>
      <c r="F195" s="94" t="n"/>
      <c r="G195" s="120">
        <f t="array" ref="G195:G195">IF(OR(D195="",F195=""),"",IFERROR(IF(AND(OR(INDEX('1.職能辭典'!$J:$J,MATCH(F195,'1.職能辭典'!$C:$C,0))="全部",INDEX('3.員工名單'!$H:$H,MATCH(A195,'3.員工名單'!$A:$A,0))="兩款共用",INDEX('3.員工名單'!$H:$H,MATCH(A195,'3.員工名單'!$A:$A,0))=INDEX('1.職能辭典'!$J:$J,MATCH(F195,'1.職能辭典'!$C:$C,0))),OR(INDEX('1.職能辭典'!$K:$K,MATCH(F195,'1.職能辭典'!$C:$C,0))="全部",SUMPRODUCT(ISNUMBER(SEARCH({"經營","管理","財務","企劃","營運","技術","數據","美術","測試","客服"},INDEX('3.員工名單'!$I:$I,MATCH(A195,'3.員工名單'!$A:$A,0))))*ISNUMBER(SEARCH({"經營","管理","財務","企劃","營運","技術","數據","美術","測試","客服"},INDEX('1.職能辭典'!$K:$K,MATCH(F195,'1.職能辭典'!$C:$C,0)))))&gt;0)),INDEX('2.職務職能需求'!$B$2:$F$28,MATCH(F195,'2.職務職能需求'!$A$2:$A$28,0),MATCH(D195,'2.職務職能需求'!$B$1:$F$1,0)),0),""))</f>
        <v/>
      </c>
      <c r="H195" s="94" t="n"/>
      <c r="I195" s="94" t="n"/>
      <c r="J195" s="120">
        <f>IF(OR(G195="",I195="",G195=0),"",I195-G195)</f>
        <v/>
      </c>
      <c r="K195" s="120">
        <f>IF(G195="","",IF(G195=0,"不適用",IF(I195="","待評核",IF(I195&gt;=G195,IF(I195&gt;G195,"超越","達標"),"待發展"))))</f>
        <v/>
      </c>
      <c r="L195" s="91" t="n"/>
      <c r="M195" s="91" t="n"/>
      <c r="N195" s="88" t="n"/>
    </row>
    <row r="196" ht="15.75" customHeight="1" s="64">
      <c r="A196" s="88" t="n"/>
      <c r="B196" s="120">
        <f t="array" ref="B196:B196">IF(A196="","",IFERROR(INDEX('3.員工名單'!$B:$B,MATCH(A196,'3.員工名單'!$A:$A,0)),"查無此員工"))</f>
        <v/>
      </c>
      <c r="C196" s="120">
        <f t="array" ref="C196:C196">IF(A196="","",IFERROR(INDEX('3.員工名單'!$C:$C,MATCH(A196,'3.員工名單'!$A:$A,0)),""))</f>
        <v/>
      </c>
      <c r="D196" s="120">
        <f t="array" ref="D196:D196">IF(A196="","",IFERROR(INDEX('3.員工名單'!$D:$D,MATCH(A196,'3.員工名單'!$A:$A,0)),""))</f>
        <v/>
      </c>
      <c r="E196" s="120">
        <f t="array" ref="E196:E196">IF(F196="","",IFERROR(INDEX('1.職能辭典'!$A:$A,MATCH(F196,'1.職能辭典'!$C:$C,0)),""))</f>
        <v/>
      </c>
      <c r="F196" s="94" t="n"/>
      <c r="G196" s="120">
        <f t="array" ref="G196:G196">IF(OR(D196="",F196=""),"",IFERROR(IF(AND(OR(INDEX('1.職能辭典'!$J:$J,MATCH(F196,'1.職能辭典'!$C:$C,0))="全部",INDEX('3.員工名單'!$H:$H,MATCH(A196,'3.員工名單'!$A:$A,0))="兩款共用",INDEX('3.員工名單'!$H:$H,MATCH(A196,'3.員工名單'!$A:$A,0))=INDEX('1.職能辭典'!$J:$J,MATCH(F196,'1.職能辭典'!$C:$C,0))),OR(INDEX('1.職能辭典'!$K:$K,MATCH(F196,'1.職能辭典'!$C:$C,0))="全部",SUMPRODUCT(ISNUMBER(SEARCH({"經營","管理","財務","企劃","營運","技術","數據","美術","測試","客服"},INDEX('3.員工名單'!$I:$I,MATCH(A196,'3.員工名單'!$A:$A,0))))*ISNUMBER(SEARCH({"經營","管理","財務","企劃","營運","技術","數據","美術","測試","客服"},INDEX('1.職能辭典'!$K:$K,MATCH(F196,'1.職能辭典'!$C:$C,0)))))&gt;0)),INDEX('2.職務職能需求'!$B$2:$F$28,MATCH(F196,'2.職務職能需求'!$A$2:$A$28,0),MATCH(D196,'2.職務職能需求'!$B$1:$F$1,0)),0),""))</f>
        <v/>
      </c>
      <c r="H196" s="94" t="n"/>
      <c r="I196" s="94" t="n"/>
      <c r="J196" s="120">
        <f>IF(OR(G196="",I196="",G196=0),"",I196-G196)</f>
        <v/>
      </c>
      <c r="K196" s="120">
        <f>IF(G196="","",IF(G196=0,"不適用",IF(I196="","待評核",IF(I196&gt;=G196,IF(I196&gt;G196,"超越","達標"),"待發展"))))</f>
        <v/>
      </c>
      <c r="L196" s="91" t="n"/>
      <c r="M196" s="91" t="n"/>
      <c r="N196" s="88" t="n"/>
    </row>
    <row r="197" ht="15.75" customHeight="1" s="64">
      <c r="A197" s="88" t="n"/>
      <c r="B197" s="120">
        <f t="array" ref="B197:B197">IF(A197="","",IFERROR(INDEX('3.員工名單'!$B:$B,MATCH(A197,'3.員工名單'!$A:$A,0)),"查無此員工"))</f>
        <v/>
      </c>
      <c r="C197" s="120">
        <f t="array" ref="C197:C197">IF(A197="","",IFERROR(INDEX('3.員工名單'!$C:$C,MATCH(A197,'3.員工名單'!$A:$A,0)),""))</f>
        <v/>
      </c>
      <c r="D197" s="120">
        <f t="array" ref="D197:D197">IF(A197="","",IFERROR(INDEX('3.員工名單'!$D:$D,MATCH(A197,'3.員工名單'!$A:$A,0)),""))</f>
        <v/>
      </c>
      <c r="E197" s="120">
        <f t="array" ref="E197:E197">IF(F197="","",IFERROR(INDEX('1.職能辭典'!$A:$A,MATCH(F197,'1.職能辭典'!$C:$C,0)),""))</f>
        <v/>
      </c>
      <c r="F197" s="94" t="n"/>
      <c r="G197" s="120">
        <f t="array" ref="G197:G197">IF(OR(D197="",F197=""),"",IFERROR(IF(AND(OR(INDEX('1.職能辭典'!$J:$J,MATCH(F197,'1.職能辭典'!$C:$C,0))="全部",INDEX('3.員工名單'!$H:$H,MATCH(A197,'3.員工名單'!$A:$A,0))="兩款共用",INDEX('3.員工名單'!$H:$H,MATCH(A197,'3.員工名單'!$A:$A,0))=INDEX('1.職能辭典'!$J:$J,MATCH(F197,'1.職能辭典'!$C:$C,0))),OR(INDEX('1.職能辭典'!$K:$K,MATCH(F197,'1.職能辭典'!$C:$C,0))="全部",SUMPRODUCT(ISNUMBER(SEARCH({"經營","管理","財務","企劃","營運","技術","數據","美術","測試","客服"},INDEX('3.員工名單'!$I:$I,MATCH(A197,'3.員工名單'!$A:$A,0))))*ISNUMBER(SEARCH({"經營","管理","財務","企劃","營運","技術","數據","美術","測試","客服"},INDEX('1.職能辭典'!$K:$K,MATCH(F197,'1.職能辭典'!$C:$C,0)))))&gt;0)),INDEX('2.職務職能需求'!$B$2:$F$28,MATCH(F197,'2.職務職能需求'!$A$2:$A$28,0),MATCH(D197,'2.職務職能需求'!$B$1:$F$1,0)),0),""))</f>
        <v/>
      </c>
      <c r="H197" s="94" t="n"/>
      <c r="I197" s="94" t="n"/>
      <c r="J197" s="120">
        <f>IF(OR(G197="",I197="",G197=0),"",I197-G197)</f>
        <v/>
      </c>
      <c r="K197" s="120">
        <f>IF(G197="","",IF(G197=0,"不適用",IF(I197="","待評核",IF(I197&gt;=G197,IF(I197&gt;G197,"超越","達標"),"待發展"))))</f>
        <v/>
      </c>
      <c r="L197" s="91" t="n"/>
      <c r="M197" s="91" t="n"/>
      <c r="N197" s="88" t="n"/>
    </row>
    <row r="198" ht="15.75" customHeight="1" s="64">
      <c r="A198" s="88" t="n"/>
      <c r="B198" s="120">
        <f t="array" ref="B198:B198">IF(A198="","",IFERROR(INDEX('3.員工名單'!$B:$B,MATCH(A198,'3.員工名單'!$A:$A,0)),"查無此員工"))</f>
        <v/>
      </c>
      <c r="C198" s="120">
        <f t="array" ref="C198:C198">IF(A198="","",IFERROR(INDEX('3.員工名單'!$C:$C,MATCH(A198,'3.員工名單'!$A:$A,0)),""))</f>
        <v/>
      </c>
      <c r="D198" s="120">
        <f t="array" ref="D198:D198">IF(A198="","",IFERROR(INDEX('3.員工名單'!$D:$D,MATCH(A198,'3.員工名單'!$A:$A,0)),""))</f>
        <v/>
      </c>
      <c r="E198" s="120">
        <f t="array" ref="E198:E198">IF(F198="","",IFERROR(INDEX('1.職能辭典'!$A:$A,MATCH(F198,'1.職能辭典'!$C:$C,0)),""))</f>
        <v/>
      </c>
      <c r="F198" s="94" t="n"/>
      <c r="G198" s="120">
        <f t="array" ref="G198:G198">IF(OR(D198="",F198=""),"",IFERROR(IF(AND(OR(INDEX('1.職能辭典'!$J:$J,MATCH(F198,'1.職能辭典'!$C:$C,0))="全部",INDEX('3.員工名單'!$H:$H,MATCH(A198,'3.員工名單'!$A:$A,0))="兩款共用",INDEX('3.員工名單'!$H:$H,MATCH(A198,'3.員工名單'!$A:$A,0))=INDEX('1.職能辭典'!$J:$J,MATCH(F198,'1.職能辭典'!$C:$C,0))),OR(INDEX('1.職能辭典'!$K:$K,MATCH(F198,'1.職能辭典'!$C:$C,0))="全部",SUMPRODUCT(ISNUMBER(SEARCH({"經營","管理","財務","企劃","營運","技術","數據","美術","測試","客服"},INDEX('3.員工名單'!$I:$I,MATCH(A198,'3.員工名單'!$A:$A,0))))*ISNUMBER(SEARCH({"經營","管理","財務","企劃","營運","技術","數據","美術","測試","客服"},INDEX('1.職能辭典'!$K:$K,MATCH(F198,'1.職能辭典'!$C:$C,0)))))&gt;0)),INDEX('2.職務職能需求'!$B$2:$F$28,MATCH(F198,'2.職務職能需求'!$A$2:$A$28,0),MATCH(D198,'2.職務職能需求'!$B$1:$F$1,0)),0),""))</f>
        <v/>
      </c>
      <c r="H198" s="94" t="n"/>
      <c r="I198" s="94" t="n"/>
      <c r="J198" s="120">
        <f>IF(OR(G198="",I198="",G198=0),"",I198-G198)</f>
        <v/>
      </c>
      <c r="K198" s="120">
        <f>IF(G198="","",IF(G198=0,"不適用",IF(I198="","待評核",IF(I198&gt;=G198,IF(I198&gt;G198,"超越","達標"),"待發展"))))</f>
        <v/>
      </c>
      <c r="L198" s="91" t="n"/>
      <c r="M198" s="91" t="n"/>
      <c r="N198" s="88" t="n"/>
    </row>
    <row r="199" ht="15.75" customHeight="1" s="64">
      <c r="A199" s="88" t="n"/>
      <c r="B199" s="120">
        <f t="array" ref="B199:B199">IF(A199="","",IFERROR(INDEX('3.員工名單'!$B:$B,MATCH(A199,'3.員工名單'!$A:$A,0)),"查無此員工"))</f>
        <v/>
      </c>
      <c r="C199" s="120">
        <f t="array" ref="C199:C199">IF(A199="","",IFERROR(INDEX('3.員工名單'!$C:$C,MATCH(A199,'3.員工名單'!$A:$A,0)),""))</f>
        <v/>
      </c>
      <c r="D199" s="120">
        <f t="array" ref="D199:D199">IF(A199="","",IFERROR(INDEX('3.員工名單'!$D:$D,MATCH(A199,'3.員工名單'!$A:$A,0)),""))</f>
        <v/>
      </c>
      <c r="E199" s="120">
        <f t="array" ref="E199:E199">IF(F199="","",IFERROR(INDEX('1.職能辭典'!$A:$A,MATCH(F199,'1.職能辭典'!$C:$C,0)),""))</f>
        <v/>
      </c>
      <c r="F199" s="94" t="n"/>
      <c r="G199" s="120">
        <f t="array" ref="G199:G199">IF(OR(D199="",F199=""),"",IFERROR(IF(AND(OR(INDEX('1.職能辭典'!$J:$J,MATCH(F199,'1.職能辭典'!$C:$C,0))="全部",INDEX('3.員工名單'!$H:$H,MATCH(A199,'3.員工名單'!$A:$A,0))="兩款共用",INDEX('3.員工名單'!$H:$H,MATCH(A199,'3.員工名單'!$A:$A,0))=INDEX('1.職能辭典'!$J:$J,MATCH(F199,'1.職能辭典'!$C:$C,0))),OR(INDEX('1.職能辭典'!$K:$K,MATCH(F199,'1.職能辭典'!$C:$C,0))="全部",SUMPRODUCT(ISNUMBER(SEARCH({"經營","管理","財務","企劃","營運","技術","數據","美術","測試","客服"},INDEX('3.員工名單'!$I:$I,MATCH(A199,'3.員工名單'!$A:$A,0))))*ISNUMBER(SEARCH({"經營","管理","財務","企劃","營運","技術","數據","美術","測試","客服"},INDEX('1.職能辭典'!$K:$K,MATCH(F199,'1.職能辭典'!$C:$C,0)))))&gt;0)),INDEX('2.職務職能需求'!$B$2:$F$28,MATCH(F199,'2.職務職能需求'!$A$2:$A$28,0),MATCH(D199,'2.職務職能需求'!$B$1:$F$1,0)),0),""))</f>
        <v/>
      </c>
      <c r="H199" s="94" t="n"/>
      <c r="I199" s="94" t="n"/>
      <c r="J199" s="120">
        <f>IF(OR(G199="",I199="",G199=0),"",I199-G199)</f>
        <v/>
      </c>
      <c r="K199" s="120">
        <f>IF(G199="","",IF(G199=0,"不適用",IF(I199="","待評核",IF(I199&gt;=G199,IF(I199&gt;G199,"超越","達標"),"待發展"))))</f>
        <v/>
      </c>
      <c r="L199" s="91" t="n"/>
      <c r="M199" s="91" t="n"/>
      <c r="N199" s="88" t="n"/>
    </row>
    <row r="200" ht="15.75" customHeight="1" s="64">
      <c r="A200" s="88" t="n"/>
      <c r="B200" s="120">
        <f t="array" ref="B200:B200">IF(A200="","",IFERROR(INDEX('3.員工名單'!$B:$B,MATCH(A200,'3.員工名單'!$A:$A,0)),"查無此員工"))</f>
        <v/>
      </c>
      <c r="C200" s="120">
        <f t="array" ref="C200:C200">IF(A200="","",IFERROR(INDEX('3.員工名單'!$C:$C,MATCH(A200,'3.員工名單'!$A:$A,0)),""))</f>
        <v/>
      </c>
      <c r="D200" s="120">
        <f t="array" ref="D200:D200">IF(A200="","",IFERROR(INDEX('3.員工名單'!$D:$D,MATCH(A200,'3.員工名單'!$A:$A,0)),""))</f>
        <v/>
      </c>
      <c r="E200" s="120">
        <f t="array" ref="E200:E200">IF(F200="","",IFERROR(INDEX('1.職能辭典'!$A:$A,MATCH(F200,'1.職能辭典'!$C:$C,0)),""))</f>
        <v/>
      </c>
      <c r="F200" s="94" t="n"/>
      <c r="G200" s="120">
        <f t="array" ref="G200:G200">IF(OR(D200="",F200=""),"",IFERROR(IF(AND(OR(INDEX('1.職能辭典'!$J:$J,MATCH(F200,'1.職能辭典'!$C:$C,0))="全部",INDEX('3.員工名單'!$H:$H,MATCH(A200,'3.員工名單'!$A:$A,0))="兩款共用",INDEX('3.員工名單'!$H:$H,MATCH(A200,'3.員工名單'!$A:$A,0))=INDEX('1.職能辭典'!$J:$J,MATCH(F200,'1.職能辭典'!$C:$C,0))),OR(INDEX('1.職能辭典'!$K:$K,MATCH(F200,'1.職能辭典'!$C:$C,0))="全部",SUMPRODUCT(ISNUMBER(SEARCH({"經營","管理","財務","企劃","營運","技術","數據","美術","測試","客服"},INDEX('3.員工名單'!$I:$I,MATCH(A200,'3.員工名單'!$A:$A,0))))*ISNUMBER(SEARCH({"經營","管理","財務","企劃","營運","技術","數據","美術","測試","客服"},INDEX('1.職能辭典'!$K:$K,MATCH(F200,'1.職能辭典'!$C:$C,0)))))&gt;0)),INDEX('2.職務職能需求'!$B$2:$F$28,MATCH(F200,'2.職務職能需求'!$A$2:$A$28,0),MATCH(D200,'2.職務職能需求'!$B$1:$F$1,0)),0),""))</f>
        <v/>
      </c>
      <c r="H200" s="94" t="n"/>
      <c r="I200" s="94" t="n"/>
      <c r="J200" s="120">
        <f>IF(OR(G200="",I200="",G200=0),"",I200-G200)</f>
        <v/>
      </c>
      <c r="K200" s="120">
        <f>IF(G200="","",IF(G200=0,"不適用",IF(I200="","待評核",IF(I200&gt;=G200,IF(I200&gt;G200,"超越","達標"),"待發展"))))</f>
        <v/>
      </c>
      <c r="L200" s="91" t="n"/>
      <c r="M200" s="91" t="n"/>
      <c r="N200" s="88" t="n"/>
    </row>
    <row r="201" ht="15.75" customHeight="1" s="64">
      <c r="A201" s="88" t="n"/>
      <c r="B201" s="120">
        <f t="array" ref="B201:B201">IF(A201="","",IFERROR(INDEX('3.員工名單'!$B:$B,MATCH(A201,'3.員工名單'!$A:$A,0)),"查無此員工"))</f>
        <v/>
      </c>
      <c r="C201" s="120">
        <f t="array" ref="C201:C201">IF(A201="","",IFERROR(INDEX('3.員工名單'!$C:$C,MATCH(A201,'3.員工名單'!$A:$A,0)),""))</f>
        <v/>
      </c>
      <c r="D201" s="120">
        <f t="array" ref="D201:D201">IF(A201="","",IFERROR(INDEX('3.員工名單'!$D:$D,MATCH(A201,'3.員工名單'!$A:$A,0)),""))</f>
        <v/>
      </c>
      <c r="E201" s="120">
        <f t="array" ref="E201:E201">IF(F201="","",IFERROR(INDEX('1.職能辭典'!$A:$A,MATCH(F201,'1.職能辭典'!$C:$C,0)),""))</f>
        <v/>
      </c>
      <c r="F201" s="94" t="n"/>
      <c r="G201" s="120">
        <f t="array" ref="G201:G201">IF(OR(D201="",F201=""),"",IFERROR(IF(AND(OR(INDEX('1.職能辭典'!$J:$J,MATCH(F201,'1.職能辭典'!$C:$C,0))="全部",INDEX('3.員工名單'!$H:$H,MATCH(A201,'3.員工名單'!$A:$A,0))="兩款共用",INDEX('3.員工名單'!$H:$H,MATCH(A201,'3.員工名單'!$A:$A,0))=INDEX('1.職能辭典'!$J:$J,MATCH(F201,'1.職能辭典'!$C:$C,0))),OR(INDEX('1.職能辭典'!$K:$K,MATCH(F201,'1.職能辭典'!$C:$C,0))="全部",SUMPRODUCT(ISNUMBER(SEARCH({"經營","管理","財務","企劃","營運","技術","數據","美術","測試","客服"},INDEX('3.員工名單'!$I:$I,MATCH(A201,'3.員工名單'!$A:$A,0))))*ISNUMBER(SEARCH({"經營","管理","財務","企劃","營運","技術","數據","美術","測試","客服"},INDEX('1.職能辭典'!$K:$K,MATCH(F201,'1.職能辭典'!$C:$C,0)))))&gt;0)),INDEX('2.職務職能需求'!$B$2:$F$28,MATCH(F201,'2.職務職能需求'!$A$2:$A$28,0),MATCH(D201,'2.職務職能需求'!$B$1:$F$1,0)),0),""))</f>
        <v/>
      </c>
      <c r="H201" s="94" t="n"/>
      <c r="I201" s="94" t="n"/>
      <c r="J201" s="120">
        <f>IF(OR(G201="",I201="",G201=0),"",I201-G201)</f>
        <v/>
      </c>
      <c r="K201" s="120">
        <f>IF(G201="","",IF(G201=0,"不適用",IF(I201="","待評核",IF(I201&gt;=G201,IF(I201&gt;G201,"超越","達標"),"待發展"))))</f>
        <v/>
      </c>
      <c r="L201" s="91" t="n"/>
      <c r="M201" s="91" t="n"/>
      <c r="N201" s="88" t="n"/>
    </row>
    <row r="202" ht="15.75" customHeight="1" s="64">
      <c r="A202" s="88" t="n"/>
      <c r="B202" s="120">
        <f t="array" ref="B202:B202">IF(A202="","",IFERROR(INDEX('3.員工名單'!$B:$B,MATCH(A202,'3.員工名單'!$A:$A,0)),"查無此員工"))</f>
        <v/>
      </c>
      <c r="C202" s="120">
        <f t="array" ref="C202:C202">IF(A202="","",IFERROR(INDEX('3.員工名單'!$C:$C,MATCH(A202,'3.員工名單'!$A:$A,0)),""))</f>
        <v/>
      </c>
      <c r="D202" s="120">
        <f t="array" ref="D202:D202">IF(A202="","",IFERROR(INDEX('3.員工名單'!$D:$D,MATCH(A202,'3.員工名單'!$A:$A,0)),""))</f>
        <v/>
      </c>
      <c r="E202" s="120">
        <f t="array" ref="E202:E202">IF(F202="","",IFERROR(INDEX('1.職能辭典'!$A:$A,MATCH(F202,'1.職能辭典'!$C:$C,0)),""))</f>
        <v/>
      </c>
      <c r="F202" s="94" t="n"/>
      <c r="G202" s="120">
        <f t="array" ref="G202:G202">IF(OR(D202="",F202=""),"",IFERROR(IF(AND(OR(INDEX('1.職能辭典'!$J:$J,MATCH(F202,'1.職能辭典'!$C:$C,0))="全部",INDEX('3.員工名單'!$H:$H,MATCH(A202,'3.員工名單'!$A:$A,0))="兩款共用",INDEX('3.員工名單'!$H:$H,MATCH(A202,'3.員工名單'!$A:$A,0))=INDEX('1.職能辭典'!$J:$J,MATCH(F202,'1.職能辭典'!$C:$C,0))),OR(INDEX('1.職能辭典'!$K:$K,MATCH(F202,'1.職能辭典'!$C:$C,0))="全部",SUMPRODUCT(ISNUMBER(SEARCH({"經營","管理","財務","企劃","營運","技術","數據","美術","測試","客服"},INDEX('3.員工名單'!$I:$I,MATCH(A202,'3.員工名單'!$A:$A,0))))*ISNUMBER(SEARCH({"經營","管理","財務","企劃","營運","技術","數據","美術","測試","客服"},INDEX('1.職能辭典'!$K:$K,MATCH(F202,'1.職能辭典'!$C:$C,0)))))&gt;0)),INDEX('2.職務職能需求'!$B$2:$F$28,MATCH(F202,'2.職務職能需求'!$A$2:$A$28,0),MATCH(D202,'2.職務職能需求'!$B$1:$F$1,0)),0),""))</f>
        <v/>
      </c>
      <c r="H202" s="94" t="n"/>
      <c r="I202" s="94" t="n"/>
      <c r="J202" s="120">
        <f>IF(OR(G202="",I202="",G202=0),"",I202-G202)</f>
        <v/>
      </c>
      <c r="K202" s="120">
        <f>IF(G202="","",IF(G202=0,"不適用",IF(I202="","待評核",IF(I202&gt;=G202,IF(I202&gt;G202,"超越","達標"),"待發展"))))</f>
        <v/>
      </c>
      <c r="L202" s="91" t="n"/>
      <c r="M202" s="91" t="n"/>
      <c r="N202" s="88" t="n"/>
    </row>
    <row r="203" ht="15.75" customHeight="1" s="64">
      <c r="A203" s="88" t="n"/>
      <c r="B203" s="120">
        <f t="array" ref="B203:B203">IF(A203="","",IFERROR(INDEX('3.員工名單'!$B:$B,MATCH(A203,'3.員工名單'!$A:$A,0)),"查無此員工"))</f>
        <v/>
      </c>
      <c r="C203" s="120">
        <f t="array" ref="C203:C203">IF(A203="","",IFERROR(INDEX('3.員工名單'!$C:$C,MATCH(A203,'3.員工名單'!$A:$A,0)),""))</f>
        <v/>
      </c>
      <c r="D203" s="120">
        <f t="array" ref="D203:D203">IF(A203="","",IFERROR(INDEX('3.員工名單'!$D:$D,MATCH(A203,'3.員工名單'!$A:$A,0)),""))</f>
        <v/>
      </c>
      <c r="E203" s="120">
        <f t="array" ref="E203:E203">IF(F203="","",IFERROR(INDEX('1.職能辭典'!$A:$A,MATCH(F203,'1.職能辭典'!$C:$C,0)),""))</f>
        <v/>
      </c>
      <c r="F203" s="94" t="n"/>
      <c r="G203" s="120">
        <f t="array" ref="G203:G203">IF(OR(D203="",F203=""),"",IFERROR(IF(AND(OR(INDEX('1.職能辭典'!$J:$J,MATCH(F203,'1.職能辭典'!$C:$C,0))="全部",INDEX('3.員工名單'!$H:$H,MATCH(A203,'3.員工名單'!$A:$A,0))="兩款共用",INDEX('3.員工名單'!$H:$H,MATCH(A203,'3.員工名單'!$A:$A,0))=INDEX('1.職能辭典'!$J:$J,MATCH(F203,'1.職能辭典'!$C:$C,0))),OR(INDEX('1.職能辭典'!$K:$K,MATCH(F203,'1.職能辭典'!$C:$C,0))="全部",SUMPRODUCT(ISNUMBER(SEARCH({"經營","管理","財務","企劃","營運","技術","數據","美術","測試","客服"},INDEX('3.員工名單'!$I:$I,MATCH(A203,'3.員工名單'!$A:$A,0))))*ISNUMBER(SEARCH({"經營","管理","財務","企劃","營運","技術","數據","美術","測試","客服"},INDEX('1.職能辭典'!$K:$K,MATCH(F203,'1.職能辭典'!$C:$C,0)))))&gt;0)),INDEX('2.職務職能需求'!$B$2:$F$28,MATCH(F203,'2.職務職能需求'!$A$2:$A$28,0),MATCH(D203,'2.職務職能需求'!$B$1:$F$1,0)),0),""))</f>
        <v/>
      </c>
      <c r="H203" s="94" t="n"/>
      <c r="I203" s="94" t="n"/>
      <c r="J203" s="120">
        <f>IF(OR(G203="",I203="",G203=0),"",I203-G203)</f>
        <v/>
      </c>
      <c r="K203" s="120">
        <f>IF(G203="","",IF(G203=0,"不適用",IF(I203="","待評核",IF(I203&gt;=G203,IF(I203&gt;G203,"超越","達標"),"待發展"))))</f>
        <v/>
      </c>
      <c r="L203" s="91" t="n"/>
      <c r="M203" s="91" t="n"/>
      <c r="N203" s="88" t="n"/>
    </row>
    <row r="204" ht="15.75" customHeight="1" s="64">
      <c r="A204" s="88" t="n"/>
      <c r="B204" s="120">
        <f t="array" ref="B204:B204">IF(A204="","",IFERROR(INDEX('3.員工名單'!$B:$B,MATCH(A204,'3.員工名單'!$A:$A,0)),"查無此員工"))</f>
        <v/>
      </c>
      <c r="C204" s="120">
        <f t="array" ref="C204:C204">IF(A204="","",IFERROR(INDEX('3.員工名單'!$C:$C,MATCH(A204,'3.員工名單'!$A:$A,0)),""))</f>
        <v/>
      </c>
      <c r="D204" s="120">
        <f t="array" ref="D204:D204">IF(A204="","",IFERROR(INDEX('3.員工名單'!$D:$D,MATCH(A204,'3.員工名單'!$A:$A,0)),""))</f>
        <v/>
      </c>
      <c r="E204" s="120">
        <f t="array" ref="E204:E204">IF(F204="","",IFERROR(INDEX('1.職能辭典'!$A:$A,MATCH(F204,'1.職能辭典'!$C:$C,0)),""))</f>
        <v/>
      </c>
      <c r="F204" s="94" t="n"/>
      <c r="G204" s="120">
        <f t="array" ref="G204:G204">IF(OR(D204="",F204=""),"",IFERROR(IF(AND(OR(INDEX('1.職能辭典'!$J:$J,MATCH(F204,'1.職能辭典'!$C:$C,0))="全部",INDEX('3.員工名單'!$H:$H,MATCH(A204,'3.員工名單'!$A:$A,0))="兩款共用",INDEX('3.員工名單'!$H:$H,MATCH(A204,'3.員工名單'!$A:$A,0))=INDEX('1.職能辭典'!$J:$J,MATCH(F204,'1.職能辭典'!$C:$C,0))),OR(INDEX('1.職能辭典'!$K:$K,MATCH(F204,'1.職能辭典'!$C:$C,0))="全部",SUMPRODUCT(ISNUMBER(SEARCH({"經營","管理","財務","企劃","營運","技術","數據","美術","測試","客服"},INDEX('3.員工名單'!$I:$I,MATCH(A204,'3.員工名單'!$A:$A,0))))*ISNUMBER(SEARCH({"經營","管理","財務","企劃","營運","技術","數據","美術","測試","客服"},INDEX('1.職能辭典'!$K:$K,MATCH(F204,'1.職能辭典'!$C:$C,0)))))&gt;0)),INDEX('2.職務職能需求'!$B$2:$F$28,MATCH(F204,'2.職務職能需求'!$A$2:$A$28,0),MATCH(D204,'2.職務職能需求'!$B$1:$F$1,0)),0),""))</f>
        <v/>
      </c>
      <c r="H204" s="94" t="n"/>
      <c r="I204" s="94" t="n"/>
      <c r="J204" s="120">
        <f>IF(OR(G204="",I204="",G204=0),"",I204-G204)</f>
        <v/>
      </c>
      <c r="K204" s="120">
        <f>IF(G204="","",IF(G204=0,"不適用",IF(I204="","待評核",IF(I204&gt;=G204,IF(I204&gt;G204,"超越","達標"),"待發展"))))</f>
        <v/>
      </c>
      <c r="L204" s="91" t="n"/>
      <c r="M204" s="91" t="n"/>
      <c r="N204" s="88" t="n"/>
    </row>
    <row r="205" ht="15.75" customHeight="1" s="64">
      <c r="A205" s="88" t="n"/>
      <c r="B205" s="120">
        <f t="array" ref="B205:B205">IF(A205="","",IFERROR(INDEX('3.員工名單'!$B:$B,MATCH(A205,'3.員工名單'!$A:$A,0)),"查無此員工"))</f>
        <v/>
      </c>
      <c r="C205" s="120">
        <f t="array" ref="C205:C205">IF(A205="","",IFERROR(INDEX('3.員工名單'!$C:$C,MATCH(A205,'3.員工名單'!$A:$A,0)),""))</f>
        <v/>
      </c>
      <c r="D205" s="120">
        <f t="array" ref="D205:D205">IF(A205="","",IFERROR(INDEX('3.員工名單'!$D:$D,MATCH(A205,'3.員工名單'!$A:$A,0)),""))</f>
        <v/>
      </c>
      <c r="E205" s="120">
        <f t="array" ref="E205:E205">IF(F205="","",IFERROR(INDEX('1.職能辭典'!$A:$A,MATCH(F205,'1.職能辭典'!$C:$C,0)),""))</f>
        <v/>
      </c>
      <c r="F205" s="94" t="n"/>
      <c r="G205" s="120">
        <f t="array" ref="G205:G205">IF(OR(D205="",F205=""),"",IFERROR(IF(AND(OR(INDEX('1.職能辭典'!$J:$J,MATCH(F205,'1.職能辭典'!$C:$C,0))="全部",INDEX('3.員工名單'!$H:$H,MATCH(A205,'3.員工名單'!$A:$A,0))="兩款共用",INDEX('3.員工名單'!$H:$H,MATCH(A205,'3.員工名單'!$A:$A,0))=INDEX('1.職能辭典'!$J:$J,MATCH(F205,'1.職能辭典'!$C:$C,0))),OR(INDEX('1.職能辭典'!$K:$K,MATCH(F205,'1.職能辭典'!$C:$C,0))="全部",SUMPRODUCT(ISNUMBER(SEARCH({"經營","管理","財務","企劃","營運","技術","數據","美術","測試","客服"},INDEX('3.員工名單'!$I:$I,MATCH(A205,'3.員工名單'!$A:$A,0))))*ISNUMBER(SEARCH({"經營","管理","財務","企劃","營運","技術","數據","美術","測試","客服"},INDEX('1.職能辭典'!$K:$K,MATCH(F205,'1.職能辭典'!$C:$C,0)))))&gt;0)),INDEX('2.職務職能需求'!$B$2:$F$28,MATCH(F205,'2.職務職能需求'!$A$2:$A$28,0),MATCH(D205,'2.職務職能需求'!$B$1:$F$1,0)),0),""))</f>
        <v/>
      </c>
      <c r="H205" s="94" t="n"/>
      <c r="I205" s="94" t="n"/>
      <c r="J205" s="120">
        <f>IF(OR(G205="",I205="",G205=0),"",I205-G205)</f>
        <v/>
      </c>
      <c r="K205" s="120">
        <f>IF(G205="","",IF(G205=0,"不適用",IF(I205="","待評核",IF(I205&gt;=G205,IF(I205&gt;G205,"超越","達標"),"待發展"))))</f>
        <v/>
      </c>
      <c r="L205" s="91" t="n"/>
      <c r="M205" s="91" t="n"/>
      <c r="N205" s="88" t="n"/>
    </row>
    <row r="206" ht="15.75" customHeight="1" s="64">
      <c r="A206" s="88" t="n"/>
      <c r="B206" s="120">
        <f t="array" ref="B206:B206">IF(A206="","",IFERROR(INDEX('3.員工名單'!$B:$B,MATCH(A206,'3.員工名單'!$A:$A,0)),"查無此員工"))</f>
        <v/>
      </c>
      <c r="C206" s="120">
        <f t="array" ref="C206:C206">IF(A206="","",IFERROR(INDEX('3.員工名單'!$C:$C,MATCH(A206,'3.員工名單'!$A:$A,0)),""))</f>
        <v/>
      </c>
      <c r="D206" s="120">
        <f t="array" ref="D206:D206">IF(A206="","",IFERROR(INDEX('3.員工名單'!$D:$D,MATCH(A206,'3.員工名單'!$A:$A,0)),""))</f>
        <v/>
      </c>
      <c r="E206" s="120">
        <f t="array" ref="E206:E206">IF(F206="","",IFERROR(INDEX('1.職能辭典'!$A:$A,MATCH(F206,'1.職能辭典'!$C:$C,0)),""))</f>
        <v/>
      </c>
      <c r="F206" s="94" t="n"/>
      <c r="G206" s="120">
        <f t="array" ref="G206:G206">IF(OR(D206="",F206=""),"",IFERROR(IF(AND(OR(INDEX('1.職能辭典'!$J:$J,MATCH(F206,'1.職能辭典'!$C:$C,0))="全部",INDEX('3.員工名單'!$H:$H,MATCH(A206,'3.員工名單'!$A:$A,0))="兩款共用",INDEX('3.員工名單'!$H:$H,MATCH(A206,'3.員工名單'!$A:$A,0))=INDEX('1.職能辭典'!$J:$J,MATCH(F206,'1.職能辭典'!$C:$C,0))),OR(INDEX('1.職能辭典'!$K:$K,MATCH(F206,'1.職能辭典'!$C:$C,0))="全部",SUMPRODUCT(ISNUMBER(SEARCH({"經營","管理","財務","企劃","營運","技術","數據","美術","測試","客服"},INDEX('3.員工名單'!$I:$I,MATCH(A206,'3.員工名單'!$A:$A,0))))*ISNUMBER(SEARCH({"經營","管理","財務","企劃","營運","技術","數據","美術","測試","客服"},INDEX('1.職能辭典'!$K:$K,MATCH(F206,'1.職能辭典'!$C:$C,0)))))&gt;0)),INDEX('2.職務職能需求'!$B$2:$F$28,MATCH(F206,'2.職務職能需求'!$A$2:$A$28,0),MATCH(D206,'2.職務職能需求'!$B$1:$F$1,0)),0),""))</f>
        <v/>
      </c>
      <c r="H206" s="94" t="n"/>
      <c r="I206" s="94" t="n"/>
      <c r="J206" s="120">
        <f>IF(OR(G206="",I206="",G206=0),"",I206-G206)</f>
        <v/>
      </c>
      <c r="K206" s="120">
        <f>IF(G206="","",IF(G206=0,"不適用",IF(I206="","待評核",IF(I206&gt;=G206,IF(I206&gt;G206,"超越","達標"),"待發展"))))</f>
        <v/>
      </c>
      <c r="L206" s="91" t="n"/>
      <c r="M206" s="91" t="n"/>
      <c r="N206" s="88" t="n"/>
    </row>
    <row r="207" ht="15.75" customHeight="1" s="64">
      <c r="A207" s="88" t="n"/>
      <c r="B207" s="120">
        <f t="array" ref="B207:B207">IF(A207="","",IFERROR(INDEX('3.員工名單'!$B:$B,MATCH(A207,'3.員工名單'!$A:$A,0)),"查無此員工"))</f>
        <v/>
      </c>
      <c r="C207" s="120">
        <f t="array" ref="C207:C207">IF(A207="","",IFERROR(INDEX('3.員工名單'!$C:$C,MATCH(A207,'3.員工名單'!$A:$A,0)),""))</f>
        <v/>
      </c>
      <c r="D207" s="120">
        <f t="array" ref="D207:D207">IF(A207="","",IFERROR(INDEX('3.員工名單'!$D:$D,MATCH(A207,'3.員工名單'!$A:$A,0)),""))</f>
        <v/>
      </c>
      <c r="E207" s="120">
        <f t="array" ref="E207:E207">IF(F207="","",IFERROR(INDEX('1.職能辭典'!$A:$A,MATCH(F207,'1.職能辭典'!$C:$C,0)),""))</f>
        <v/>
      </c>
      <c r="F207" s="94" t="n"/>
      <c r="G207" s="120">
        <f t="array" ref="G207:G207">IF(OR(D207="",F207=""),"",IFERROR(IF(AND(OR(INDEX('1.職能辭典'!$J:$J,MATCH(F207,'1.職能辭典'!$C:$C,0))="全部",INDEX('3.員工名單'!$H:$H,MATCH(A207,'3.員工名單'!$A:$A,0))="兩款共用",INDEX('3.員工名單'!$H:$H,MATCH(A207,'3.員工名單'!$A:$A,0))=INDEX('1.職能辭典'!$J:$J,MATCH(F207,'1.職能辭典'!$C:$C,0))),OR(INDEX('1.職能辭典'!$K:$K,MATCH(F207,'1.職能辭典'!$C:$C,0))="全部",SUMPRODUCT(ISNUMBER(SEARCH({"經營","管理","財務","企劃","營運","技術","數據","美術","測試","客服"},INDEX('3.員工名單'!$I:$I,MATCH(A207,'3.員工名單'!$A:$A,0))))*ISNUMBER(SEARCH({"經營","管理","財務","企劃","營運","技術","數據","美術","測試","客服"},INDEX('1.職能辭典'!$K:$K,MATCH(F207,'1.職能辭典'!$C:$C,0)))))&gt;0)),INDEX('2.職務職能需求'!$B$2:$F$28,MATCH(F207,'2.職務職能需求'!$A$2:$A$28,0),MATCH(D207,'2.職務職能需求'!$B$1:$F$1,0)),0),""))</f>
        <v/>
      </c>
      <c r="H207" s="94" t="n"/>
      <c r="I207" s="94" t="n"/>
      <c r="J207" s="120">
        <f>IF(OR(G207="",I207="",G207=0),"",I207-G207)</f>
        <v/>
      </c>
      <c r="K207" s="120">
        <f>IF(G207="","",IF(G207=0,"不適用",IF(I207="","待評核",IF(I207&gt;=G207,IF(I207&gt;G207,"超越","達標"),"待發展"))))</f>
        <v/>
      </c>
      <c r="L207" s="91" t="n"/>
      <c r="M207" s="91" t="n"/>
      <c r="N207" s="88" t="n"/>
    </row>
    <row r="208" ht="15.75" customHeight="1" s="64">
      <c r="A208" s="88" t="n"/>
      <c r="B208" s="120">
        <f t="array" ref="B208:B208">IF(A208="","",IFERROR(INDEX('3.員工名單'!$B:$B,MATCH(A208,'3.員工名單'!$A:$A,0)),"查無此員工"))</f>
        <v/>
      </c>
      <c r="C208" s="120">
        <f t="array" ref="C208:C208">IF(A208="","",IFERROR(INDEX('3.員工名單'!$C:$C,MATCH(A208,'3.員工名單'!$A:$A,0)),""))</f>
        <v/>
      </c>
      <c r="D208" s="120">
        <f t="array" ref="D208:D208">IF(A208="","",IFERROR(INDEX('3.員工名單'!$D:$D,MATCH(A208,'3.員工名單'!$A:$A,0)),""))</f>
        <v/>
      </c>
      <c r="E208" s="120">
        <f t="array" ref="E208:E208">IF(F208="","",IFERROR(INDEX('1.職能辭典'!$A:$A,MATCH(F208,'1.職能辭典'!$C:$C,0)),""))</f>
        <v/>
      </c>
      <c r="F208" s="94" t="n"/>
      <c r="G208" s="120">
        <f t="array" ref="G208:G208">IF(OR(D208="",F208=""),"",IFERROR(IF(AND(OR(INDEX('1.職能辭典'!$J:$J,MATCH(F208,'1.職能辭典'!$C:$C,0))="全部",INDEX('3.員工名單'!$H:$H,MATCH(A208,'3.員工名單'!$A:$A,0))="兩款共用",INDEX('3.員工名單'!$H:$H,MATCH(A208,'3.員工名單'!$A:$A,0))=INDEX('1.職能辭典'!$J:$J,MATCH(F208,'1.職能辭典'!$C:$C,0))),OR(INDEX('1.職能辭典'!$K:$K,MATCH(F208,'1.職能辭典'!$C:$C,0))="全部",SUMPRODUCT(ISNUMBER(SEARCH({"經營","管理","財務","企劃","營運","技術","數據","美術","測試","客服"},INDEX('3.員工名單'!$I:$I,MATCH(A208,'3.員工名單'!$A:$A,0))))*ISNUMBER(SEARCH({"經營","管理","財務","企劃","營運","技術","數據","美術","測試","客服"},INDEX('1.職能辭典'!$K:$K,MATCH(F208,'1.職能辭典'!$C:$C,0)))))&gt;0)),INDEX('2.職務職能需求'!$B$2:$F$28,MATCH(F208,'2.職務職能需求'!$A$2:$A$28,0),MATCH(D208,'2.職務職能需求'!$B$1:$F$1,0)),0),""))</f>
        <v/>
      </c>
      <c r="H208" s="94" t="n"/>
      <c r="I208" s="94" t="n"/>
      <c r="J208" s="120">
        <f>IF(OR(G208="",I208="",G208=0),"",I208-G208)</f>
        <v/>
      </c>
      <c r="K208" s="120">
        <f>IF(G208="","",IF(G208=0,"不適用",IF(I208="","待評核",IF(I208&gt;=G208,IF(I208&gt;G208,"超越","達標"),"待發展"))))</f>
        <v/>
      </c>
      <c r="L208" s="91" t="n"/>
      <c r="M208" s="91" t="n"/>
      <c r="N208" s="88" t="n"/>
    </row>
    <row r="209" ht="15.75" customHeight="1" s="64">
      <c r="A209" s="88" t="n"/>
      <c r="B209" s="120">
        <f t="array" ref="B209:B209">IF(A209="","",IFERROR(INDEX('3.員工名單'!$B:$B,MATCH(A209,'3.員工名單'!$A:$A,0)),"查無此員工"))</f>
        <v/>
      </c>
      <c r="C209" s="120">
        <f t="array" ref="C209:C209">IF(A209="","",IFERROR(INDEX('3.員工名單'!$C:$C,MATCH(A209,'3.員工名單'!$A:$A,0)),""))</f>
        <v/>
      </c>
      <c r="D209" s="120">
        <f t="array" ref="D209:D209">IF(A209="","",IFERROR(INDEX('3.員工名單'!$D:$D,MATCH(A209,'3.員工名單'!$A:$A,0)),""))</f>
        <v/>
      </c>
      <c r="E209" s="120">
        <f t="array" ref="E209:E209">IF(F209="","",IFERROR(INDEX('1.職能辭典'!$A:$A,MATCH(F209,'1.職能辭典'!$C:$C,0)),""))</f>
        <v/>
      </c>
      <c r="F209" s="94" t="n"/>
      <c r="G209" s="120">
        <f t="array" ref="G209:G209">IF(OR(D209="",F209=""),"",IFERROR(IF(AND(OR(INDEX('1.職能辭典'!$J:$J,MATCH(F209,'1.職能辭典'!$C:$C,0))="全部",INDEX('3.員工名單'!$H:$H,MATCH(A209,'3.員工名單'!$A:$A,0))="兩款共用",INDEX('3.員工名單'!$H:$H,MATCH(A209,'3.員工名單'!$A:$A,0))=INDEX('1.職能辭典'!$J:$J,MATCH(F209,'1.職能辭典'!$C:$C,0))),OR(INDEX('1.職能辭典'!$K:$K,MATCH(F209,'1.職能辭典'!$C:$C,0))="全部",SUMPRODUCT(ISNUMBER(SEARCH({"經營","管理","財務","企劃","營運","技術","數據","美術","測試","客服"},INDEX('3.員工名單'!$I:$I,MATCH(A209,'3.員工名單'!$A:$A,0))))*ISNUMBER(SEARCH({"經營","管理","財務","企劃","營運","技術","數據","美術","測試","客服"},INDEX('1.職能辭典'!$K:$K,MATCH(F209,'1.職能辭典'!$C:$C,0)))))&gt;0)),INDEX('2.職務職能需求'!$B$2:$F$28,MATCH(F209,'2.職務職能需求'!$A$2:$A$28,0),MATCH(D209,'2.職務職能需求'!$B$1:$F$1,0)),0),""))</f>
        <v/>
      </c>
      <c r="H209" s="94" t="n"/>
      <c r="I209" s="94" t="n"/>
      <c r="J209" s="120">
        <f>IF(OR(G209="",I209="",G209=0),"",I209-G209)</f>
        <v/>
      </c>
      <c r="K209" s="120">
        <f>IF(G209="","",IF(G209=0,"不適用",IF(I209="","待評核",IF(I209&gt;=G209,IF(I209&gt;G209,"超越","達標"),"待發展"))))</f>
        <v/>
      </c>
      <c r="L209" s="91" t="n"/>
      <c r="M209" s="91" t="n"/>
      <c r="N209" s="88" t="n"/>
    </row>
    <row r="210" ht="15.75" customHeight="1" s="64">
      <c r="A210" s="88" t="n"/>
      <c r="B210" s="120">
        <f t="array" ref="B210:B210">IF(A210="","",IFERROR(INDEX('3.員工名單'!$B:$B,MATCH(A210,'3.員工名單'!$A:$A,0)),"查無此員工"))</f>
        <v/>
      </c>
      <c r="C210" s="120">
        <f t="array" ref="C210:C210">IF(A210="","",IFERROR(INDEX('3.員工名單'!$C:$C,MATCH(A210,'3.員工名單'!$A:$A,0)),""))</f>
        <v/>
      </c>
      <c r="D210" s="120">
        <f t="array" ref="D210:D210">IF(A210="","",IFERROR(INDEX('3.員工名單'!$D:$D,MATCH(A210,'3.員工名單'!$A:$A,0)),""))</f>
        <v/>
      </c>
      <c r="E210" s="120">
        <f t="array" ref="E210:E210">IF(F210="","",IFERROR(INDEX('1.職能辭典'!$A:$A,MATCH(F210,'1.職能辭典'!$C:$C,0)),""))</f>
        <v/>
      </c>
      <c r="F210" s="94" t="n"/>
      <c r="G210" s="120">
        <f t="array" ref="G210:G210">IF(OR(D210="",F210=""),"",IFERROR(IF(AND(OR(INDEX('1.職能辭典'!$J:$J,MATCH(F210,'1.職能辭典'!$C:$C,0))="全部",INDEX('3.員工名單'!$H:$H,MATCH(A210,'3.員工名單'!$A:$A,0))="兩款共用",INDEX('3.員工名單'!$H:$H,MATCH(A210,'3.員工名單'!$A:$A,0))=INDEX('1.職能辭典'!$J:$J,MATCH(F210,'1.職能辭典'!$C:$C,0))),OR(INDEX('1.職能辭典'!$K:$K,MATCH(F210,'1.職能辭典'!$C:$C,0))="全部",SUMPRODUCT(ISNUMBER(SEARCH({"經營","管理","財務","企劃","營運","技術","數據","美術","測試","客服"},INDEX('3.員工名單'!$I:$I,MATCH(A210,'3.員工名單'!$A:$A,0))))*ISNUMBER(SEARCH({"經營","管理","財務","企劃","營運","技術","數據","美術","測試","客服"},INDEX('1.職能辭典'!$K:$K,MATCH(F210,'1.職能辭典'!$C:$C,0)))))&gt;0)),INDEX('2.職務職能需求'!$B$2:$F$28,MATCH(F210,'2.職務職能需求'!$A$2:$A$28,0),MATCH(D210,'2.職務職能需求'!$B$1:$F$1,0)),0),""))</f>
        <v/>
      </c>
      <c r="H210" s="94" t="n"/>
      <c r="I210" s="94" t="n"/>
      <c r="J210" s="120">
        <f>IF(OR(G210="",I210="",G210=0),"",I210-G210)</f>
        <v/>
      </c>
      <c r="K210" s="120">
        <f>IF(G210="","",IF(G210=0,"不適用",IF(I210="","待評核",IF(I210&gt;=G210,IF(I210&gt;G210,"超越","達標"),"待發展"))))</f>
        <v/>
      </c>
      <c r="L210" s="91" t="n"/>
      <c r="M210" s="91" t="n"/>
      <c r="N210" s="88" t="n"/>
    </row>
    <row r="211" ht="15.75" customHeight="1" s="64">
      <c r="A211" s="88" t="n"/>
      <c r="B211" s="120">
        <f t="array" ref="B211:B211">IF(A211="","",IFERROR(INDEX('3.員工名單'!$B:$B,MATCH(A211,'3.員工名單'!$A:$A,0)),"查無此員工"))</f>
        <v/>
      </c>
      <c r="C211" s="120">
        <f t="array" ref="C211:C211">IF(A211="","",IFERROR(INDEX('3.員工名單'!$C:$C,MATCH(A211,'3.員工名單'!$A:$A,0)),""))</f>
        <v/>
      </c>
      <c r="D211" s="120">
        <f t="array" ref="D211:D211">IF(A211="","",IFERROR(INDEX('3.員工名單'!$D:$D,MATCH(A211,'3.員工名單'!$A:$A,0)),""))</f>
        <v/>
      </c>
      <c r="E211" s="120">
        <f t="array" ref="E211:E211">IF(F211="","",IFERROR(INDEX('1.職能辭典'!$A:$A,MATCH(F211,'1.職能辭典'!$C:$C,0)),""))</f>
        <v/>
      </c>
      <c r="F211" s="94" t="n"/>
      <c r="G211" s="120">
        <f t="array" ref="G211:G211">IF(OR(D211="",F211=""),"",IFERROR(IF(AND(OR(INDEX('1.職能辭典'!$J:$J,MATCH(F211,'1.職能辭典'!$C:$C,0))="全部",INDEX('3.員工名單'!$H:$H,MATCH(A211,'3.員工名單'!$A:$A,0))="兩款共用",INDEX('3.員工名單'!$H:$H,MATCH(A211,'3.員工名單'!$A:$A,0))=INDEX('1.職能辭典'!$J:$J,MATCH(F211,'1.職能辭典'!$C:$C,0))),OR(INDEX('1.職能辭典'!$K:$K,MATCH(F211,'1.職能辭典'!$C:$C,0))="全部",SUMPRODUCT(ISNUMBER(SEARCH({"經營","管理","財務","企劃","營運","技術","數據","美術","測試","客服"},INDEX('3.員工名單'!$I:$I,MATCH(A211,'3.員工名單'!$A:$A,0))))*ISNUMBER(SEARCH({"經營","管理","財務","企劃","營運","技術","數據","美術","測試","客服"},INDEX('1.職能辭典'!$K:$K,MATCH(F211,'1.職能辭典'!$C:$C,0)))))&gt;0)),INDEX('2.職務職能需求'!$B$2:$F$28,MATCH(F211,'2.職務職能需求'!$A$2:$A$28,0),MATCH(D211,'2.職務職能需求'!$B$1:$F$1,0)),0),""))</f>
        <v/>
      </c>
      <c r="H211" s="94" t="n"/>
      <c r="I211" s="94" t="n"/>
      <c r="J211" s="120">
        <f>IF(OR(G211="",I211="",G211=0),"",I211-G211)</f>
        <v/>
      </c>
      <c r="K211" s="120">
        <f>IF(G211="","",IF(G211=0,"不適用",IF(I211="","待評核",IF(I211&gt;=G211,IF(I211&gt;G211,"超越","達標"),"待發展"))))</f>
        <v/>
      </c>
      <c r="L211" s="91" t="n"/>
      <c r="M211" s="91" t="n"/>
      <c r="N211" s="88" t="n"/>
    </row>
    <row r="212" ht="15.75" customHeight="1" s="64">
      <c r="A212" s="88" t="n"/>
      <c r="B212" s="120">
        <f t="array" ref="B212:B212">IF(A212="","",IFERROR(INDEX('3.員工名單'!$B:$B,MATCH(A212,'3.員工名單'!$A:$A,0)),"查無此員工"))</f>
        <v/>
      </c>
      <c r="C212" s="120">
        <f t="array" ref="C212:C212">IF(A212="","",IFERROR(INDEX('3.員工名單'!$C:$C,MATCH(A212,'3.員工名單'!$A:$A,0)),""))</f>
        <v/>
      </c>
      <c r="D212" s="120">
        <f t="array" ref="D212:D212">IF(A212="","",IFERROR(INDEX('3.員工名單'!$D:$D,MATCH(A212,'3.員工名單'!$A:$A,0)),""))</f>
        <v/>
      </c>
      <c r="E212" s="120">
        <f t="array" ref="E212:E212">IF(F212="","",IFERROR(INDEX('1.職能辭典'!$A:$A,MATCH(F212,'1.職能辭典'!$C:$C,0)),""))</f>
        <v/>
      </c>
      <c r="F212" s="94" t="n"/>
      <c r="G212" s="120">
        <f t="array" ref="G212:G212">IF(OR(D212="",F212=""),"",IFERROR(IF(AND(OR(INDEX('1.職能辭典'!$J:$J,MATCH(F212,'1.職能辭典'!$C:$C,0))="全部",INDEX('3.員工名單'!$H:$H,MATCH(A212,'3.員工名單'!$A:$A,0))="兩款共用",INDEX('3.員工名單'!$H:$H,MATCH(A212,'3.員工名單'!$A:$A,0))=INDEX('1.職能辭典'!$J:$J,MATCH(F212,'1.職能辭典'!$C:$C,0))),OR(INDEX('1.職能辭典'!$K:$K,MATCH(F212,'1.職能辭典'!$C:$C,0))="全部",SUMPRODUCT(ISNUMBER(SEARCH({"經營","管理","財務","企劃","營運","技術","數據","美術","測試","客服"},INDEX('3.員工名單'!$I:$I,MATCH(A212,'3.員工名單'!$A:$A,0))))*ISNUMBER(SEARCH({"經營","管理","財務","企劃","營運","技術","數據","美術","測試","客服"},INDEX('1.職能辭典'!$K:$K,MATCH(F212,'1.職能辭典'!$C:$C,0)))))&gt;0)),INDEX('2.職務職能需求'!$B$2:$F$28,MATCH(F212,'2.職務職能需求'!$A$2:$A$28,0),MATCH(D212,'2.職務職能需求'!$B$1:$F$1,0)),0),""))</f>
        <v/>
      </c>
      <c r="H212" s="94" t="n"/>
      <c r="I212" s="94" t="n"/>
      <c r="J212" s="120">
        <f>IF(OR(G212="",I212="",G212=0),"",I212-G212)</f>
        <v/>
      </c>
      <c r="K212" s="120">
        <f>IF(G212="","",IF(G212=0,"不適用",IF(I212="","待評核",IF(I212&gt;=G212,IF(I212&gt;G212,"超越","達標"),"待發展"))))</f>
        <v/>
      </c>
      <c r="L212" s="91" t="n"/>
      <c r="M212" s="91" t="n"/>
      <c r="N212" s="88" t="n"/>
    </row>
    <row r="213" ht="15.75" customHeight="1" s="64">
      <c r="A213" s="88" t="n"/>
      <c r="B213" s="120">
        <f t="array" ref="B213:B213">IF(A213="","",IFERROR(INDEX('3.員工名單'!$B:$B,MATCH(A213,'3.員工名單'!$A:$A,0)),"查無此員工"))</f>
        <v/>
      </c>
      <c r="C213" s="120">
        <f t="array" ref="C213:C213">IF(A213="","",IFERROR(INDEX('3.員工名單'!$C:$C,MATCH(A213,'3.員工名單'!$A:$A,0)),""))</f>
        <v/>
      </c>
      <c r="D213" s="120">
        <f t="array" ref="D213:D213">IF(A213="","",IFERROR(INDEX('3.員工名單'!$D:$D,MATCH(A213,'3.員工名單'!$A:$A,0)),""))</f>
        <v/>
      </c>
      <c r="E213" s="120">
        <f t="array" ref="E213:E213">IF(F213="","",IFERROR(INDEX('1.職能辭典'!$A:$A,MATCH(F213,'1.職能辭典'!$C:$C,0)),""))</f>
        <v/>
      </c>
      <c r="F213" s="94" t="n"/>
      <c r="G213" s="120">
        <f t="array" ref="G213:G213">IF(OR(D213="",F213=""),"",IFERROR(IF(AND(OR(INDEX('1.職能辭典'!$J:$J,MATCH(F213,'1.職能辭典'!$C:$C,0))="全部",INDEX('3.員工名單'!$H:$H,MATCH(A213,'3.員工名單'!$A:$A,0))="兩款共用",INDEX('3.員工名單'!$H:$H,MATCH(A213,'3.員工名單'!$A:$A,0))=INDEX('1.職能辭典'!$J:$J,MATCH(F213,'1.職能辭典'!$C:$C,0))),OR(INDEX('1.職能辭典'!$K:$K,MATCH(F213,'1.職能辭典'!$C:$C,0))="全部",SUMPRODUCT(ISNUMBER(SEARCH({"經營","管理","財務","企劃","營運","技術","數據","美術","測試","客服"},INDEX('3.員工名單'!$I:$I,MATCH(A213,'3.員工名單'!$A:$A,0))))*ISNUMBER(SEARCH({"經營","管理","財務","企劃","營運","技術","數據","美術","測試","客服"},INDEX('1.職能辭典'!$K:$K,MATCH(F213,'1.職能辭典'!$C:$C,0)))))&gt;0)),INDEX('2.職務職能需求'!$B$2:$F$28,MATCH(F213,'2.職務職能需求'!$A$2:$A$28,0),MATCH(D213,'2.職務職能需求'!$B$1:$F$1,0)),0),""))</f>
        <v/>
      </c>
      <c r="H213" s="94" t="n"/>
      <c r="I213" s="94" t="n"/>
      <c r="J213" s="120">
        <f>IF(OR(G213="",I213="",G213=0),"",I213-G213)</f>
        <v/>
      </c>
      <c r="K213" s="120">
        <f>IF(G213="","",IF(G213=0,"不適用",IF(I213="","待評核",IF(I213&gt;=G213,IF(I213&gt;G213,"超越","達標"),"待發展"))))</f>
        <v/>
      </c>
      <c r="L213" s="91" t="n"/>
      <c r="M213" s="91" t="n"/>
      <c r="N213" s="88" t="n"/>
    </row>
    <row r="214" ht="15.75" customHeight="1" s="64">
      <c r="A214" s="88" t="n"/>
      <c r="B214" s="120">
        <f t="array" ref="B214:B214">IF(A214="","",IFERROR(INDEX('3.員工名單'!$B:$B,MATCH(A214,'3.員工名單'!$A:$A,0)),"查無此員工"))</f>
        <v/>
      </c>
      <c r="C214" s="120">
        <f t="array" ref="C214:C214">IF(A214="","",IFERROR(INDEX('3.員工名單'!$C:$C,MATCH(A214,'3.員工名單'!$A:$A,0)),""))</f>
        <v/>
      </c>
      <c r="D214" s="120">
        <f t="array" ref="D214:D214">IF(A214="","",IFERROR(INDEX('3.員工名單'!$D:$D,MATCH(A214,'3.員工名單'!$A:$A,0)),""))</f>
        <v/>
      </c>
      <c r="E214" s="120">
        <f t="array" ref="E214:E214">IF(F214="","",IFERROR(INDEX('1.職能辭典'!$A:$A,MATCH(F214,'1.職能辭典'!$C:$C,0)),""))</f>
        <v/>
      </c>
      <c r="F214" s="94" t="n"/>
      <c r="G214" s="120">
        <f t="array" ref="G214:G214">IF(OR(D214="",F214=""),"",IFERROR(IF(AND(OR(INDEX('1.職能辭典'!$J:$J,MATCH(F214,'1.職能辭典'!$C:$C,0))="全部",INDEX('3.員工名單'!$H:$H,MATCH(A214,'3.員工名單'!$A:$A,0))="兩款共用",INDEX('3.員工名單'!$H:$H,MATCH(A214,'3.員工名單'!$A:$A,0))=INDEX('1.職能辭典'!$J:$J,MATCH(F214,'1.職能辭典'!$C:$C,0))),OR(INDEX('1.職能辭典'!$K:$K,MATCH(F214,'1.職能辭典'!$C:$C,0))="全部",SUMPRODUCT(ISNUMBER(SEARCH({"經營","管理","財務","企劃","營運","技術","數據","美術","測試","客服"},INDEX('3.員工名單'!$I:$I,MATCH(A214,'3.員工名單'!$A:$A,0))))*ISNUMBER(SEARCH({"經營","管理","財務","企劃","營運","技術","數據","美術","測試","客服"},INDEX('1.職能辭典'!$K:$K,MATCH(F214,'1.職能辭典'!$C:$C,0)))))&gt;0)),INDEX('2.職務職能需求'!$B$2:$F$28,MATCH(F214,'2.職務職能需求'!$A$2:$A$28,0),MATCH(D214,'2.職務職能需求'!$B$1:$F$1,0)),0),""))</f>
        <v/>
      </c>
      <c r="H214" s="94" t="n"/>
      <c r="I214" s="94" t="n"/>
      <c r="J214" s="120">
        <f>IF(OR(G214="",I214="",G214=0),"",I214-G214)</f>
        <v/>
      </c>
      <c r="K214" s="120">
        <f>IF(G214="","",IF(G214=0,"不適用",IF(I214="","待評核",IF(I214&gt;=G214,IF(I214&gt;G214,"超越","達標"),"待發展"))))</f>
        <v/>
      </c>
      <c r="L214" s="91" t="n"/>
      <c r="M214" s="91" t="n"/>
      <c r="N214" s="88" t="n"/>
    </row>
    <row r="215" ht="15.75" customHeight="1" s="64">
      <c r="A215" s="88" t="n"/>
      <c r="B215" s="120">
        <f t="array" ref="B215:B215">IF(A215="","",IFERROR(INDEX('3.員工名單'!$B:$B,MATCH(A215,'3.員工名單'!$A:$A,0)),"查無此員工"))</f>
        <v/>
      </c>
      <c r="C215" s="120">
        <f t="array" ref="C215:C215">IF(A215="","",IFERROR(INDEX('3.員工名單'!$C:$C,MATCH(A215,'3.員工名單'!$A:$A,0)),""))</f>
        <v/>
      </c>
      <c r="D215" s="120">
        <f t="array" ref="D215:D215">IF(A215="","",IFERROR(INDEX('3.員工名單'!$D:$D,MATCH(A215,'3.員工名單'!$A:$A,0)),""))</f>
        <v/>
      </c>
      <c r="E215" s="120">
        <f t="array" ref="E215:E215">IF(F215="","",IFERROR(INDEX('1.職能辭典'!$A:$A,MATCH(F215,'1.職能辭典'!$C:$C,0)),""))</f>
        <v/>
      </c>
      <c r="F215" s="94" t="n"/>
      <c r="G215" s="120">
        <f t="array" ref="G215:G215">IF(OR(D215="",F215=""),"",IFERROR(IF(AND(OR(INDEX('1.職能辭典'!$J:$J,MATCH(F215,'1.職能辭典'!$C:$C,0))="全部",INDEX('3.員工名單'!$H:$H,MATCH(A215,'3.員工名單'!$A:$A,0))="兩款共用",INDEX('3.員工名單'!$H:$H,MATCH(A215,'3.員工名單'!$A:$A,0))=INDEX('1.職能辭典'!$J:$J,MATCH(F215,'1.職能辭典'!$C:$C,0))),OR(INDEX('1.職能辭典'!$K:$K,MATCH(F215,'1.職能辭典'!$C:$C,0))="全部",SUMPRODUCT(ISNUMBER(SEARCH({"經營","管理","財務","企劃","營運","技術","數據","美術","測試","客服"},INDEX('3.員工名單'!$I:$I,MATCH(A215,'3.員工名單'!$A:$A,0))))*ISNUMBER(SEARCH({"經營","管理","財務","企劃","營運","技術","數據","美術","測試","客服"},INDEX('1.職能辭典'!$K:$K,MATCH(F215,'1.職能辭典'!$C:$C,0)))))&gt;0)),INDEX('2.職務職能需求'!$B$2:$F$28,MATCH(F215,'2.職務職能需求'!$A$2:$A$28,0),MATCH(D215,'2.職務職能需求'!$B$1:$F$1,0)),0),""))</f>
        <v/>
      </c>
      <c r="H215" s="94" t="n"/>
      <c r="I215" s="94" t="n"/>
      <c r="J215" s="120">
        <f>IF(OR(G215="",I215="",G215=0),"",I215-G215)</f>
        <v/>
      </c>
      <c r="K215" s="120">
        <f>IF(G215="","",IF(G215=0,"不適用",IF(I215="","待評核",IF(I215&gt;=G215,IF(I215&gt;G215,"超越","達標"),"待發展"))))</f>
        <v/>
      </c>
      <c r="L215" s="91" t="n"/>
      <c r="M215" s="91" t="n"/>
      <c r="N215" s="88" t="n"/>
    </row>
    <row r="216" ht="15.75" customHeight="1" s="64">
      <c r="A216" s="88" t="n"/>
      <c r="B216" s="120">
        <f t="array" ref="B216:B216">IF(A216="","",IFERROR(INDEX('3.員工名單'!$B:$B,MATCH(A216,'3.員工名單'!$A:$A,0)),"查無此員工"))</f>
        <v/>
      </c>
      <c r="C216" s="120">
        <f t="array" ref="C216:C216">IF(A216="","",IFERROR(INDEX('3.員工名單'!$C:$C,MATCH(A216,'3.員工名單'!$A:$A,0)),""))</f>
        <v/>
      </c>
      <c r="D216" s="120">
        <f t="array" ref="D216:D216">IF(A216="","",IFERROR(INDEX('3.員工名單'!$D:$D,MATCH(A216,'3.員工名單'!$A:$A,0)),""))</f>
        <v/>
      </c>
      <c r="E216" s="120">
        <f t="array" ref="E216:E216">IF(F216="","",IFERROR(INDEX('1.職能辭典'!$A:$A,MATCH(F216,'1.職能辭典'!$C:$C,0)),""))</f>
        <v/>
      </c>
      <c r="F216" s="94" t="n"/>
      <c r="G216" s="120">
        <f t="array" ref="G216:G216">IF(OR(D216="",F216=""),"",IFERROR(IF(AND(OR(INDEX('1.職能辭典'!$J:$J,MATCH(F216,'1.職能辭典'!$C:$C,0))="全部",INDEX('3.員工名單'!$H:$H,MATCH(A216,'3.員工名單'!$A:$A,0))="兩款共用",INDEX('3.員工名單'!$H:$H,MATCH(A216,'3.員工名單'!$A:$A,0))=INDEX('1.職能辭典'!$J:$J,MATCH(F216,'1.職能辭典'!$C:$C,0))),OR(INDEX('1.職能辭典'!$K:$K,MATCH(F216,'1.職能辭典'!$C:$C,0))="全部",SUMPRODUCT(ISNUMBER(SEARCH({"經營","管理","財務","企劃","營運","技術","數據","美術","測試","客服"},INDEX('3.員工名單'!$I:$I,MATCH(A216,'3.員工名單'!$A:$A,0))))*ISNUMBER(SEARCH({"經營","管理","財務","企劃","營運","技術","數據","美術","測試","客服"},INDEX('1.職能辭典'!$K:$K,MATCH(F216,'1.職能辭典'!$C:$C,0)))))&gt;0)),INDEX('2.職務職能需求'!$B$2:$F$28,MATCH(F216,'2.職務職能需求'!$A$2:$A$28,0),MATCH(D216,'2.職務職能需求'!$B$1:$F$1,0)),0),""))</f>
        <v/>
      </c>
      <c r="H216" s="94" t="n"/>
      <c r="I216" s="94" t="n"/>
      <c r="J216" s="120">
        <f>IF(OR(G216="",I216="",G216=0),"",I216-G216)</f>
        <v/>
      </c>
      <c r="K216" s="120">
        <f>IF(G216="","",IF(G216=0,"不適用",IF(I216="","待評核",IF(I216&gt;=G216,IF(I216&gt;G216,"超越","達標"),"待發展"))))</f>
        <v/>
      </c>
      <c r="L216" s="91" t="n"/>
      <c r="M216" s="91" t="n"/>
      <c r="N216" s="88" t="n"/>
    </row>
    <row r="217" ht="15.75" customHeight="1" s="64">
      <c r="A217" s="88" t="n"/>
      <c r="B217" s="120">
        <f t="array" ref="B217:B217">IF(A217="","",IFERROR(INDEX('3.員工名單'!$B:$B,MATCH(A217,'3.員工名單'!$A:$A,0)),"查無此員工"))</f>
        <v/>
      </c>
      <c r="C217" s="120">
        <f t="array" ref="C217:C217">IF(A217="","",IFERROR(INDEX('3.員工名單'!$C:$C,MATCH(A217,'3.員工名單'!$A:$A,0)),""))</f>
        <v/>
      </c>
      <c r="D217" s="120">
        <f t="array" ref="D217:D217">IF(A217="","",IFERROR(INDEX('3.員工名單'!$D:$D,MATCH(A217,'3.員工名單'!$A:$A,0)),""))</f>
        <v/>
      </c>
      <c r="E217" s="120">
        <f t="array" ref="E217:E217">IF(F217="","",IFERROR(INDEX('1.職能辭典'!$A:$A,MATCH(F217,'1.職能辭典'!$C:$C,0)),""))</f>
        <v/>
      </c>
      <c r="F217" s="94" t="n"/>
      <c r="G217" s="120">
        <f t="array" ref="G217:G217">IF(OR(D217="",F217=""),"",IFERROR(IF(AND(OR(INDEX('1.職能辭典'!$J:$J,MATCH(F217,'1.職能辭典'!$C:$C,0))="全部",INDEX('3.員工名單'!$H:$H,MATCH(A217,'3.員工名單'!$A:$A,0))="兩款共用",INDEX('3.員工名單'!$H:$H,MATCH(A217,'3.員工名單'!$A:$A,0))=INDEX('1.職能辭典'!$J:$J,MATCH(F217,'1.職能辭典'!$C:$C,0))),OR(INDEX('1.職能辭典'!$K:$K,MATCH(F217,'1.職能辭典'!$C:$C,0))="全部",SUMPRODUCT(ISNUMBER(SEARCH({"經營","管理","財務","企劃","營運","技術","數據","美術","測試","客服"},INDEX('3.員工名單'!$I:$I,MATCH(A217,'3.員工名單'!$A:$A,0))))*ISNUMBER(SEARCH({"經營","管理","財務","企劃","營運","技術","數據","美術","測試","客服"},INDEX('1.職能辭典'!$K:$K,MATCH(F217,'1.職能辭典'!$C:$C,0)))))&gt;0)),INDEX('2.職務職能需求'!$B$2:$F$28,MATCH(F217,'2.職務職能需求'!$A$2:$A$28,0),MATCH(D217,'2.職務職能需求'!$B$1:$F$1,0)),0),""))</f>
        <v/>
      </c>
      <c r="H217" s="94" t="n"/>
      <c r="I217" s="94" t="n"/>
      <c r="J217" s="120">
        <f>IF(OR(G217="",I217="",G217=0),"",I217-G217)</f>
        <v/>
      </c>
      <c r="K217" s="120">
        <f>IF(G217="","",IF(G217=0,"不適用",IF(I217="","待評核",IF(I217&gt;=G217,IF(I217&gt;G217,"超越","達標"),"待發展"))))</f>
        <v/>
      </c>
      <c r="L217" s="91" t="n"/>
      <c r="M217" s="91" t="n"/>
      <c r="N217" s="88" t="n"/>
    </row>
    <row r="218" ht="15.75" customHeight="1" s="64">
      <c r="A218" s="88" t="n"/>
      <c r="B218" s="120">
        <f t="array" ref="B218:B218">IF(A218="","",IFERROR(INDEX('3.員工名單'!$B:$B,MATCH(A218,'3.員工名單'!$A:$A,0)),"查無此員工"))</f>
        <v/>
      </c>
      <c r="C218" s="120">
        <f t="array" ref="C218:C218">IF(A218="","",IFERROR(INDEX('3.員工名單'!$C:$C,MATCH(A218,'3.員工名單'!$A:$A,0)),""))</f>
        <v/>
      </c>
      <c r="D218" s="120">
        <f t="array" ref="D218:D218">IF(A218="","",IFERROR(INDEX('3.員工名單'!$D:$D,MATCH(A218,'3.員工名單'!$A:$A,0)),""))</f>
        <v/>
      </c>
      <c r="E218" s="120">
        <f t="array" ref="E218:E218">IF(F218="","",IFERROR(INDEX('1.職能辭典'!$A:$A,MATCH(F218,'1.職能辭典'!$C:$C,0)),""))</f>
        <v/>
      </c>
      <c r="F218" s="94" t="n"/>
      <c r="G218" s="120">
        <f t="array" ref="G218:G218">IF(OR(D218="",F218=""),"",IFERROR(IF(AND(OR(INDEX('1.職能辭典'!$J:$J,MATCH(F218,'1.職能辭典'!$C:$C,0))="全部",INDEX('3.員工名單'!$H:$H,MATCH(A218,'3.員工名單'!$A:$A,0))="兩款共用",INDEX('3.員工名單'!$H:$H,MATCH(A218,'3.員工名單'!$A:$A,0))=INDEX('1.職能辭典'!$J:$J,MATCH(F218,'1.職能辭典'!$C:$C,0))),OR(INDEX('1.職能辭典'!$K:$K,MATCH(F218,'1.職能辭典'!$C:$C,0))="全部",SUMPRODUCT(ISNUMBER(SEARCH({"經營","管理","財務","企劃","營運","技術","數據","美術","測試","客服"},INDEX('3.員工名單'!$I:$I,MATCH(A218,'3.員工名單'!$A:$A,0))))*ISNUMBER(SEARCH({"經營","管理","財務","企劃","營運","技術","數據","美術","測試","客服"},INDEX('1.職能辭典'!$K:$K,MATCH(F218,'1.職能辭典'!$C:$C,0)))))&gt;0)),INDEX('2.職務職能需求'!$B$2:$F$28,MATCH(F218,'2.職務職能需求'!$A$2:$A$28,0),MATCH(D218,'2.職務職能需求'!$B$1:$F$1,0)),0),""))</f>
        <v/>
      </c>
      <c r="H218" s="94" t="n"/>
      <c r="I218" s="94" t="n"/>
      <c r="J218" s="120">
        <f>IF(OR(G218="",I218="",G218=0),"",I218-G218)</f>
        <v/>
      </c>
      <c r="K218" s="120">
        <f>IF(G218="","",IF(G218=0,"不適用",IF(I218="","待評核",IF(I218&gt;=G218,IF(I218&gt;G218,"超越","達標"),"待發展"))))</f>
        <v/>
      </c>
      <c r="L218" s="91" t="n"/>
      <c r="M218" s="91" t="n"/>
      <c r="N218" s="88" t="n"/>
    </row>
    <row r="219" ht="15.75" customHeight="1" s="64">
      <c r="A219" s="88" t="n"/>
      <c r="B219" s="120">
        <f t="array" ref="B219:B219">IF(A219="","",IFERROR(INDEX('3.員工名單'!$B:$B,MATCH(A219,'3.員工名單'!$A:$A,0)),"查無此員工"))</f>
        <v/>
      </c>
      <c r="C219" s="120">
        <f t="array" ref="C219:C219">IF(A219="","",IFERROR(INDEX('3.員工名單'!$C:$C,MATCH(A219,'3.員工名單'!$A:$A,0)),""))</f>
        <v/>
      </c>
      <c r="D219" s="120">
        <f t="array" ref="D219:D219">IF(A219="","",IFERROR(INDEX('3.員工名單'!$D:$D,MATCH(A219,'3.員工名單'!$A:$A,0)),""))</f>
        <v/>
      </c>
      <c r="E219" s="120">
        <f t="array" ref="E219:E219">IF(F219="","",IFERROR(INDEX('1.職能辭典'!$A:$A,MATCH(F219,'1.職能辭典'!$C:$C,0)),""))</f>
        <v/>
      </c>
      <c r="F219" s="94" t="n"/>
      <c r="G219" s="120">
        <f t="array" ref="G219:G219">IF(OR(D219="",F219=""),"",IFERROR(IF(AND(OR(INDEX('1.職能辭典'!$J:$J,MATCH(F219,'1.職能辭典'!$C:$C,0))="全部",INDEX('3.員工名單'!$H:$H,MATCH(A219,'3.員工名單'!$A:$A,0))="兩款共用",INDEX('3.員工名單'!$H:$H,MATCH(A219,'3.員工名單'!$A:$A,0))=INDEX('1.職能辭典'!$J:$J,MATCH(F219,'1.職能辭典'!$C:$C,0))),OR(INDEX('1.職能辭典'!$K:$K,MATCH(F219,'1.職能辭典'!$C:$C,0))="全部",SUMPRODUCT(ISNUMBER(SEARCH({"經營","管理","財務","企劃","營運","技術","數據","美術","測試","客服"},INDEX('3.員工名單'!$I:$I,MATCH(A219,'3.員工名單'!$A:$A,0))))*ISNUMBER(SEARCH({"經營","管理","財務","企劃","營運","技術","數據","美術","測試","客服"},INDEX('1.職能辭典'!$K:$K,MATCH(F219,'1.職能辭典'!$C:$C,0)))))&gt;0)),INDEX('2.職務職能需求'!$B$2:$F$28,MATCH(F219,'2.職務職能需求'!$A$2:$A$28,0),MATCH(D219,'2.職務職能需求'!$B$1:$F$1,0)),0),""))</f>
        <v/>
      </c>
      <c r="H219" s="94" t="n"/>
      <c r="I219" s="94" t="n"/>
      <c r="J219" s="120">
        <f>IF(OR(G219="",I219="",G219=0),"",I219-G219)</f>
        <v/>
      </c>
      <c r="K219" s="120">
        <f>IF(G219="","",IF(G219=0,"不適用",IF(I219="","待評核",IF(I219&gt;=G219,IF(I219&gt;G219,"超越","達標"),"待發展"))))</f>
        <v/>
      </c>
      <c r="L219" s="91" t="n"/>
      <c r="M219" s="91" t="n"/>
      <c r="N219" s="88" t="n"/>
    </row>
    <row r="220" ht="15.75" customHeight="1" s="64">
      <c r="A220" s="88" t="n"/>
      <c r="B220" s="120">
        <f t="array" ref="B220:B220">IF(A220="","",IFERROR(INDEX('3.員工名單'!$B:$B,MATCH(A220,'3.員工名單'!$A:$A,0)),"查無此員工"))</f>
        <v/>
      </c>
      <c r="C220" s="120">
        <f t="array" ref="C220:C220">IF(A220="","",IFERROR(INDEX('3.員工名單'!$C:$C,MATCH(A220,'3.員工名單'!$A:$A,0)),""))</f>
        <v/>
      </c>
      <c r="D220" s="120">
        <f t="array" ref="D220:D220">IF(A220="","",IFERROR(INDEX('3.員工名單'!$D:$D,MATCH(A220,'3.員工名單'!$A:$A,0)),""))</f>
        <v/>
      </c>
      <c r="E220" s="120">
        <f t="array" ref="E220:E220">IF(F220="","",IFERROR(INDEX('1.職能辭典'!$A:$A,MATCH(F220,'1.職能辭典'!$C:$C,0)),""))</f>
        <v/>
      </c>
      <c r="F220" s="94" t="n"/>
      <c r="G220" s="120">
        <f t="array" ref="G220:G220">IF(OR(D220="",F220=""),"",IFERROR(IF(AND(OR(INDEX('1.職能辭典'!$J:$J,MATCH(F220,'1.職能辭典'!$C:$C,0))="全部",INDEX('3.員工名單'!$H:$H,MATCH(A220,'3.員工名單'!$A:$A,0))="兩款共用",INDEX('3.員工名單'!$H:$H,MATCH(A220,'3.員工名單'!$A:$A,0))=INDEX('1.職能辭典'!$J:$J,MATCH(F220,'1.職能辭典'!$C:$C,0))),OR(INDEX('1.職能辭典'!$K:$K,MATCH(F220,'1.職能辭典'!$C:$C,0))="全部",SUMPRODUCT(ISNUMBER(SEARCH({"經營","管理","財務","企劃","營運","技術","數據","美術","測試","客服"},INDEX('3.員工名單'!$I:$I,MATCH(A220,'3.員工名單'!$A:$A,0))))*ISNUMBER(SEARCH({"經營","管理","財務","企劃","營運","技術","數據","美術","測試","客服"},INDEX('1.職能辭典'!$K:$K,MATCH(F220,'1.職能辭典'!$C:$C,0)))))&gt;0)),INDEX('2.職務職能需求'!$B$2:$F$28,MATCH(F220,'2.職務職能需求'!$A$2:$A$28,0),MATCH(D220,'2.職務職能需求'!$B$1:$F$1,0)),0),""))</f>
        <v/>
      </c>
      <c r="H220" s="94" t="n"/>
      <c r="I220" s="94" t="n"/>
      <c r="J220" s="120">
        <f>IF(OR(G220="",I220="",G220=0),"",I220-G220)</f>
        <v/>
      </c>
      <c r="K220" s="120">
        <f>IF(G220="","",IF(G220=0,"不適用",IF(I220="","待評核",IF(I220&gt;=G220,IF(I220&gt;G220,"超越","達標"),"待發展"))))</f>
        <v/>
      </c>
      <c r="L220" s="91" t="n"/>
      <c r="M220" s="91" t="n"/>
      <c r="N220" s="88" t="n"/>
    </row>
    <row r="221" ht="15.75" customHeight="1" s="64">
      <c r="A221" s="88" t="n"/>
      <c r="B221" s="120">
        <f t="array" ref="B221:B221">IF(A221="","",IFERROR(INDEX('3.員工名單'!$B:$B,MATCH(A221,'3.員工名單'!$A:$A,0)),"查無此員工"))</f>
        <v/>
      </c>
      <c r="C221" s="120">
        <f t="array" ref="C221:C221">IF(A221="","",IFERROR(INDEX('3.員工名單'!$C:$C,MATCH(A221,'3.員工名單'!$A:$A,0)),""))</f>
        <v/>
      </c>
      <c r="D221" s="120">
        <f t="array" ref="D221:D221">IF(A221="","",IFERROR(INDEX('3.員工名單'!$D:$D,MATCH(A221,'3.員工名單'!$A:$A,0)),""))</f>
        <v/>
      </c>
      <c r="E221" s="120">
        <f t="array" ref="E221:E221">IF(F221="","",IFERROR(INDEX('1.職能辭典'!$A:$A,MATCH(F221,'1.職能辭典'!$C:$C,0)),""))</f>
        <v/>
      </c>
      <c r="F221" s="94" t="n"/>
      <c r="G221" s="120">
        <f t="array" ref="G221:G221">IF(OR(D221="",F221=""),"",IFERROR(IF(AND(OR(INDEX('1.職能辭典'!$J:$J,MATCH(F221,'1.職能辭典'!$C:$C,0))="全部",INDEX('3.員工名單'!$H:$H,MATCH(A221,'3.員工名單'!$A:$A,0))="兩款共用",INDEX('3.員工名單'!$H:$H,MATCH(A221,'3.員工名單'!$A:$A,0))=INDEX('1.職能辭典'!$J:$J,MATCH(F221,'1.職能辭典'!$C:$C,0))),OR(INDEX('1.職能辭典'!$K:$K,MATCH(F221,'1.職能辭典'!$C:$C,0))="全部",SUMPRODUCT(ISNUMBER(SEARCH({"經營","管理","財務","企劃","營運","技術","數據","美術","測試","客服"},INDEX('3.員工名單'!$I:$I,MATCH(A221,'3.員工名單'!$A:$A,0))))*ISNUMBER(SEARCH({"經營","管理","財務","企劃","營運","技術","數據","美術","測試","客服"},INDEX('1.職能辭典'!$K:$K,MATCH(F221,'1.職能辭典'!$C:$C,0)))))&gt;0)),INDEX('2.職務職能需求'!$B$2:$F$28,MATCH(F221,'2.職務職能需求'!$A$2:$A$28,0),MATCH(D221,'2.職務職能需求'!$B$1:$F$1,0)),0),""))</f>
        <v/>
      </c>
      <c r="H221" s="94" t="n"/>
      <c r="I221" s="94" t="n"/>
      <c r="J221" s="120">
        <f>IF(OR(G221="",I221="",G221=0),"",I221-G221)</f>
        <v/>
      </c>
      <c r="K221" s="120">
        <f>IF(G221="","",IF(G221=0,"不適用",IF(I221="","待評核",IF(I221&gt;=G221,IF(I221&gt;G221,"超越","達標"),"待發展"))))</f>
        <v/>
      </c>
      <c r="L221" s="91" t="n"/>
      <c r="M221" s="91" t="n"/>
      <c r="N221" s="88" t="n"/>
    </row>
    <row r="222" ht="15.75" customHeight="1" s="64">
      <c r="A222" s="88" t="n"/>
      <c r="B222" s="120">
        <f t="array" ref="B222:B222">IF(A222="","",IFERROR(INDEX('3.員工名單'!$B:$B,MATCH(A222,'3.員工名單'!$A:$A,0)),"查無此員工"))</f>
        <v/>
      </c>
      <c r="C222" s="120">
        <f t="array" ref="C222:C222">IF(A222="","",IFERROR(INDEX('3.員工名單'!$C:$C,MATCH(A222,'3.員工名單'!$A:$A,0)),""))</f>
        <v/>
      </c>
      <c r="D222" s="120">
        <f t="array" ref="D222:D222">IF(A222="","",IFERROR(INDEX('3.員工名單'!$D:$D,MATCH(A222,'3.員工名單'!$A:$A,0)),""))</f>
        <v/>
      </c>
      <c r="E222" s="120">
        <f t="array" ref="E222:E222">IF(F222="","",IFERROR(INDEX('1.職能辭典'!$A:$A,MATCH(F222,'1.職能辭典'!$C:$C,0)),""))</f>
        <v/>
      </c>
      <c r="F222" s="94" t="n"/>
      <c r="G222" s="120">
        <f t="array" ref="G222:G222">IF(OR(D222="",F222=""),"",IFERROR(IF(AND(OR(INDEX('1.職能辭典'!$J:$J,MATCH(F222,'1.職能辭典'!$C:$C,0))="全部",INDEX('3.員工名單'!$H:$H,MATCH(A222,'3.員工名單'!$A:$A,0))="兩款共用",INDEX('3.員工名單'!$H:$H,MATCH(A222,'3.員工名單'!$A:$A,0))=INDEX('1.職能辭典'!$J:$J,MATCH(F222,'1.職能辭典'!$C:$C,0))),OR(INDEX('1.職能辭典'!$K:$K,MATCH(F222,'1.職能辭典'!$C:$C,0))="全部",SUMPRODUCT(ISNUMBER(SEARCH({"經營","管理","財務","企劃","營運","技術","數據","美術","測試","客服"},INDEX('3.員工名單'!$I:$I,MATCH(A222,'3.員工名單'!$A:$A,0))))*ISNUMBER(SEARCH({"經營","管理","財務","企劃","營運","技術","數據","美術","測試","客服"},INDEX('1.職能辭典'!$K:$K,MATCH(F222,'1.職能辭典'!$C:$C,0)))))&gt;0)),INDEX('2.職務職能需求'!$B$2:$F$28,MATCH(F222,'2.職務職能需求'!$A$2:$A$28,0),MATCH(D222,'2.職務職能需求'!$B$1:$F$1,0)),0),""))</f>
        <v/>
      </c>
      <c r="H222" s="94" t="n"/>
      <c r="I222" s="94" t="n"/>
      <c r="J222" s="120">
        <f>IF(OR(G222="",I222="",G222=0),"",I222-G222)</f>
        <v/>
      </c>
      <c r="K222" s="120">
        <f>IF(G222="","",IF(G222=0,"不適用",IF(I222="","待評核",IF(I222&gt;=G222,IF(I222&gt;G222,"超越","達標"),"待發展"))))</f>
        <v/>
      </c>
      <c r="L222" s="91" t="n"/>
      <c r="M222" s="91" t="n"/>
      <c r="N222" s="88" t="n"/>
    </row>
    <row r="223" ht="15.75" customHeight="1" s="64">
      <c r="A223" s="88" t="n"/>
      <c r="B223" s="120">
        <f t="array" ref="B223:B223">IF(A223="","",IFERROR(INDEX('3.員工名單'!$B:$B,MATCH(A223,'3.員工名單'!$A:$A,0)),"查無此員工"))</f>
        <v/>
      </c>
      <c r="C223" s="120">
        <f t="array" ref="C223:C223">IF(A223="","",IFERROR(INDEX('3.員工名單'!$C:$C,MATCH(A223,'3.員工名單'!$A:$A,0)),""))</f>
        <v/>
      </c>
      <c r="D223" s="120">
        <f t="array" ref="D223:D223">IF(A223="","",IFERROR(INDEX('3.員工名單'!$D:$D,MATCH(A223,'3.員工名單'!$A:$A,0)),""))</f>
        <v/>
      </c>
      <c r="E223" s="120">
        <f t="array" ref="E223:E223">IF(F223="","",IFERROR(INDEX('1.職能辭典'!$A:$A,MATCH(F223,'1.職能辭典'!$C:$C,0)),""))</f>
        <v/>
      </c>
      <c r="F223" s="94" t="n"/>
      <c r="G223" s="120">
        <f t="array" ref="G223:G223">IF(OR(D223="",F223=""),"",IFERROR(IF(AND(OR(INDEX('1.職能辭典'!$J:$J,MATCH(F223,'1.職能辭典'!$C:$C,0))="全部",INDEX('3.員工名單'!$H:$H,MATCH(A223,'3.員工名單'!$A:$A,0))="兩款共用",INDEX('3.員工名單'!$H:$H,MATCH(A223,'3.員工名單'!$A:$A,0))=INDEX('1.職能辭典'!$J:$J,MATCH(F223,'1.職能辭典'!$C:$C,0))),OR(INDEX('1.職能辭典'!$K:$K,MATCH(F223,'1.職能辭典'!$C:$C,0))="全部",SUMPRODUCT(ISNUMBER(SEARCH({"經營","管理","財務","企劃","營運","技術","數據","美術","測試","客服"},INDEX('3.員工名單'!$I:$I,MATCH(A223,'3.員工名單'!$A:$A,0))))*ISNUMBER(SEARCH({"經營","管理","財務","企劃","營運","技術","數據","美術","測試","客服"},INDEX('1.職能辭典'!$K:$K,MATCH(F223,'1.職能辭典'!$C:$C,0)))))&gt;0)),INDEX('2.職務職能需求'!$B$2:$F$28,MATCH(F223,'2.職務職能需求'!$A$2:$A$28,0),MATCH(D223,'2.職務職能需求'!$B$1:$F$1,0)),0),""))</f>
        <v/>
      </c>
      <c r="H223" s="94" t="n"/>
      <c r="I223" s="94" t="n"/>
      <c r="J223" s="120">
        <f>IF(OR(G223="",I223="",G223=0),"",I223-G223)</f>
        <v/>
      </c>
      <c r="K223" s="120">
        <f>IF(G223="","",IF(G223=0,"不適用",IF(I223="","待評核",IF(I223&gt;=G223,IF(I223&gt;G223,"超越","達標"),"待發展"))))</f>
        <v/>
      </c>
      <c r="L223" s="91" t="n"/>
      <c r="M223" s="91" t="n"/>
      <c r="N223" s="88" t="n"/>
    </row>
    <row r="224" ht="15.75" customHeight="1" s="64">
      <c r="A224" s="88" t="n"/>
      <c r="B224" s="120">
        <f t="array" ref="B224:B224">IF(A224="","",IFERROR(INDEX('3.員工名單'!$B:$B,MATCH(A224,'3.員工名單'!$A:$A,0)),"查無此員工"))</f>
        <v/>
      </c>
      <c r="C224" s="120">
        <f t="array" ref="C224:C224">IF(A224="","",IFERROR(INDEX('3.員工名單'!$C:$C,MATCH(A224,'3.員工名單'!$A:$A,0)),""))</f>
        <v/>
      </c>
      <c r="D224" s="120">
        <f t="array" ref="D224:D224">IF(A224="","",IFERROR(INDEX('3.員工名單'!$D:$D,MATCH(A224,'3.員工名單'!$A:$A,0)),""))</f>
        <v/>
      </c>
      <c r="E224" s="120">
        <f t="array" ref="E224:E224">IF(F224="","",IFERROR(INDEX('1.職能辭典'!$A:$A,MATCH(F224,'1.職能辭典'!$C:$C,0)),""))</f>
        <v/>
      </c>
      <c r="F224" s="94" t="n"/>
      <c r="G224" s="120">
        <f t="array" ref="G224:G224">IF(OR(D224="",F224=""),"",IFERROR(IF(AND(OR(INDEX('1.職能辭典'!$J:$J,MATCH(F224,'1.職能辭典'!$C:$C,0))="全部",INDEX('3.員工名單'!$H:$H,MATCH(A224,'3.員工名單'!$A:$A,0))="兩款共用",INDEX('3.員工名單'!$H:$H,MATCH(A224,'3.員工名單'!$A:$A,0))=INDEX('1.職能辭典'!$J:$J,MATCH(F224,'1.職能辭典'!$C:$C,0))),OR(INDEX('1.職能辭典'!$K:$K,MATCH(F224,'1.職能辭典'!$C:$C,0))="全部",SUMPRODUCT(ISNUMBER(SEARCH({"經營","管理","財務","企劃","營運","技術","數據","美術","測試","客服"},INDEX('3.員工名單'!$I:$I,MATCH(A224,'3.員工名單'!$A:$A,0))))*ISNUMBER(SEARCH({"經營","管理","財務","企劃","營運","技術","數據","美術","測試","客服"},INDEX('1.職能辭典'!$K:$K,MATCH(F224,'1.職能辭典'!$C:$C,0)))))&gt;0)),INDEX('2.職務職能需求'!$B$2:$F$28,MATCH(F224,'2.職務職能需求'!$A$2:$A$28,0),MATCH(D224,'2.職務職能需求'!$B$1:$F$1,0)),0),""))</f>
        <v/>
      </c>
      <c r="H224" s="94" t="n"/>
      <c r="I224" s="94" t="n"/>
      <c r="J224" s="120">
        <f>IF(OR(G224="",I224="",G224=0),"",I224-G224)</f>
        <v/>
      </c>
      <c r="K224" s="120">
        <f>IF(G224="","",IF(G224=0,"不適用",IF(I224="","待評核",IF(I224&gt;=G224,IF(I224&gt;G224,"超越","達標"),"待發展"))))</f>
        <v/>
      </c>
      <c r="L224" s="91" t="n"/>
      <c r="M224" s="91" t="n"/>
      <c r="N224" s="88" t="n"/>
    </row>
    <row r="225" ht="15.75" customHeight="1" s="64">
      <c r="A225" s="88" t="n"/>
      <c r="B225" s="120">
        <f t="array" ref="B225:B225">IF(A225="","",IFERROR(INDEX('3.員工名單'!$B:$B,MATCH(A225,'3.員工名單'!$A:$A,0)),"查無此員工"))</f>
        <v/>
      </c>
      <c r="C225" s="120">
        <f t="array" ref="C225:C225">IF(A225="","",IFERROR(INDEX('3.員工名單'!$C:$C,MATCH(A225,'3.員工名單'!$A:$A,0)),""))</f>
        <v/>
      </c>
      <c r="D225" s="120">
        <f t="array" ref="D225:D225">IF(A225="","",IFERROR(INDEX('3.員工名單'!$D:$D,MATCH(A225,'3.員工名單'!$A:$A,0)),""))</f>
        <v/>
      </c>
      <c r="E225" s="120">
        <f t="array" ref="E225:E225">IF(F225="","",IFERROR(INDEX('1.職能辭典'!$A:$A,MATCH(F225,'1.職能辭典'!$C:$C,0)),""))</f>
        <v/>
      </c>
      <c r="F225" s="94" t="n"/>
      <c r="G225" s="120">
        <f t="array" ref="G225:G225">IF(OR(D225="",F225=""),"",IFERROR(IF(AND(OR(INDEX('1.職能辭典'!$J:$J,MATCH(F225,'1.職能辭典'!$C:$C,0))="全部",INDEX('3.員工名單'!$H:$H,MATCH(A225,'3.員工名單'!$A:$A,0))="兩款共用",INDEX('3.員工名單'!$H:$H,MATCH(A225,'3.員工名單'!$A:$A,0))=INDEX('1.職能辭典'!$J:$J,MATCH(F225,'1.職能辭典'!$C:$C,0))),OR(INDEX('1.職能辭典'!$K:$K,MATCH(F225,'1.職能辭典'!$C:$C,0))="全部",SUMPRODUCT(ISNUMBER(SEARCH({"經營","管理","財務","企劃","營運","技術","數據","美術","測試","客服"},INDEX('3.員工名單'!$I:$I,MATCH(A225,'3.員工名單'!$A:$A,0))))*ISNUMBER(SEARCH({"經營","管理","財務","企劃","營運","技術","數據","美術","測試","客服"},INDEX('1.職能辭典'!$K:$K,MATCH(F225,'1.職能辭典'!$C:$C,0)))))&gt;0)),INDEX('2.職務職能需求'!$B$2:$F$28,MATCH(F225,'2.職務職能需求'!$A$2:$A$28,0),MATCH(D225,'2.職務職能需求'!$B$1:$F$1,0)),0),""))</f>
        <v/>
      </c>
      <c r="H225" s="94" t="n"/>
      <c r="I225" s="94" t="n"/>
      <c r="J225" s="120">
        <f>IF(OR(G225="",I225="",G225=0),"",I225-G225)</f>
        <v/>
      </c>
      <c r="K225" s="120">
        <f>IF(G225="","",IF(G225=0,"不適用",IF(I225="","待評核",IF(I225&gt;=G225,IF(I225&gt;G225,"超越","達標"),"待發展"))))</f>
        <v/>
      </c>
      <c r="L225" s="91" t="n"/>
      <c r="M225" s="91" t="n"/>
      <c r="N225" s="88" t="n"/>
    </row>
    <row r="226" ht="15.75" customHeight="1" s="64">
      <c r="A226" s="88" t="n"/>
      <c r="B226" s="120">
        <f t="array" ref="B226:B226">IF(A226="","",IFERROR(INDEX('3.員工名單'!$B:$B,MATCH(A226,'3.員工名單'!$A:$A,0)),"查無此員工"))</f>
        <v/>
      </c>
      <c r="C226" s="120">
        <f t="array" ref="C226:C226">IF(A226="","",IFERROR(INDEX('3.員工名單'!$C:$C,MATCH(A226,'3.員工名單'!$A:$A,0)),""))</f>
        <v/>
      </c>
      <c r="D226" s="120">
        <f t="array" ref="D226:D226">IF(A226="","",IFERROR(INDEX('3.員工名單'!$D:$D,MATCH(A226,'3.員工名單'!$A:$A,0)),""))</f>
        <v/>
      </c>
      <c r="E226" s="120">
        <f t="array" ref="E226:E226">IF(F226="","",IFERROR(INDEX('1.職能辭典'!$A:$A,MATCH(F226,'1.職能辭典'!$C:$C,0)),""))</f>
        <v/>
      </c>
      <c r="F226" s="94" t="n"/>
      <c r="G226" s="120">
        <f t="array" ref="G226:G226">IF(OR(D226="",F226=""),"",IFERROR(IF(AND(OR(INDEX('1.職能辭典'!$J:$J,MATCH(F226,'1.職能辭典'!$C:$C,0))="全部",INDEX('3.員工名單'!$H:$H,MATCH(A226,'3.員工名單'!$A:$A,0))="兩款共用",INDEX('3.員工名單'!$H:$H,MATCH(A226,'3.員工名單'!$A:$A,0))=INDEX('1.職能辭典'!$J:$J,MATCH(F226,'1.職能辭典'!$C:$C,0))),OR(INDEX('1.職能辭典'!$K:$K,MATCH(F226,'1.職能辭典'!$C:$C,0))="全部",SUMPRODUCT(ISNUMBER(SEARCH({"經營","管理","財務","企劃","營運","技術","數據","美術","測試","客服"},INDEX('3.員工名單'!$I:$I,MATCH(A226,'3.員工名單'!$A:$A,0))))*ISNUMBER(SEARCH({"經營","管理","財務","企劃","營運","技術","數據","美術","測試","客服"},INDEX('1.職能辭典'!$K:$K,MATCH(F226,'1.職能辭典'!$C:$C,0)))))&gt;0)),INDEX('2.職務職能需求'!$B$2:$F$28,MATCH(F226,'2.職務職能需求'!$A$2:$A$28,0),MATCH(D226,'2.職務職能需求'!$B$1:$F$1,0)),0),""))</f>
        <v/>
      </c>
      <c r="H226" s="94" t="n"/>
      <c r="I226" s="94" t="n"/>
      <c r="J226" s="120">
        <f>IF(OR(G226="",I226="",G226=0),"",I226-G226)</f>
        <v/>
      </c>
      <c r="K226" s="120">
        <f>IF(G226="","",IF(G226=0,"不適用",IF(I226="","待評核",IF(I226&gt;=G226,IF(I226&gt;G226,"超越","達標"),"待發展"))))</f>
        <v/>
      </c>
      <c r="L226" s="91" t="n"/>
      <c r="M226" s="91" t="n"/>
      <c r="N226" s="88" t="n"/>
    </row>
    <row r="227" ht="15.75" customHeight="1" s="64">
      <c r="A227" s="88" t="n"/>
      <c r="B227" s="120">
        <f t="array" ref="B227:B227">IF(A227="","",IFERROR(INDEX('3.員工名單'!$B:$B,MATCH(A227,'3.員工名單'!$A:$A,0)),"查無此員工"))</f>
        <v/>
      </c>
      <c r="C227" s="120">
        <f t="array" ref="C227:C227">IF(A227="","",IFERROR(INDEX('3.員工名單'!$C:$C,MATCH(A227,'3.員工名單'!$A:$A,0)),""))</f>
        <v/>
      </c>
      <c r="D227" s="120">
        <f t="array" ref="D227:D227">IF(A227="","",IFERROR(INDEX('3.員工名單'!$D:$D,MATCH(A227,'3.員工名單'!$A:$A,0)),""))</f>
        <v/>
      </c>
      <c r="E227" s="120">
        <f t="array" ref="E227:E227">IF(F227="","",IFERROR(INDEX('1.職能辭典'!$A:$A,MATCH(F227,'1.職能辭典'!$C:$C,0)),""))</f>
        <v/>
      </c>
      <c r="F227" s="94" t="n"/>
      <c r="G227" s="120">
        <f t="array" ref="G227:G227">IF(OR(D227="",F227=""),"",IFERROR(IF(AND(OR(INDEX('1.職能辭典'!$J:$J,MATCH(F227,'1.職能辭典'!$C:$C,0))="全部",INDEX('3.員工名單'!$H:$H,MATCH(A227,'3.員工名單'!$A:$A,0))="兩款共用",INDEX('3.員工名單'!$H:$H,MATCH(A227,'3.員工名單'!$A:$A,0))=INDEX('1.職能辭典'!$J:$J,MATCH(F227,'1.職能辭典'!$C:$C,0))),OR(INDEX('1.職能辭典'!$K:$K,MATCH(F227,'1.職能辭典'!$C:$C,0))="全部",SUMPRODUCT(ISNUMBER(SEARCH({"經營","管理","財務","企劃","營運","技術","數據","美術","測試","客服"},INDEX('3.員工名單'!$I:$I,MATCH(A227,'3.員工名單'!$A:$A,0))))*ISNUMBER(SEARCH({"經營","管理","財務","企劃","營運","技術","數據","美術","測試","客服"},INDEX('1.職能辭典'!$K:$K,MATCH(F227,'1.職能辭典'!$C:$C,0)))))&gt;0)),INDEX('2.職務職能需求'!$B$2:$F$28,MATCH(F227,'2.職務職能需求'!$A$2:$A$28,0),MATCH(D227,'2.職務職能需求'!$B$1:$F$1,0)),0),""))</f>
        <v/>
      </c>
      <c r="H227" s="94" t="n"/>
      <c r="I227" s="94" t="n"/>
      <c r="J227" s="120">
        <f>IF(OR(G227="",I227="",G227=0),"",I227-G227)</f>
        <v/>
      </c>
      <c r="K227" s="120">
        <f>IF(G227="","",IF(G227=0,"不適用",IF(I227="","待評核",IF(I227&gt;=G227,IF(I227&gt;G227,"超越","達標"),"待發展"))))</f>
        <v/>
      </c>
      <c r="L227" s="91" t="n"/>
      <c r="M227" s="91" t="n"/>
      <c r="N227" s="88" t="n"/>
    </row>
    <row r="228" ht="15.75" customHeight="1" s="64">
      <c r="A228" s="88" t="n"/>
      <c r="B228" s="120">
        <f t="array" ref="B228:B228">IF(A228="","",IFERROR(INDEX('3.員工名單'!$B:$B,MATCH(A228,'3.員工名單'!$A:$A,0)),"查無此員工"))</f>
        <v/>
      </c>
      <c r="C228" s="120">
        <f t="array" ref="C228:C228">IF(A228="","",IFERROR(INDEX('3.員工名單'!$C:$C,MATCH(A228,'3.員工名單'!$A:$A,0)),""))</f>
        <v/>
      </c>
      <c r="D228" s="120">
        <f t="array" ref="D228:D228">IF(A228="","",IFERROR(INDEX('3.員工名單'!$D:$D,MATCH(A228,'3.員工名單'!$A:$A,0)),""))</f>
        <v/>
      </c>
      <c r="E228" s="120">
        <f t="array" ref="E228:E228">IF(F228="","",IFERROR(INDEX('1.職能辭典'!$A:$A,MATCH(F228,'1.職能辭典'!$C:$C,0)),""))</f>
        <v/>
      </c>
      <c r="F228" s="94" t="n"/>
      <c r="G228" s="120">
        <f t="array" ref="G228:G228">IF(OR(D228="",F228=""),"",IFERROR(IF(AND(OR(INDEX('1.職能辭典'!$J:$J,MATCH(F228,'1.職能辭典'!$C:$C,0))="全部",INDEX('3.員工名單'!$H:$H,MATCH(A228,'3.員工名單'!$A:$A,0))="兩款共用",INDEX('3.員工名單'!$H:$H,MATCH(A228,'3.員工名單'!$A:$A,0))=INDEX('1.職能辭典'!$J:$J,MATCH(F228,'1.職能辭典'!$C:$C,0))),OR(INDEX('1.職能辭典'!$K:$K,MATCH(F228,'1.職能辭典'!$C:$C,0))="全部",SUMPRODUCT(ISNUMBER(SEARCH({"經營","管理","財務","企劃","營運","技術","數據","美術","測試","客服"},INDEX('3.員工名單'!$I:$I,MATCH(A228,'3.員工名單'!$A:$A,0))))*ISNUMBER(SEARCH({"經營","管理","財務","企劃","營運","技術","數據","美術","測試","客服"},INDEX('1.職能辭典'!$K:$K,MATCH(F228,'1.職能辭典'!$C:$C,0)))))&gt;0)),INDEX('2.職務職能需求'!$B$2:$F$28,MATCH(F228,'2.職務職能需求'!$A$2:$A$28,0),MATCH(D228,'2.職務職能需求'!$B$1:$F$1,0)),0),""))</f>
        <v/>
      </c>
      <c r="H228" s="94" t="n"/>
      <c r="I228" s="94" t="n"/>
      <c r="J228" s="120">
        <f>IF(OR(G228="",I228="",G228=0),"",I228-G228)</f>
        <v/>
      </c>
      <c r="K228" s="120">
        <f>IF(G228="","",IF(G228=0,"不適用",IF(I228="","待評核",IF(I228&gt;=G228,IF(I228&gt;G228,"超越","達標"),"待發展"))))</f>
        <v/>
      </c>
      <c r="L228" s="91" t="n"/>
      <c r="M228" s="91" t="n"/>
      <c r="N228" s="88" t="n"/>
    </row>
    <row r="229" ht="15.75" customHeight="1" s="64">
      <c r="A229" s="88" t="n"/>
      <c r="B229" s="120">
        <f t="array" ref="B229:B229">IF(A229="","",IFERROR(INDEX('3.員工名單'!$B:$B,MATCH(A229,'3.員工名單'!$A:$A,0)),"查無此員工"))</f>
        <v/>
      </c>
      <c r="C229" s="120">
        <f t="array" ref="C229:C229">IF(A229="","",IFERROR(INDEX('3.員工名單'!$C:$C,MATCH(A229,'3.員工名單'!$A:$A,0)),""))</f>
        <v/>
      </c>
      <c r="D229" s="120">
        <f t="array" ref="D229:D229">IF(A229="","",IFERROR(INDEX('3.員工名單'!$D:$D,MATCH(A229,'3.員工名單'!$A:$A,0)),""))</f>
        <v/>
      </c>
      <c r="E229" s="120">
        <f t="array" ref="E229:E229">IF(F229="","",IFERROR(INDEX('1.職能辭典'!$A:$A,MATCH(F229,'1.職能辭典'!$C:$C,0)),""))</f>
        <v/>
      </c>
      <c r="F229" s="94" t="n"/>
      <c r="G229" s="120">
        <f t="array" ref="G229:G229">IF(OR(D229="",F229=""),"",IFERROR(IF(AND(OR(INDEX('1.職能辭典'!$J:$J,MATCH(F229,'1.職能辭典'!$C:$C,0))="全部",INDEX('3.員工名單'!$H:$H,MATCH(A229,'3.員工名單'!$A:$A,0))="兩款共用",INDEX('3.員工名單'!$H:$H,MATCH(A229,'3.員工名單'!$A:$A,0))=INDEX('1.職能辭典'!$J:$J,MATCH(F229,'1.職能辭典'!$C:$C,0))),OR(INDEX('1.職能辭典'!$K:$K,MATCH(F229,'1.職能辭典'!$C:$C,0))="全部",SUMPRODUCT(ISNUMBER(SEARCH({"經營","管理","財務","企劃","營運","技術","數據","美術","測試","客服"},INDEX('3.員工名單'!$I:$I,MATCH(A229,'3.員工名單'!$A:$A,0))))*ISNUMBER(SEARCH({"經營","管理","財務","企劃","營運","技術","數據","美術","測試","客服"},INDEX('1.職能辭典'!$K:$K,MATCH(F229,'1.職能辭典'!$C:$C,0)))))&gt;0)),INDEX('2.職務職能需求'!$B$2:$F$28,MATCH(F229,'2.職務職能需求'!$A$2:$A$28,0),MATCH(D229,'2.職務職能需求'!$B$1:$F$1,0)),0),""))</f>
        <v/>
      </c>
      <c r="H229" s="94" t="n"/>
      <c r="I229" s="94" t="n"/>
      <c r="J229" s="120">
        <f>IF(OR(G229="",I229="",G229=0),"",I229-G229)</f>
        <v/>
      </c>
      <c r="K229" s="120">
        <f>IF(G229="","",IF(G229=0,"不適用",IF(I229="","待評核",IF(I229&gt;=G229,IF(I229&gt;G229,"超越","達標"),"待發展"))))</f>
        <v/>
      </c>
      <c r="L229" s="91" t="n"/>
      <c r="M229" s="91" t="n"/>
      <c r="N229" s="88" t="n"/>
    </row>
    <row r="230" ht="15.75" customHeight="1" s="64">
      <c r="A230" s="88" t="n"/>
      <c r="B230" s="120">
        <f t="array" ref="B230:B230">IF(A230="","",IFERROR(INDEX('3.員工名單'!$B:$B,MATCH(A230,'3.員工名單'!$A:$A,0)),"查無此員工"))</f>
        <v/>
      </c>
      <c r="C230" s="120">
        <f t="array" ref="C230:C230">IF(A230="","",IFERROR(INDEX('3.員工名單'!$C:$C,MATCH(A230,'3.員工名單'!$A:$A,0)),""))</f>
        <v/>
      </c>
      <c r="D230" s="120">
        <f t="array" ref="D230:D230">IF(A230="","",IFERROR(INDEX('3.員工名單'!$D:$D,MATCH(A230,'3.員工名單'!$A:$A,0)),""))</f>
        <v/>
      </c>
      <c r="E230" s="120">
        <f t="array" ref="E230:E230">IF(F230="","",IFERROR(INDEX('1.職能辭典'!$A:$A,MATCH(F230,'1.職能辭典'!$C:$C,0)),""))</f>
        <v/>
      </c>
      <c r="F230" s="94" t="n"/>
      <c r="G230" s="120">
        <f t="array" ref="G230:G230">IF(OR(D230="",F230=""),"",IFERROR(IF(AND(OR(INDEX('1.職能辭典'!$J:$J,MATCH(F230,'1.職能辭典'!$C:$C,0))="全部",INDEX('3.員工名單'!$H:$H,MATCH(A230,'3.員工名單'!$A:$A,0))="兩款共用",INDEX('3.員工名單'!$H:$H,MATCH(A230,'3.員工名單'!$A:$A,0))=INDEX('1.職能辭典'!$J:$J,MATCH(F230,'1.職能辭典'!$C:$C,0))),OR(INDEX('1.職能辭典'!$K:$K,MATCH(F230,'1.職能辭典'!$C:$C,0))="全部",SUMPRODUCT(ISNUMBER(SEARCH({"經營","管理","財務","企劃","營運","技術","數據","美術","測試","客服"},INDEX('3.員工名單'!$I:$I,MATCH(A230,'3.員工名單'!$A:$A,0))))*ISNUMBER(SEARCH({"經營","管理","財務","企劃","營運","技術","數據","美術","測試","客服"},INDEX('1.職能辭典'!$K:$K,MATCH(F230,'1.職能辭典'!$C:$C,0)))))&gt;0)),INDEX('2.職務職能需求'!$B$2:$F$28,MATCH(F230,'2.職務職能需求'!$A$2:$A$28,0),MATCH(D230,'2.職務職能需求'!$B$1:$F$1,0)),0),""))</f>
        <v/>
      </c>
      <c r="H230" s="94" t="n"/>
      <c r="I230" s="94" t="n"/>
      <c r="J230" s="120">
        <f>IF(OR(G230="",I230="",G230=0),"",I230-G230)</f>
        <v/>
      </c>
      <c r="K230" s="120">
        <f>IF(G230="","",IF(G230=0,"不適用",IF(I230="","待評核",IF(I230&gt;=G230,IF(I230&gt;G230,"超越","達標"),"待發展"))))</f>
        <v/>
      </c>
      <c r="L230" s="91" t="n"/>
      <c r="M230" s="91" t="n"/>
      <c r="N230" s="88" t="n"/>
    </row>
    <row r="231" ht="15.75" customHeight="1" s="64">
      <c r="A231" s="88" t="n"/>
      <c r="B231" s="120">
        <f t="array" ref="B231:B231">IF(A231="","",IFERROR(INDEX('3.員工名單'!$B:$B,MATCH(A231,'3.員工名單'!$A:$A,0)),"查無此員工"))</f>
        <v/>
      </c>
      <c r="C231" s="120">
        <f t="array" ref="C231:C231">IF(A231="","",IFERROR(INDEX('3.員工名單'!$C:$C,MATCH(A231,'3.員工名單'!$A:$A,0)),""))</f>
        <v/>
      </c>
      <c r="D231" s="120">
        <f t="array" ref="D231:D231">IF(A231="","",IFERROR(INDEX('3.員工名單'!$D:$D,MATCH(A231,'3.員工名單'!$A:$A,0)),""))</f>
        <v/>
      </c>
      <c r="E231" s="120">
        <f t="array" ref="E231:E231">IF(F231="","",IFERROR(INDEX('1.職能辭典'!$A:$A,MATCH(F231,'1.職能辭典'!$C:$C,0)),""))</f>
        <v/>
      </c>
      <c r="F231" s="94" t="n"/>
      <c r="G231" s="120">
        <f t="array" ref="G231:G231">IF(OR(D231="",F231=""),"",IFERROR(IF(AND(OR(INDEX('1.職能辭典'!$J:$J,MATCH(F231,'1.職能辭典'!$C:$C,0))="全部",INDEX('3.員工名單'!$H:$H,MATCH(A231,'3.員工名單'!$A:$A,0))="兩款共用",INDEX('3.員工名單'!$H:$H,MATCH(A231,'3.員工名單'!$A:$A,0))=INDEX('1.職能辭典'!$J:$J,MATCH(F231,'1.職能辭典'!$C:$C,0))),OR(INDEX('1.職能辭典'!$K:$K,MATCH(F231,'1.職能辭典'!$C:$C,0))="全部",SUMPRODUCT(ISNUMBER(SEARCH({"經營","管理","財務","企劃","營運","技術","數據","美術","測試","客服"},INDEX('3.員工名單'!$I:$I,MATCH(A231,'3.員工名單'!$A:$A,0))))*ISNUMBER(SEARCH({"經營","管理","財務","企劃","營運","技術","數據","美術","測試","客服"},INDEX('1.職能辭典'!$K:$K,MATCH(F231,'1.職能辭典'!$C:$C,0)))))&gt;0)),INDEX('2.職務職能需求'!$B$2:$F$28,MATCH(F231,'2.職務職能需求'!$A$2:$A$28,0),MATCH(D231,'2.職務職能需求'!$B$1:$F$1,0)),0),""))</f>
        <v/>
      </c>
      <c r="H231" s="94" t="n"/>
      <c r="I231" s="94" t="n"/>
      <c r="J231" s="120">
        <f>IF(OR(G231="",I231="",G231=0),"",I231-G231)</f>
        <v/>
      </c>
      <c r="K231" s="120">
        <f>IF(G231="","",IF(G231=0,"不適用",IF(I231="","待評核",IF(I231&gt;=G231,IF(I231&gt;G231,"超越","達標"),"待發展"))))</f>
        <v/>
      </c>
      <c r="L231" s="91" t="n"/>
      <c r="M231" s="91" t="n"/>
      <c r="N231" s="88" t="n"/>
    </row>
    <row r="232" ht="15.75" customHeight="1" s="64">
      <c r="A232" s="88" t="n"/>
      <c r="B232" s="120">
        <f t="array" ref="B232:B232">IF(A232="","",IFERROR(INDEX('3.員工名單'!$B:$B,MATCH(A232,'3.員工名單'!$A:$A,0)),"查無此員工"))</f>
        <v/>
      </c>
      <c r="C232" s="120">
        <f t="array" ref="C232:C232">IF(A232="","",IFERROR(INDEX('3.員工名單'!$C:$C,MATCH(A232,'3.員工名單'!$A:$A,0)),""))</f>
        <v/>
      </c>
      <c r="D232" s="120">
        <f t="array" ref="D232:D232">IF(A232="","",IFERROR(INDEX('3.員工名單'!$D:$D,MATCH(A232,'3.員工名單'!$A:$A,0)),""))</f>
        <v/>
      </c>
      <c r="E232" s="120">
        <f t="array" ref="E232:E232">IF(F232="","",IFERROR(INDEX('1.職能辭典'!$A:$A,MATCH(F232,'1.職能辭典'!$C:$C,0)),""))</f>
        <v/>
      </c>
      <c r="F232" s="94" t="n"/>
      <c r="G232" s="120">
        <f t="array" ref="G232:G232">IF(OR(D232="",F232=""),"",IFERROR(IF(AND(OR(INDEX('1.職能辭典'!$J:$J,MATCH(F232,'1.職能辭典'!$C:$C,0))="全部",INDEX('3.員工名單'!$H:$H,MATCH(A232,'3.員工名單'!$A:$A,0))="兩款共用",INDEX('3.員工名單'!$H:$H,MATCH(A232,'3.員工名單'!$A:$A,0))=INDEX('1.職能辭典'!$J:$J,MATCH(F232,'1.職能辭典'!$C:$C,0))),OR(INDEX('1.職能辭典'!$K:$K,MATCH(F232,'1.職能辭典'!$C:$C,0))="全部",SUMPRODUCT(ISNUMBER(SEARCH({"經營","管理","財務","企劃","營運","技術","數據","美術","測試","客服"},INDEX('3.員工名單'!$I:$I,MATCH(A232,'3.員工名單'!$A:$A,0))))*ISNUMBER(SEARCH({"經營","管理","財務","企劃","營運","技術","數據","美術","測試","客服"},INDEX('1.職能辭典'!$K:$K,MATCH(F232,'1.職能辭典'!$C:$C,0)))))&gt;0)),INDEX('2.職務職能需求'!$B$2:$F$28,MATCH(F232,'2.職務職能需求'!$A$2:$A$28,0),MATCH(D232,'2.職務職能需求'!$B$1:$F$1,0)),0),""))</f>
        <v/>
      </c>
      <c r="H232" s="94" t="n"/>
      <c r="I232" s="94" t="n"/>
      <c r="J232" s="120">
        <f>IF(OR(G232="",I232="",G232=0),"",I232-G232)</f>
        <v/>
      </c>
      <c r="K232" s="120">
        <f>IF(G232="","",IF(G232=0,"不適用",IF(I232="","待評核",IF(I232&gt;=G232,IF(I232&gt;G232,"超越","達標"),"待發展"))))</f>
        <v/>
      </c>
      <c r="L232" s="91" t="n"/>
      <c r="M232" s="91" t="n"/>
      <c r="N232" s="88" t="n"/>
    </row>
    <row r="233" ht="15.75" customHeight="1" s="64">
      <c r="A233" s="88" t="n"/>
      <c r="B233" s="120">
        <f t="array" ref="B233:B233">IF(A233="","",IFERROR(INDEX('3.員工名單'!$B:$B,MATCH(A233,'3.員工名單'!$A:$A,0)),"查無此員工"))</f>
        <v/>
      </c>
      <c r="C233" s="120">
        <f t="array" ref="C233:C233">IF(A233="","",IFERROR(INDEX('3.員工名單'!$C:$C,MATCH(A233,'3.員工名單'!$A:$A,0)),""))</f>
        <v/>
      </c>
      <c r="D233" s="120">
        <f t="array" ref="D233:D233">IF(A233="","",IFERROR(INDEX('3.員工名單'!$D:$D,MATCH(A233,'3.員工名單'!$A:$A,0)),""))</f>
        <v/>
      </c>
      <c r="E233" s="120">
        <f t="array" ref="E233:E233">IF(F233="","",IFERROR(INDEX('1.職能辭典'!$A:$A,MATCH(F233,'1.職能辭典'!$C:$C,0)),""))</f>
        <v/>
      </c>
      <c r="F233" s="94" t="n"/>
      <c r="G233" s="120">
        <f t="array" ref="G233:G233">IF(OR(D233="",F233=""),"",IFERROR(IF(AND(OR(INDEX('1.職能辭典'!$J:$J,MATCH(F233,'1.職能辭典'!$C:$C,0))="全部",INDEX('3.員工名單'!$H:$H,MATCH(A233,'3.員工名單'!$A:$A,0))="兩款共用",INDEX('3.員工名單'!$H:$H,MATCH(A233,'3.員工名單'!$A:$A,0))=INDEX('1.職能辭典'!$J:$J,MATCH(F233,'1.職能辭典'!$C:$C,0))),OR(INDEX('1.職能辭典'!$K:$K,MATCH(F233,'1.職能辭典'!$C:$C,0))="全部",SUMPRODUCT(ISNUMBER(SEARCH({"經營","管理","財務","企劃","營運","技術","數據","美術","測試","客服"},INDEX('3.員工名單'!$I:$I,MATCH(A233,'3.員工名單'!$A:$A,0))))*ISNUMBER(SEARCH({"經營","管理","財務","企劃","營運","技術","數據","美術","測試","客服"},INDEX('1.職能辭典'!$K:$K,MATCH(F233,'1.職能辭典'!$C:$C,0)))))&gt;0)),INDEX('2.職務職能需求'!$B$2:$F$28,MATCH(F233,'2.職務職能需求'!$A$2:$A$28,0),MATCH(D233,'2.職務職能需求'!$B$1:$F$1,0)),0),""))</f>
        <v/>
      </c>
      <c r="H233" s="94" t="n"/>
      <c r="I233" s="94" t="n"/>
      <c r="J233" s="120">
        <f>IF(OR(G233="",I233="",G233=0),"",I233-G233)</f>
        <v/>
      </c>
      <c r="K233" s="120">
        <f>IF(G233="","",IF(G233=0,"不適用",IF(I233="","待評核",IF(I233&gt;=G233,IF(I233&gt;G233,"超越","達標"),"待發展"))))</f>
        <v/>
      </c>
      <c r="L233" s="91" t="n"/>
      <c r="M233" s="91" t="n"/>
      <c r="N233" s="88" t="n"/>
    </row>
    <row r="234" ht="15.75" customHeight="1" s="64">
      <c r="A234" s="88" t="n"/>
      <c r="B234" s="120">
        <f t="array" ref="B234:B234">IF(A234="","",IFERROR(INDEX('3.員工名單'!$B:$B,MATCH(A234,'3.員工名單'!$A:$A,0)),"查無此員工"))</f>
        <v/>
      </c>
      <c r="C234" s="120">
        <f t="array" ref="C234:C234">IF(A234="","",IFERROR(INDEX('3.員工名單'!$C:$C,MATCH(A234,'3.員工名單'!$A:$A,0)),""))</f>
        <v/>
      </c>
      <c r="D234" s="120">
        <f t="array" ref="D234:D234">IF(A234="","",IFERROR(INDEX('3.員工名單'!$D:$D,MATCH(A234,'3.員工名單'!$A:$A,0)),""))</f>
        <v/>
      </c>
      <c r="E234" s="120">
        <f t="array" ref="E234:E234">IF(F234="","",IFERROR(INDEX('1.職能辭典'!$A:$A,MATCH(F234,'1.職能辭典'!$C:$C,0)),""))</f>
        <v/>
      </c>
      <c r="F234" s="94" t="n"/>
      <c r="G234" s="120">
        <f t="array" ref="G234:G234">IF(OR(D234="",F234=""),"",IFERROR(IF(AND(OR(INDEX('1.職能辭典'!$J:$J,MATCH(F234,'1.職能辭典'!$C:$C,0))="全部",INDEX('3.員工名單'!$H:$H,MATCH(A234,'3.員工名單'!$A:$A,0))="兩款共用",INDEX('3.員工名單'!$H:$H,MATCH(A234,'3.員工名單'!$A:$A,0))=INDEX('1.職能辭典'!$J:$J,MATCH(F234,'1.職能辭典'!$C:$C,0))),OR(INDEX('1.職能辭典'!$K:$K,MATCH(F234,'1.職能辭典'!$C:$C,0))="全部",SUMPRODUCT(ISNUMBER(SEARCH({"經營","管理","財務","企劃","營運","技術","數據","美術","測試","客服"},INDEX('3.員工名單'!$I:$I,MATCH(A234,'3.員工名單'!$A:$A,0))))*ISNUMBER(SEARCH({"經營","管理","財務","企劃","營運","技術","數據","美術","測試","客服"},INDEX('1.職能辭典'!$K:$K,MATCH(F234,'1.職能辭典'!$C:$C,0)))))&gt;0)),INDEX('2.職務職能需求'!$B$2:$F$28,MATCH(F234,'2.職務職能需求'!$A$2:$A$28,0),MATCH(D234,'2.職務職能需求'!$B$1:$F$1,0)),0),""))</f>
        <v/>
      </c>
      <c r="H234" s="94" t="n"/>
      <c r="I234" s="94" t="n"/>
      <c r="J234" s="120">
        <f>IF(OR(G234="",I234="",G234=0),"",I234-G234)</f>
        <v/>
      </c>
      <c r="K234" s="120">
        <f>IF(G234="","",IF(G234=0,"不適用",IF(I234="","待評核",IF(I234&gt;=G234,IF(I234&gt;G234,"超越","達標"),"待發展"))))</f>
        <v/>
      </c>
      <c r="L234" s="91" t="n"/>
      <c r="M234" s="91" t="n"/>
      <c r="N234" s="88" t="n"/>
    </row>
    <row r="235" ht="15.75" customHeight="1" s="64">
      <c r="A235" s="88" t="n"/>
      <c r="B235" s="120">
        <f t="array" ref="B235:B235">IF(A235="","",IFERROR(INDEX('3.員工名單'!$B:$B,MATCH(A235,'3.員工名單'!$A:$A,0)),"查無此員工"))</f>
        <v/>
      </c>
      <c r="C235" s="120">
        <f t="array" ref="C235:C235">IF(A235="","",IFERROR(INDEX('3.員工名單'!$C:$C,MATCH(A235,'3.員工名單'!$A:$A,0)),""))</f>
        <v/>
      </c>
      <c r="D235" s="120">
        <f t="array" ref="D235:D235">IF(A235="","",IFERROR(INDEX('3.員工名單'!$D:$D,MATCH(A235,'3.員工名單'!$A:$A,0)),""))</f>
        <v/>
      </c>
      <c r="E235" s="120">
        <f t="array" ref="E235:E235">IF(F235="","",IFERROR(INDEX('1.職能辭典'!$A:$A,MATCH(F235,'1.職能辭典'!$C:$C,0)),""))</f>
        <v/>
      </c>
      <c r="F235" s="94" t="n"/>
      <c r="G235" s="120">
        <f t="array" ref="G235:G235">IF(OR(D235="",F235=""),"",IFERROR(IF(AND(OR(INDEX('1.職能辭典'!$J:$J,MATCH(F235,'1.職能辭典'!$C:$C,0))="全部",INDEX('3.員工名單'!$H:$H,MATCH(A235,'3.員工名單'!$A:$A,0))="兩款共用",INDEX('3.員工名單'!$H:$H,MATCH(A235,'3.員工名單'!$A:$A,0))=INDEX('1.職能辭典'!$J:$J,MATCH(F235,'1.職能辭典'!$C:$C,0))),OR(INDEX('1.職能辭典'!$K:$K,MATCH(F235,'1.職能辭典'!$C:$C,0))="全部",SUMPRODUCT(ISNUMBER(SEARCH({"經營","管理","財務","企劃","營運","技術","數據","美術","測試","客服"},INDEX('3.員工名單'!$I:$I,MATCH(A235,'3.員工名單'!$A:$A,0))))*ISNUMBER(SEARCH({"經營","管理","財務","企劃","營運","技術","數據","美術","測試","客服"},INDEX('1.職能辭典'!$K:$K,MATCH(F235,'1.職能辭典'!$C:$C,0)))))&gt;0)),INDEX('2.職務職能需求'!$B$2:$F$28,MATCH(F235,'2.職務職能需求'!$A$2:$A$28,0),MATCH(D235,'2.職務職能需求'!$B$1:$F$1,0)),0),""))</f>
        <v/>
      </c>
      <c r="H235" s="94" t="n"/>
      <c r="I235" s="94" t="n"/>
      <c r="J235" s="120">
        <f>IF(OR(G235="",I235="",G235=0),"",I235-G235)</f>
        <v/>
      </c>
      <c r="K235" s="120">
        <f>IF(G235="","",IF(G235=0,"不適用",IF(I235="","待評核",IF(I235&gt;=G235,IF(I235&gt;G235,"超越","達標"),"待發展"))))</f>
        <v/>
      </c>
      <c r="L235" s="91" t="n"/>
      <c r="M235" s="91" t="n"/>
      <c r="N235" s="88" t="n"/>
    </row>
    <row r="236" ht="15.75" customHeight="1" s="64">
      <c r="A236" s="88" t="n"/>
      <c r="B236" s="120">
        <f t="array" ref="B236:B236">IF(A236="","",IFERROR(INDEX('3.員工名單'!$B:$B,MATCH(A236,'3.員工名單'!$A:$A,0)),"查無此員工"))</f>
        <v/>
      </c>
      <c r="C236" s="120">
        <f t="array" ref="C236:C236">IF(A236="","",IFERROR(INDEX('3.員工名單'!$C:$C,MATCH(A236,'3.員工名單'!$A:$A,0)),""))</f>
        <v/>
      </c>
      <c r="D236" s="120">
        <f t="array" ref="D236:D236">IF(A236="","",IFERROR(INDEX('3.員工名單'!$D:$D,MATCH(A236,'3.員工名單'!$A:$A,0)),""))</f>
        <v/>
      </c>
      <c r="E236" s="120">
        <f t="array" ref="E236:E236">IF(F236="","",IFERROR(INDEX('1.職能辭典'!$A:$A,MATCH(F236,'1.職能辭典'!$C:$C,0)),""))</f>
        <v/>
      </c>
      <c r="F236" s="94" t="n"/>
      <c r="G236" s="120">
        <f t="array" ref="G236:G236">IF(OR(D236="",F236=""),"",IFERROR(IF(AND(OR(INDEX('1.職能辭典'!$J:$J,MATCH(F236,'1.職能辭典'!$C:$C,0))="全部",INDEX('3.員工名單'!$H:$H,MATCH(A236,'3.員工名單'!$A:$A,0))="兩款共用",INDEX('3.員工名單'!$H:$H,MATCH(A236,'3.員工名單'!$A:$A,0))=INDEX('1.職能辭典'!$J:$J,MATCH(F236,'1.職能辭典'!$C:$C,0))),OR(INDEX('1.職能辭典'!$K:$K,MATCH(F236,'1.職能辭典'!$C:$C,0))="全部",SUMPRODUCT(ISNUMBER(SEARCH({"經營","管理","財務","企劃","營運","技術","數據","美術","測試","客服"},INDEX('3.員工名單'!$I:$I,MATCH(A236,'3.員工名單'!$A:$A,0))))*ISNUMBER(SEARCH({"經營","管理","財務","企劃","營運","技術","數據","美術","測試","客服"},INDEX('1.職能辭典'!$K:$K,MATCH(F236,'1.職能辭典'!$C:$C,0)))))&gt;0)),INDEX('2.職務職能需求'!$B$2:$F$28,MATCH(F236,'2.職務職能需求'!$A$2:$A$28,0),MATCH(D236,'2.職務職能需求'!$B$1:$F$1,0)),0),""))</f>
        <v/>
      </c>
      <c r="H236" s="94" t="n"/>
      <c r="I236" s="94" t="n"/>
      <c r="J236" s="120">
        <f>IF(OR(G236="",I236="",G236=0),"",I236-G236)</f>
        <v/>
      </c>
      <c r="K236" s="120">
        <f>IF(G236="","",IF(G236=0,"不適用",IF(I236="","待評核",IF(I236&gt;=G236,IF(I236&gt;G236,"超越","達標"),"待發展"))))</f>
        <v/>
      </c>
      <c r="L236" s="91" t="n"/>
      <c r="M236" s="91" t="n"/>
      <c r="N236" s="88" t="n"/>
    </row>
    <row r="237" ht="15.75" customHeight="1" s="64">
      <c r="A237" s="88" t="n"/>
      <c r="B237" s="120">
        <f t="array" ref="B237:B237">IF(A237="","",IFERROR(INDEX('3.員工名單'!$B:$B,MATCH(A237,'3.員工名單'!$A:$A,0)),"查無此員工"))</f>
        <v/>
      </c>
      <c r="C237" s="120">
        <f t="array" ref="C237:C237">IF(A237="","",IFERROR(INDEX('3.員工名單'!$C:$C,MATCH(A237,'3.員工名單'!$A:$A,0)),""))</f>
        <v/>
      </c>
      <c r="D237" s="120">
        <f t="array" ref="D237:D237">IF(A237="","",IFERROR(INDEX('3.員工名單'!$D:$D,MATCH(A237,'3.員工名單'!$A:$A,0)),""))</f>
        <v/>
      </c>
      <c r="E237" s="120">
        <f t="array" ref="E237:E237">IF(F237="","",IFERROR(INDEX('1.職能辭典'!$A:$A,MATCH(F237,'1.職能辭典'!$C:$C,0)),""))</f>
        <v/>
      </c>
      <c r="F237" s="94" t="n"/>
      <c r="G237" s="120">
        <f t="array" ref="G237:G237">IF(OR(D237="",F237=""),"",IFERROR(IF(AND(OR(INDEX('1.職能辭典'!$J:$J,MATCH(F237,'1.職能辭典'!$C:$C,0))="全部",INDEX('3.員工名單'!$H:$H,MATCH(A237,'3.員工名單'!$A:$A,0))="兩款共用",INDEX('3.員工名單'!$H:$H,MATCH(A237,'3.員工名單'!$A:$A,0))=INDEX('1.職能辭典'!$J:$J,MATCH(F237,'1.職能辭典'!$C:$C,0))),OR(INDEX('1.職能辭典'!$K:$K,MATCH(F237,'1.職能辭典'!$C:$C,0))="全部",SUMPRODUCT(ISNUMBER(SEARCH({"經營","管理","財務","企劃","營運","技術","數據","美術","測試","客服"},INDEX('3.員工名單'!$I:$I,MATCH(A237,'3.員工名單'!$A:$A,0))))*ISNUMBER(SEARCH({"經營","管理","財務","企劃","營運","技術","數據","美術","測試","客服"},INDEX('1.職能辭典'!$K:$K,MATCH(F237,'1.職能辭典'!$C:$C,0)))))&gt;0)),INDEX('2.職務職能需求'!$B$2:$F$28,MATCH(F237,'2.職務職能需求'!$A$2:$A$28,0),MATCH(D237,'2.職務職能需求'!$B$1:$F$1,0)),0),""))</f>
        <v/>
      </c>
      <c r="H237" s="94" t="n"/>
      <c r="I237" s="94" t="n"/>
      <c r="J237" s="120">
        <f>IF(OR(G237="",I237="",G237=0),"",I237-G237)</f>
        <v/>
      </c>
      <c r="K237" s="120">
        <f>IF(G237="","",IF(G237=0,"不適用",IF(I237="","待評核",IF(I237&gt;=G237,IF(I237&gt;G237,"超越","達標"),"待發展"))))</f>
        <v/>
      </c>
      <c r="L237" s="91" t="n"/>
      <c r="M237" s="91" t="n"/>
      <c r="N237" s="88" t="n"/>
    </row>
    <row r="238" ht="15.75" customHeight="1" s="64">
      <c r="A238" s="88" t="n"/>
      <c r="B238" s="120">
        <f t="array" ref="B238:B238">IF(A238="","",IFERROR(INDEX('3.員工名單'!$B:$B,MATCH(A238,'3.員工名單'!$A:$A,0)),"查無此員工"))</f>
        <v/>
      </c>
      <c r="C238" s="120">
        <f t="array" ref="C238:C238">IF(A238="","",IFERROR(INDEX('3.員工名單'!$C:$C,MATCH(A238,'3.員工名單'!$A:$A,0)),""))</f>
        <v/>
      </c>
      <c r="D238" s="120">
        <f t="array" ref="D238:D238">IF(A238="","",IFERROR(INDEX('3.員工名單'!$D:$D,MATCH(A238,'3.員工名單'!$A:$A,0)),""))</f>
        <v/>
      </c>
      <c r="E238" s="120">
        <f t="array" ref="E238:E238">IF(F238="","",IFERROR(INDEX('1.職能辭典'!$A:$A,MATCH(F238,'1.職能辭典'!$C:$C,0)),""))</f>
        <v/>
      </c>
      <c r="F238" s="94" t="n"/>
      <c r="G238" s="120">
        <f t="array" ref="G238:G238">IF(OR(D238="",F238=""),"",IFERROR(IF(AND(OR(INDEX('1.職能辭典'!$J:$J,MATCH(F238,'1.職能辭典'!$C:$C,0))="全部",INDEX('3.員工名單'!$H:$H,MATCH(A238,'3.員工名單'!$A:$A,0))="兩款共用",INDEX('3.員工名單'!$H:$H,MATCH(A238,'3.員工名單'!$A:$A,0))=INDEX('1.職能辭典'!$J:$J,MATCH(F238,'1.職能辭典'!$C:$C,0))),OR(INDEX('1.職能辭典'!$K:$K,MATCH(F238,'1.職能辭典'!$C:$C,0))="全部",SUMPRODUCT(ISNUMBER(SEARCH({"經營","管理","財務","企劃","營運","技術","數據","美術","測試","客服"},INDEX('3.員工名單'!$I:$I,MATCH(A238,'3.員工名單'!$A:$A,0))))*ISNUMBER(SEARCH({"經營","管理","財務","企劃","營運","技術","數據","美術","測試","客服"},INDEX('1.職能辭典'!$K:$K,MATCH(F238,'1.職能辭典'!$C:$C,0)))))&gt;0)),INDEX('2.職務職能需求'!$B$2:$F$28,MATCH(F238,'2.職務職能需求'!$A$2:$A$28,0),MATCH(D238,'2.職務職能需求'!$B$1:$F$1,0)),0),""))</f>
        <v/>
      </c>
      <c r="H238" s="94" t="n"/>
      <c r="I238" s="94" t="n"/>
      <c r="J238" s="120">
        <f>IF(OR(G238="",I238="",G238=0),"",I238-G238)</f>
        <v/>
      </c>
      <c r="K238" s="120">
        <f>IF(G238="","",IF(G238=0,"不適用",IF(I238="","待評核",IF(I238&gt;=G238,IF(I238&gt;G238,"超越","達標"),"待發展"))))</f>
        <v/>
      </c>
      <c r="L238" s="91" t="n"/>
      <c r="M238" s="91" t="n"/>
      <c r="N238" s="88" t="n"/>
    </row>
    <row r="239" ht="15.75" customHeight="1" s="64">
      <c r="A239" s="88" t="n"/>
      <c r="B239" s="120">
        <f t="array" ref="B239:B239">IF(A239="","",IFERROR(INDEX('3.員工名單'!$B:$B,MATCH(A239,'3.員工名單'!$A:$A,0)),"查無此員工"))</f>
        <v/>
      </c>
      <c r="C239" s="120">
        <f t="array" ref="C239:C239">IF(A239="","",IFERROR(INDEX('3.員工名單'!$C:$C,MATCH(A239,'3.員工名單'!$A:$A,0)),""))</f>
        <v/>
      </c>
      <c r="D239" s="120">
        <f t="array" ref="D239:D239">IF(A239="","",IFERROR(INDEX('3.員工名單'!$D:$D,MATCH(A239,'3.員工名單'!$A:$A,0)),""))</f>
        <v/>
      </c>
      <c r="E239" s="120">
        <f t="array" ref="E239:E239">IF(F239="","",IFERROR(INDEX('1.職能辭典'!$A:$A,MATCH(F239,'1.職能辭典'!$C:$C,0)),""))</f>
        <v/>
      </c>
      <c r="F239" s="94" t="n"/>
      <c r="G239" s="120">
        <f t="array" ref="G239:G239">IF(OR(D239="",F239=""),"",IFERROR(IF(AND(OR(INDEX('1.職能辭典'!$J:$J,MATCH(F239,'1.職能辭典'!$C:$C,0))="全部",INDEX('3.員工名單'!$H:$H,MATCH(A239,'3.員工名單'!$A:$A,0))="兩款共用",INDEX('3.員工名單'!$H:$H,MATCH(A239,'3.員工名單'!$A:$A,0))=INDEX('1.職能辭典'!$J:$J,MATCH(F239,'1.職能辭典'!$C:$C,0))),OR(INDEX('1.職能辭典'!$K:$K,MATCH(F239,'1.職能辭典'!$C:$C,0))="全部",SUMPRODUCT(ISNUMBER(SEARCH({"經營","管理","財務","企劃","營運","技術","數據","美術","測試","客服"},INDEX('3.員工名單'!$I:$I,MATCH(A239,'3.員工名單'!$A:$A,0))))*ISNUMBER(SEARCH({"經營","管理","財務","企劃","營運","技術","數據","美術","測試","客服"},INDEX('1.職能辭典'!$K:$K,MATCH(F239,'1.職能辭典'!$C:$C,0)))))&gt;0)),INDEX('2.職務職能需求'!$B$2:$F$28,MATCH(F239,'2.職務職能需求'!$A$2:$A$28,0),MATCH(D239,'2.職務職能需求'!$B$1:$F$1,0)),0),""))</f>
        <v/>
      </c>
      <c r="H239" s="94" t="n"/>
      <c r="I239" s="94" t="n"/>
      <c r="J239" s="120">
        <f>IF(OR(G239="",I239="",G239=0),"",I239-G239)</f>
        <v/>
      </c>
      <c r="K239" s="120">
        <f>IF(G239="","",IF(G239=0,"不適用",IF(I239="","待評核",IF(I239&gt;=G239,IF(I239&gt;G239,"超越","達標"),"待發展"))))</f>
        <v/>
      </c>
      <c r="L239" s="91" t="n"/>
      <c r="M239" s="91" t="n"/>
      <c r="N239" s="88" t="n"/>
    </row>
    <row r="240" ht="15.75" customHeight="1" s="64">
      <c r="A240" s="88" t="n"/>
      <c r="B240" s="120">
        <f t="array" ref="B240:B240">IF(A240="","",IFERROR(INDEX('3.員工名單'!$B:$B,MATCH(A240,'3.員工名單'!$A:$A,0)),"查無此員工"))</f>
        <v/>
      </c>
      <c r="C240" s="120">
        <f t="array" ref="C240:C240">IF(A240="","",IFERROR(INDEX('3.員工名單'!$C:$C,MATCH(A240,'3.員工名單'!$A:$A,0)),""))</f>
        <v/>
      </c>
      <c r="D240" s="120">
        <f t="array" ref="D240:D240">IF(A240="","",IFERROR(INDEX('3.員工名單'!$D:$D,MATCH(A240,'3.員工名單'!$A:$A,0)),""))</f>
        <v/>
      </c>
      <c r="E240" s="120">
        <f t="array" ref="E240:E240">IF(F240="","",IFERROR(INDEX('1.職能辭典'!$A:$A,MATCH(F240,'1.職能辭典'!$C:$C,0)),""))</f>
        <v/>
      </c>
      <c r="F240" s="94" t="n"/>
      <c r="G240" s="120">
        <f t="array" ref="G240:G240">IF(OR(D240="",F240=""),"",IFERROR(IF(AND(OR(INDEX('1.職能辭典'!$J:$J,MATCH(F240,'1.職能辭典'!$C:$C,0))="全部",INDEX('3.員工名單'!$H:$H,MATCH(A240,'3.員工名單'!$A:$A,0))="兩款共用",INDEX('3.員工名單'!$H:$H,MATCH(A240,'3.員工名單'!$A:$A,0))=INDEX('1.職能辭典'!$J:$J,MATCH(F240,'1.職能辭典'!$C:$C,0))),OR(INDEX('1.職能辭典'!$K:$K,MATCH(F240,'1.職能辭典'!$C:$C,0))="全部",SUMPRODUCT(ISNUMBER(SEARCH({"經營","管理","財務","企劃","營運","技術","數據","美術","測試","客服"},INDEX('3.員工名單'!$I:$I,MATCH(A240,'3.員工名單'!$A:$A,0))))*ISNUMBER(SEARCH({"經營","管理","財務","企劃","營運","技術","數據","美術","測試","客服"},INDEX('1.職能辭典'!$K:$K,MATCH(F240,'1.職能辭典'!$C:$C,0)))))&gt;0)),INDEX('2.職務職能需求'!$B$2:$F$28,MATCH(F240,'2.職務職能需求'!$A$2:$A$28,0),MATCH(D240,'2.職務職能需求'!$B$1:$F$1,0)),0),""))</f>
        <v/>
      </c>
      <c r="H240" s="94" t="n"/>
      <c r="I240" s="94" t="n"/>
      <c r="J240" s="120">
        <f>IF(OR(G240="",I240="",G240=0),"",I240-G240)</f>
        <v/>
      </c>
      <c r="K240" s="120">
        <f>IF(G240="","",IF(G240=0,"不適用",IF(I240="","待評核",IF(I240&gt;=G240,IF(I240&gt;G240,"超越","達標"),"待發展"))))</f>
        <v/>
      </c>
      <c r="L240" s="91" t="n"/>
      <c r="M240" s="91" t="n"/>
      <c r="N240" s="88" t="n"/>
    </row>
    <row r="241" ht="15.75" customHeight="1" s="64">
      <c r="A241" s="88" t="n"/>
      <c r="B241" s="120">
        <f t="array" ref="B241:B241">IF(A241="","",IFERROR(INDEX('3.員工名單'!$B:$B,MATCH(A241,'3.員工名單'!$A:$A,0)),"查無此員工"))</f>
        <v/>
      </c>
      <c r="C241" s="120">
        <f t="array" ref="C241:C241">IF(A241="","",IFERROR(INDEX('3.員工名單'!$C:$C,MATCH(A241,'3.員工名單'!$A:$A,0)),""))</f>
        <v/>
      </c>
      <c r="D241" s="120">
        <f t="array" ref="D241:D241">IF(A241="","",IFERROR(INDEX('3.員工名單'!$D:$D,MATCH(A241,'3.員工名單'!$A:$A,0)),""))</f>
        <v/>
      </c>
      <c r="E241" s="120">
        <f t="array" ref="E241:E241">IF(F241="","",IFERROR(INDEX('1.職能辭典'!$A:$A,MATCH(F241,'1.職能辭典'!$C:$C,0)),""))</f>
        <v/>
      </c>
      <c r="F241" s="94" t="n"/>
      <c r="G241" s="120">
        <f t="array" ref="G241:G241">IF(OR(D241="",F241=""),"",IFERROR(IF(AND(OR(INDEX('1.職能辭典'!$J:$J,MATCH(F241,'1.職能辭典'!$C:$C,0))="全部",INDEX('3.員工名單'!$H:$H,MATCH(A241,'3.員工名單'!$A:$A,0))="兩款共用",INDEX('3.員工名單'!$H:$H,MATCH(A241,'3.員工名單'!$A:$A,0))=INDEX('1.職能辭典'!$J:$J,MATCH(F241,'1.職能辭典'!$C:$C,0))),OR(INDEX('1.職能辭典'!$K:$K,MATCH(F241,'1.職能辭典'!$C:$C,0))="全部",SUMPRODUCT(ISNUMBER(SEARCH({"經營","管理","財務","企劃","營運","技術","數據","美術","測試","客服"},INDEX('3.員工名單'!$I:$I,MATCH(A241,'3.員工名單'!$A:$A,0))))*ISNUMBER(SEARCH({"經營","管理","財務","企劃","營運","技術","數據","美術","測試","客服"},INDEX('1.職能辭典'!$K:$K,MATCH(F241,'1.職能辭典'!$C:$C,0)))))&gt;0)),INDEX('2.職務職能需求'!$B$2:$F$28,MATCH(F241,'2.職務職能需求'!$A$2:$A$28,0),MATCH(D241,'2.職務職能需求'!$B$1:$F$1,0)),0),""))</f>
        <v/>
      </c>
      <c r="H241" s="94" t="n"/>
      <c r="I241" s="94" t="n"/>
      <c r="J241" s="120">
        <f>IF(OR(G241="",I241="",G241=0),"",I241-G241)</f>
        <v/>
      </c>
      <c r="K241" s="120">
        <f>IF(G241="","",IF(G241=0,"不適用",IF(I241="","待評核",IF(I241&gt;=G241,IF(I241&gt;G241,"超越","達標"),"待發展"))))</f>
        <v/>
      </c>
      <c r="L241" s="91" t="n"/>
      <c r="M241" s="91" t="n"/>
      <c r="N241" s="88" t="n"/>
    </row>
    <row r="242" ht="15.75" customHeight="1" s="64">
      <c r="A242" s="88" t="n"/>
      <c r="B242" s="120">
        <f t="array" ref="B242:B242">IF(A242="","",IFERROR(INDEX('3.員工名單'!$B:$B,MATCH(A242,'3.員工名單'!$A:$A,0)),"查無此員工"))</f>
        <v/>
      </c>
      <c r="C242" s="120">
        <f t="array" ref="C242:C242">IF(A242="","",IFERROR(INDEX('3.員工名單'!$C:$C,MATCH(A242,'3.員工名單'!$A:$A,0)),""))</f>
        <v/>
      </c>
      <c r="D242" s="120">
        <f t="array" ref="D242:D242">IF(A242="","",IFERROR(INDEX('3.員工名單'!$D:$D,MATCH(A242,'3.員工名單'!$A:$A,0)),""))</f>
        <v/>
      </c>
      <c r="E242" s="120">
        <f t="array" ref="E242:E242">IF(F242="","",IFERROR(INDEX('1.職能辭典'!$A:$A,MATCH(F242,'1.職能辭典'!$C:$C,0)),""))</f>
        <v/>
      </c>
      <c r="F242" s="94" t="n"/>
      <c r="G242" s="120">
        <f t="array" ref="G242:G242">IF(OR(D242="",F242=""),"",IFERROR(IF(AND(OR(INDEX('1.職能辭典'!$J:$J,MATCH(F242,'1.職能辭典'!$C:$C,0))="全部",INDEX('3.員工名單'!$H:$H,MATCH(A242,'3.員工名單'!$A:$A,0))="兩款共用",INDEX('3.員工名單'!$H:$H,MATCH(A242,'3.員工名單'!$A:$A,0))=INDEX('1.職能辭典'!$J:$J,MATCH(F242,'1.職能辭典'!$C:$C,0))),OR(INDEX('1.職能辭典'!$K:$K,MATCH(F242,'1.職能辭典'!$C:$C,0))="全部",SUMPRODUCT(ISNUMBER(SEARCH({"經營","管理","財務","企劃","營運","技術","數據","美術","測試","客服"},INDEX('3.員工名單'!$I:$I,MATCH(A242,'3.員工名單'!$A:$A,0))))*ISNUMBER(SEARCH({"經營","管理","財務","企劃","營運","技術","數據","美術","測試","客服"},INDEX('1.職能辭典'!$K:$K,MATCH(F242,'1.職能辭典'!$C:$C,0)))))&gt;0)),INDEX('2.職務職能需求'!$B$2:$F$28,MATCH(F242,'2.職務職能需求'!$A$2:$A$28,0),MATCH(D242,'2.職務職能需求'!$B$1:$F$1,0)),0),""))</f>
        <v/>
      </c>
      <c r="H242" s="94" t="n"/>
      <c r="I242" s="94" t="n"/>
      <c r="J242" s="120">
        <f>IF(OR(G242="",I242="",G242=0),"",I242-G242)</f>
        <v/>
      </c>
      <c r="K242" s="120">
        <f>IF(G242="","",IF(G242=0,"不適用",IF(I242="","待評核",IF(I242&gt;=G242,IF(I242&gt;G242,"超越","達標"),"待發展"))))</f>
        <v/>
      </c>
      <c r="L242" s="91" t="n"/>
      <c r="M242" s="91" t="n"/>
      <c r="N242" s="88" t="n"/>
    </row>
    <row r="243" ht="15.75" customHeight="1" s="64">
      <c r="A243" s="88" t="n"/>
      <c r="B243" s="120">
        <f t="array" ref="B243:B243">IF(A243="","",IFERROR(INDEX('3.員工名單'!$B:$B,MATCH(A243,'3.員工名單'!$A:$A,0)),"查無此員工"))</f>
        <v/>
      </c>
      <c r="C243" s="120">
        <f t="array" ref="C243:C243">IF(A243="","",IFERROR(INDEX('3.員工名單'!$C:$C,MATCH(A243,'3.員工名單'!$A:$A,0)),""))</f>
        <v/>
      </c>
      <c r="D243" s="120">
        <f t="array" ref="D243:D243">IF(A243="","",IFERROR(INDEX('3.員工名單'!$D:$D,MATCH(A243,'3.員工名單'!$A:$A,0)),""))</f>
        <v/>
      </c>
      <c r="E243" s="120">
        <f t="array" ref="E243:E243">IF(F243="","",IFERROR(INDEX('1.職能辭典'!$A:$A,MATCH(F243,'1.職能辭典'!$C:$C,0)),""))</f>
        <v/>
      </c>
      <c r="F243" s="94" t="n"/>
      <c r="G243" s="120">
        <f t="array" ref="G243:G243">IF(OR(D243="",F243=""),"",IFERROR(IF(AND(OR(INDEX('1.職能辭典'!$J:$J,MATCH(F243,'1.職能辭典'!$C:$C,0))="全部",INDEX('3.員工名單'!$H:$H,MATCH(A243,'3.員工名單'!$A:$A,0))="兩款共用",INDEX('3.員工名單'!$H:$H,MATCH(A243,'3.員工名單'!$A:$A,0))=INDEX('1.職能辭典'!$J:$J,MATCH(F243,'1.職能辭典'!$C:$C,0))),OR(INDEX('1.職能辭典'!$K:$K,MATCH(F243,'1.職能辭典'!$C:$C,0))="全部",SUMPRODUCT(ISNUMBER(SEARCH({"經營","管理","財務","企劃","營運","技術","數據","美術","測試","客服"},INDEX('3.員工名單'!$I:$I,MATCH(A243,'3.員工名單'!$A:$A,0))))*ISNUMBER(SEARCH({"經營","管理","財務","企劃","營運","技術","數據","美術","測試","客服"},INDEX('1.職能辭典'!$K:$K,MATCH(F243,'1.職能辭典'!$C:$C,0)))))&gt;0)),INDEX('2.職務職能需求'!$B$2:$F$28,MATCH(F243,'2.職務職能需求'!$A$2:$A$28,0),MATCH(D243,'2.職務職能需求'!$B$1:$F$1,0)),0),""))</f>
        <v/>
      </c>
      <c r="H243" s="94" t="n"/>
      <c r="I243" s="94" t="n"/>
      <c r="J243" s="120">
        <f>IF(OR(G243="",I243="",G243=0),"",I243-G243)</f>
        <v/>
      </c>
      <c r="K243" s="120">
        <f>IF(G243="","",IF(G243=0,"不適用",IF(I243="","待評核",IF(I243&gt;=G243,IF(I243&gt;G243,"超越","達標"),"待發展"))))</f>
        <v/>
      </c>
      <c r="L243" s="91" t="n"/>
      <c r="M243" s="91" t="n"/>
      <c r="N243" s="88" t="n"/>
    </row>
    <row r="244" ht="15.75" customHeight="1" s="64">
      <c r="A244" s="88" t="n"/>
      <c r="B244" s="120">
        <f t="array" ref="B244:B244">IF(A244="","",IFERROR(INDEX('3.員工名單'!$B:$B,MATCH(A244,'3.員工名單'!$A:$A,0)),"查無此員工"))</f>
        <v/>
      </c>
      <c r="C244" s="120">
        <f t="array" ref="C244:C244">IF(A244="","",IFERROR(INDEX('3.員工名單'!$C:$C,MATCH(A244,'3.員工名單'!$A:$A,0)),""))</f>
        <v/>
      </c>
      <c r="D244" s="120">
        <f t="array" ref="D244:D244">IF(A244="","",IFERROR(INDEX('3.員工名單'!$D:$D,MATCH(A244,'3.員工名單'!$A:$A,0)),""))</f>
        <v/>
      </c>
      <c r="E244" s="120">
        <f t="array" ref="E244:E244">IF(F244="","",IFERROR(INDEX('1.職能辭典'!$A:$A,MATCH(F244,'1.職能辭典'!$C:$C,0)),""))</f>
        <v/>
      </c>
      <c r="F244" s="94" t="n"/>
      <c r="G244" s="120">
        <f t="array" ref="G244:G244">IF(OR(D244="",F244=""),"",IFERROR(IF(AND(OR(INDEX('1.職能辭典'!$J:$J,MATCH(F244,'1.職能辭典'!$C:$C,0))="全部",INDEX('3.員工名單'!$H:$H,MATCH(A244,'3.員工名單'!$A:$A,0))="兩款共用",INDEX('3.員工名單'!$H:$H,MATCH(A244,'3.員工名單'!$A:$A,0))=INDEX('1.職能辭典'!$J:$J,MATCH(F244,'1.職能辭典'!$C:$C,0))),OR(INDEX('1.職能辭典'!$K:$K,MATCH(F244,'1.職能辭典'!$C:$C,0))="全部",SUMPRODUCT(ISNUMBER(SEARCH({"經營","管理","財務","企劃","營運","技術","數據","美術","測試","客服"},INDEX('3.員工名單'!$I:$I,MATCH(A244,'3.員工名單'!$A:$A,0))))*ISNUMBER(SEARCH({"經營","管理","財務","企劃","營運","技術","數據","美術","測試","客服"},INDEX('1.職能辭典'!$K:$K,MATCH(F244,'1.職能辭典'!$C:$C,0)))))&gt;0)),INDEX('2.職務職能需求'!$B$2:$F$28,MATCH(F244,'2.職務職能需求'!$A$2:$A$28,0),MATCH(D244,'2.職務職能需求'!$B$1:$F$1,0)),0),""))</f>
        <v/>
      </c>
      <c r="H244" s="94" t="n"/>
      <c r="I244" s="94" t="n"/>
      <c r="J244" s="120">
        <f>IF(OR(G244="",I244="",G244=0),"",I244-G244)</f>
        <v/>
      </c>
      <c r="K244" s="120">
        <f>IF(G244="","",IF(G244=0,"不適用",IF(I244="","待評核",IF(I244&gt;=G244,IF(I244&gt;G244,"超越","達標"),"待發展"))))</f>
        <v/>
      </c>
      <c r="L244" s="91" t="n"/>
      <c r="M244" s="91" t="n"/>
      <c r="N244" s="88" t="n"/>
    </row>
    <row r="245" ht="15.75" customHeight="1" s="64">
      <c r="A245" s="88" t="n"/>
      <c r="B245" s="120">
        <f t="array" ref="B245:B245">IF(A245="","",IFERROR(INDEX('3.員工名單'!$B:$B,MATCH(A245,'3.員工名單'!$A:$A,0)),"查無此員工"))</f>
        <v/>
      </c>
      <c r="C245" s="120">
        <f t="array" ref="C245:C245">IF(A245="","",IFERROR(INDEX('3.員工名單'!$C:$C,MATCH(A245,'3.員工名單'!$A:$A,0)),""))</f>
        <v/>
      </c>
      <c r="D245" s="120">
        <f t="array" ref="D245:D245">IF(A245="","",IFERROR(INDEX('3.員工名單'!$D:$D,MATCH(A245,'3.員工名單'!$A:$A,0)),""))</f>
        <v/>
      </c>
      <c r="E245" s="120">
        <f t="array" ref="E245:E245">IF(F245="","",IFERROR(INDEX('1.職能辭典'!$A:$A,MATCH(F245,'1.職能辭典'!$C:$C,0)),""))</f>
        <v/>
      </c>
      <c r="F245" s="94" t="n"/>
      <c r="G245" s="120">
        <f t="array" ref="G245:G245">IF(OR(D245="",F245=""),"",IFERROR(IF(AND(OR(INDEX('1.職能辭典'!$J:$J,MATCH(F245,'1.職能辭典'!$C:$C,0))="全部",INDEX('3.員工名單'!$H:$H,MATCH(A245,'3.員工名單'!$A:$A,0))="兩款共用",INDEX('3.員工名單'!$H:$H,MATCH(A245,'3.員工名單'!$A:$A,0))=INDEX('1.職能辭典'!$J:$J,MATCH(F245,'1.職能辭典'!$C:$C,0))),OR(INDEX('1.職能辭典'!$K:$K,MATCH(F245,'1.職能辭典'!$C:$C,0))="全部",SUMPRODUCT(ISNUMBER(SEARCH({"經營","管理","財務","企劃","營運","技術","數據","美術","測試","客服"},INDEX('3.員工名單'!$I:$I,MATCH(A245,'3.員工名單'!$A:$A,0))))*ISNUMBER(SEARCH({"經營","管理","財務","企劃","營運","技術","數據","美術","測試","客服"},INDEX('1.職能辭典'!$K:$K,MATCH(F245,'1.職能辭典'!$C:$C,0)))))&gt;0)),INDEX('2.職務職能需求'!$B$2:$F$28,MATCH(F245,'2.職務職能需求'!$A$2:$A$28,0),MATCH(D245,'2.職務職能需求'!$B$1:$F$1,0)),0),""))</f>
        <v/>
      </c>
      <c r="H245" s="94" t="n"/>
      <c r="I245" s="94" t="n"/>
      <c r="J245" s="120">
        <f>IF(OR(G245="",I245="",G245=0),"",I245-G245)</f>
        <v/>
      </c>
      <c r="K245" s="120">
        <f>IF(G245="","",IF(G245=0,"不適用",IF(I245="","待評核",IF(I245&gt;=G245,IF(I245&gt;G245,"超越","達標"),"待發展"))))</f>
        <v/>
      </c>
      <c r="L245" s="91" t="n"/>
      <c r="M245" s="91" t="n"/>
      <c r="N245" s="88" t="n"/>
    </row>
    <row r="246" ht="15.75" customHeight="1" s="64">
      <c r="A246" s="88" t="n"/>
      <c r="B246" s="120">
        <f t="array" ref="B246:B246">IF(A246="","",IFERROR(INDEX('3.員工名單'!$B:$B,MATCH(A246,'3.員工名單'!$A:$A,0)),"查無此員工"))</f>
        <v/>
      </c>
      <c r="C246" s="120">
        <f t="array" ref="C246:C246">IF(A246="","",IFERROR(INDEX('3.員工名單'!$C:$C,MATCH(A246,'3.員工名單'!$A:$A,0)),""))</f>
        <v/>
      </c>
      <c r="D246" s="120">
        <f t="array" ref="D246:D246">IF(A246="","",IFERROR(INDEX('3.員工名單'!$D:$D,MATCH(A246,'3.員工名單'!$A:$A,0)),""))</f>
        <v/>
      </c>
      <c r="E246" s="120">
        <f t="array" ref="E246:E246">IF(F246="","",IFERROR(INDEX('1.職能辭典'!$A:$A,MATCH(F246,'1.職能辭典'!$C:$C,0)),""))</f>
        <v/>
      </c>
      <c r="F246" s="94" t="n"/>
      <c r="G246" s="120">
        <f t="array" ref="G246:G246">IF(OR(D246="",F246=""),"",IFERROR(IF(AND(OR(INDEX('1.職能辭典'!$J:$J,MATCH(F246,'1.職能辭典'!$C:$C,0))="全部",INDEX('3.員工名單'!$H:$H,MATCH(A246,'3.員工名單'!$A:$A,0))="兩款共用",INDEX('3.員工名單'!$H:$H,MATCH(A246,'3.員工名單'!$A:$A,0))=INDEX('1.職能辭典'!$J:$J,MATCH(F246,'1.職能辭典'!$C:$C,0))),OR(INDEX('1.職能辭典'!$K:$K,MATCH(F246,'1.職能辭典'!$C:$C,0))="全部",SUMPRODUCT(ISNUMBER(SEARCH({"經營","管理","財務","企劃","營運","技術","數據","美術","測試","客服"},INDEX('3.員工名單'!$I:$I,MATCH(A246,'3.員工名單'!$A:$A,0))))*ISNUMBER(SEARCH({"經營","管理","財務","企劃","營運","技術","數據","美術","測試","客服"},INDEX('1.職能辭典'!$K:$K,MATCH(F246,'1.職能辭典'!$C:$C,0)))))&gt;0)),INDEX('2.職務職能需求'!$B$2:$F$28,MATCH(F246,'2.職務職能需求'!$A$2:$A$28,0),MATCH(D246,'2.職務職能需求'!$B$1:$F$1,0)),0),""))</f>
        <v/>
      </c>
      <c r="H246" s="94" t="n"/>
      <c r="I246" s="94" t="n"/>
      <c r="J246" s="120">
        <f>IF(OR(G246="",I246="",G246=0),"",I246-G246)</f>
        <v/>
      </c>
      <c r="K246" s="120">
        <f>IF(G246="","",IF(G246=0,"不適用",IF(I246="","待評核",IF(I246&gt;=G246,IF(I246&gt;G246,"超越","達標"),"待發展"))))</f>
        <v/>
      </c>
      <c r="L246" s="91" t="n"/>
      <c r="M246" s="91" t="n"/>
      <c r="N246" s="88" t="n"/>
    </row>
    <row r="247" ht="15.75" customHeight="1" s="64">
      <c r="A247" s="88" t="n"/>
      <c r="B247" s="120">
        <f t="array" ref="B247:B247">IF(A247="","",IFERROR(INDEX('3.員工名單'!$B:$B,MATCH(A247,'3.員工名單'!$A:$A,0)),"查無此員工"))</f>
        <v/>
      </c>
      <c r="C247" s="120">
        <f t="array" ref="C247:C247">IF(A247="","",IFERROR(INDEX('3.員工名單'!$C:$C,MATCH(A247,'3.員工名單'!$A:$A,0)),""))</f>
        <v/>
      </c>
      <c r="D247" s="120">
        <f t="array" ref="D247:D247">IF(A247="","",IFERROR(INDEX('3.員工名單'!$D:$D,MATCH(A247,'3.員工名單'!$A:$A,0)),""))</f>
        <v/>
      </c>
      <c r="E247" s="120">
        <f t="array" ref="E247:E247">IF(F247="","",IFERROR(INDEX('1.職能辭典'!$A:$A,MATCH(F247,'1.職能辭典'!$C:$C,0)),""))</f>
        <v/>
      </c>
      <c r="F247" s="94" t="n"/>
      <c r="G247" s="120">
        <f t="array" ref="G247:G247">IF(OR(D247="",F247=""),"",IFERROR(IF(AND(OR(INDEX('1.職能辭典'!$J:$J,MATCH(F247,'1.職能辭典'!$C:$C,0))="全部",INDEX('3.員工名單'!$H:$H,MATCH(A247,'3.員工名單'!$A:$A,0))="兩款共用",INDEX('3.員工名單'!$H:$H,MATCH(A247,'3.員工名單'!$A:$A,0))=INDEX('1.職能辭典'!$J:$J,MATCH(F247,'1.職能辭典'!$C:$C,0))),OR(INDEX('1.職能辭典'!$K:$K,MATCH(F247,'1.職能辭典'!$C:$C,0))="全部",SUMPRODUCT(ISNUMBER(SEARCH({"經營","管理","財務","企劃","營運","技術","數據","美術","測試","客服"},INDEX('3.員工名單'!$I:$I,MATCH(A247,'3.員工名單'!$A:$A,0))))*ISNUMBER(SEARCH({"經營","管理","財務","企劃","營運","技術","數據","美術","測試","客服"},INDEX('1.職能辭典'!$K:$K,MATCH(F247,'1.職能辭典'!$C:$C,0)))))&gt;0)),INDEX('2.職務職能需求'!$B$2:$F$28,MATCH(F247,'2.職務職能需求'!$A$2:$A$28,0),MATCH(D247,'2.職務職能需求'!$B$1:$F$1,0)),0),""))</f>
        <v/>
      </c>
      <c r="H247" s="94" t="n"/>
      <c r="I247" s="94" t="n"/>
      <c r="J247" s="120">
        <f>IF(OR(G247="",I247="",G247=0),"",I247-G247)</f>
        <v/>
      </c>
      <c r="K247" s="120">
        <f>IF(G247="","",IF(G247=0,"不適用",IF(I247="","待評核",IF(I247&gt;=G247,IF(I247&gt;G247,"超越","達標"),"待發展"))))</f>
        <v/>
      </c>
      <c r="L247" s="91" t="n"/>
      <c r="M247" s="91" t="n"/>
      <c r="N247" s="88" t="n"/>
    </row>
    <row r="248" ht="15.75" customHeight="1" s="64">
      <c r="A248" s="88" t="n"/>
      <c r="B248" s="120">
        <f t="array" ref="B248:B248">IF(A248="","",IFERROR(INDEX('3.員工名單'!$B:$B,MATCH(A248,'3.員工名單'!$A:$A,0)),"查無此員工"))</f>
        <v/>
      </c>
      <c r="C248" s="120">
        <f t="array" ref="C248:C248">IF(A248="","",IFERROR(INDEX('3.員工名單'!$C:$C,MATCH(A248,'3.員工名單'!$A:$A,0)),""))</f>
        <v/>
      </c>
      <c r="D248" s="120">
        <f t="array" ref="D248:D248">IF(A248="","",IFERROR(INDEX('3.員工名單'!$D:$D,MATCH(A248,'3.員工名單'!$A:$A,0)),""))</f>
        <v/>
      </c>
      <c r="E248" s="120">
        <f t="array" ref="E248:E248">IF(F248="","",IFERROR(INDEX('1.職能辭典'!$A:$A,MATCH(F248,'1.職能辭典'!$C:$C,0)),""))</f>
        <v/>
      </c>
      <c r="F248" s="94" t="n"/>
      <c r="G248" s="120">
        <f t="array" ref="G248:G248">IF(OR(D248="",F248=""),"",IFERROR(IF(AND(OR(INDEX('1.職能辭典'!$J:$J,MATCH(F248,'1.職能辭典'!$C:$C,0))="全部",INDEX('3.員工名單'!$H:$H,MATCH(A248,'3.員工名單'!$A:$A,0))="兩款共用",INDEX('3.員工名單'!$H:$H,MATCH(A248,'3.員工名單'!$A:$A,0))=INDEX('1.職能辭典'!$J:$J,MATCH(F248,'1.職能辭典'!$C:$C,0))),OR(INDEX('1.職能辭典'!$K:$K,MATCH(F248,'1.職能辭典'!$C:$C,0))="全部",SUMPRODUCT(ISNUMBER(SEARCH({"經營","管理","財務","企劃","營運","技術","數據","美術","測試","客服"},INDEX('3.員工名單'!$I:$I,MATCH(A248,'3.員工名單'!$A:$A,0))))*ISNUMBER(SEARCH({"經營","管理","財務","企劃","營運","技術","數據","美術","測試","客服"},INDEX('1.職能辭典'!$K:$K,MATCH(F248,'1.職能辭典'!$C:$C,0)))))&gt;0)),INDEX('2.職務職能需求'!$B$2:$F$28,MATCH(F248,'2.職務職能需求'!$A$2:$A$28,0),MATCH(D248,'2.職務職能需求'!$B$1:$F$1,0)),0),""))</f>
        <v/>
      </c>
      <c r="H248" s="94" t="n"/>
      <c r="I248" s="94" t="n"/>
      <c r="J248" s="120">
        <f>IF(OR(G248="",I248="",G248=0),"",I248-G248)</f>
        <v/>
      </c>
      <c r="K248" s="120">
        <f>IF(G248="","",IF(G248=0,"不適用",IF(I248="","待評核",IF(I248&gt;=G248,IF(I248&gt;G248,"超越","達標"),"待發展"))))</f>
        <v/>
      </c>
      <c r="L248" s="91" t="n"/>
      <c r="M248" s="91" t="n"/>
      <c r="N248" s="88" t="n"/>
    </row>
    <row r="249" ht="15.75" customHeight="1" s="64">
      <c r="A249" s="88" t="n"/>
      <c r="B249" s="120">
        <f t="array" ref="B249:B249">IF(A249="","",IFERROR(INDEX('3.員工名單'!$B:$B,MATCH(A249,'3.員工名單'!$A:$A,0)),"查無此員工"))</f>
        <v/>
      </c>
      <c r="C249" s="120">
        <f t="array" ref="C249:C249">IF(A249="","",IFERROR(INDEX('3.員工名單'!$C:$C,MATCH(A249,'3.員工名單'!$A:$A,0)),""))</f>
        <v/>
      </c>
      <c r="D249" s="120">
        <f t="array" ref="D249:D249">IF(A249="","",IFERROR(INDEX('3.員工名單'!$D:$D,MATCH(A249,'3.員工名單'!$A:$A,0)),""))</f>
        <v/>
      </c>
      <c r="E249" s="120">
        <f t="array" ref="E249:E249">IF(F249="","",IFERROR(INDEX('1.職能辭典'!$A:$A,MATCH(F249,'1.職能辭典'!$C:$C,0)),""))</f>
        <v/>
      </c>
      <c r="F249" s="94" t="n"/>
      <c r="G249" s="120">
        <f t="array" ref="G249:G249">IF(OR(D249="",F249=""),"",IFERROR(IF(AND(OR(INDEX('1.職能辭典'!$J:$J,MATCH(F249,'1.職能辭典'!$C:$C,0))="全部",INDEX('3.員工名單'!$H:$H,MATCH(A249,'3.員工名單'!$A:$A,0))="兩款共用",INDEX('3.員工名單'!$H:$H,MATCH(A249,'3.員工名單'!$A:$A,0))=INDEX('1.職能辭典'!$J:$J,MATCH(F249,'1.職能辭典'!$C:$C,0))),OR(INDEX('1.職能辭典'!$K:$K,MATCH(F249,'1.職能辭典'!$C:$C,0))="全部",SUMPRODUCT(ISNUMBER(SEARCH({"經營","管理","財務","企劃","營運","技術","數據","美術","測試","客服"},INDEX('3.員工名單'!$I:$I,MATCH(A249,'3.員工名單'!$A:$A,0))))*ISNUMBER(SEARCH({"經營","管理","財務","企劃","營運","技術","數據","美術","測試","客服"},INDEX('1.職能辭典'!$K:$K,MATCH(F249,'1.職能辭典'!$C:$C,0)))))&gt;0)),INDEX('2.職務職能需求'!$B$2:$F$28,MATCH(F249,'2.職務職能需求'!$A$2:$A$28,0),MATCH(D249,'2.職務職能需求'!$B$1:$F$1,0)),0),""))</f>
        <v/>
      </c>
      <c r="H249" s="94" t="n"/>
      <c r="I249" s="94" t="n"/>
      <c r="J249" s="120">
        <f>IF(OR(G249="",I249="",G249=0),"",I249-G249)</f>
        <v/>
      </c>
      <c r="K249" s="120">
        <f>IF(G249="","",IF(G249=0,"不適用",IF(I249="","待評核",IF(I249&gt;=G249,IF(I249&gt;G249,"超越","達標"),"待發展"))))</f>
        <v/>
      </c>
      <c r="L249" s="91" t="n"/>
      <c r="M249" s="91" t="n"/>
      <c r="N249" s="88" t="n"/>
    </row>
    <row r="250" ht="15.75" customHeight="1" s="64">
      <c r="A250" s="88" t="n"/>
      <c r="B250" s="120">
        <f t="array" ref="B250:B250">IF(A250="","",IFERROR(INDEX('3.員工名單'!$B:$B,MATCH(A250,'3.員工名單'!$A:$A,0)),"查無此員工"))</f>
        <v/>
      </c>
      <c r="C250" s="120">
        <f t="array" ref="C250:C250">IF(A250="","",IFERROR(INDEX('3.員工名單'!$C:$C,MATCH(A250,'3.員工名單'!$A:$A,0)),""))</f>
        <v/>
      </c>
      <c r="D250" s="120">
        <f t="array" ref="D250:D250">IF(A250="","",IFERROR(INDEX('3.員工名單'!$D:$D,MATCH(A250,'3.員工名單'!$A:$A,0)),""))</f>
        <v/>
      </c>
      <c r="E250" s="120">
        <f t="array" ref="E250:E250">IF(F250="","",IFERROR(INDEX('1.職能辭典'!$A:$A,MATCH(F250,'1.職能辭典'!$C:$C,0)),""))</f>
        <v/>
      </c>
      <c r="F250" s="94" t="n"/>
      <c r="G250" s="120">
        <f t="array" ref="G250:G250">IF(OR(D250="",F250=""),"",IFERROR(IF(AND(OR(INDEX('1.職能辭典'!$J:$J,MATCH(F250,'1.職能辭典'!$C:$C,0))="全部",INDEX('3.員工名單'!$H:$H,MATCH(A250,'3.員工名單'!$A:$A,0))="兩款共用",INDEX('3.員工名單'!$H:$H,MATCH(A250,'3.員工名單'!$A:$A,0))=INDEX('1.職能辭典'!$J:$J,MATCH(F250,'1.職能辭典'!$C:$C,0))),OR(INDEX('1.職能辭典'!$K:$K,MATCH(F250,'1.職能辭典'!$C:$C,0))="全部",SUMPRODUCT(ISNUMBER(SEARCH({"經營","管理","財務","企劃","營運","技術","數據","美術","測試","客服"},INDEX('3.員工名單'!$I:$I,MATCH(A250,'3.員工名單'!$A:$A,0))))*ISNUMBER(SEARCH({"經營","管理","財務","企劃","營運","技術","數據","美術","測試","客服"},INDEX('1.職能辭典'!$K:$K,MATCH(F250,'1.職能辭典'!$C:$C,0)))))&gt;0)),INDEX('2.職務職能需求'!$B$2:$F$28,MATCH(F250,'2.職務職能需求'!$A$2:$A$28,0),MATCH(D250,'2.職務職能需求'!$B$1:$F$1,0)),0),""))</f>
        <v/>
      </c>
      <c r="H250" s="94" t="n"/>
      <c r="I250" s="94" t="n"/>
      <c r="J250" s="120">
        <f>IF(OR(G250="",I250="",G250=0),"",I250-G250)</f>
        <v/>
      </c>
      <c r="K250" s="120">
        <f>IF(G250="","",IF(G250=0,"不適用",IF(I250="","待評核",IF(I250&gt;=G250,IF(I250&gt;G250,"超越","達標"),"待發展"))))</f>
        <v/>
      </c>
      <c r="L250" s="91" t="n"/>
      <c r="M250" s="91" t="n"/>
      <c r="N250" s="88" t="n"/>
    </row>
    <row r="251" ht="15.75" customHeight="1" s="64">
      <c r="A251" s="88" t="n"/>
      <c r="B251" s="120">
        <f t="array" ref="B251:B251">IF(A251="","",IFERROR(INDEX('3.員工名單'!$B:$B,MATCH(A251,'3.員工名單'!$A:$A,0)),"查無此員工"))</f>
        <v/>
      </c>
      <c r="C251" s="120">
        <f t="array" ref="C251:C251">IF(A251="","",IFERROR(INDEX('3.員工名單'!$C:$C,MATCH(A251,'3.員工名單'!$A:$A,0)),""))</f>
        <v/>
      </c>
      <c r="D251" s="120">
        <f t="array" ref="D251:D251">IF(A251="","",IFERROR(INDEX('3.員工名單'!$D:$D,MATCH(A251,'3.員工名單'!$A:$A,0)),""))</f>
        <v/>
      </c>
      <c r="E251" s="120">
        <f t="array" ref="E251:E251">IF(F251="","",IFERROR(INDEX('1.職能辭典'!$A:$A,MATCH(F251,'1.職能辭典'!$C:$C,0)),""))</f>
        <v/>
      </c>
      <c r="F251" s="94" t="n"/>
      <c r="G251" s="120">
        <f t="array" ref="G251:G251">IF(OR(D251="",F251=""),"",IFERROR(IF(AND(OR(INDEX('1.職能辭典'!$J:$J,MATCH(F251,'1.職能辭典'!$C:$C,0))="全部",INDEX('3.員工名單'!$H:$H,MATCH(A251,'3.員工名單'!$A:$A,0))="兩款共用",INDEX('3.員工名單'!$H:$H,MATCH(A251,'3.員工名單'!$A:$A,0))=INDEX('1.職能辭典'!$J:$J,MATCH(F251,'1.職能辭典'!$C:$C,0))),OR(INDEX('1.職能辭典'!$K:$K,MATCH(F251,'1.職能辭典'!$C:$C,0))="全部",SUMPRODUCT(ISNUMBER(SEARCH({"經營","管理","財務","企劃","營運","技術","數據","美術","測試","客服"},INDEX('3.員工名單'!$I:$I,MATCH(A251,'3.員工名單'!$A:$A,0))))*ISNUMBER(SEARCH({"經營","管理","財務","企劃","營運","技術","數據","美術","測試","客服"},INDEX('1.職能辭典'!$K:$K,MATCH(F251,'1.職能辭典'!$C:$C,0)))))&gt;0)),INDEX('2.職務職能需求'!$B$2:$F$28,MATCH(F251,'2.職務職能需求'!$A$2:$A$28,0),MATCH(D251,'2.職務職能需求'!$B$1:$F$1,0)),0),""))</f>
        <v/>
      </c>
      <c r="H251" s="94" t="n"/>
      <c r="I251" s="94" t="n"/>
      <c r="J251" s="120">
        <f>IF(OR(G251="",I251="",G251=0),"",I251-G251)</f>
        <v/>
      </c>
      <c r="K251" s="120">
        <f>IF(G251="","",IF(G251=0,"不適用",IF(I251="","待評核",IF(I251&gt;=G251,IF(I251&gt;G251,"超越","達標"),"待發展"))))</f>
        <v/>
      </c>
      <c r="L251" s="91" t="n"/>
      <c r="M251" s="91" t="n"/>
      <c r="N251" s="88" t="n"/>
    </row>
    <row r="252" ht="15.75" customHeight="1" s="64">
      <c r="A252" s="88" t="n"/>
      <c r="B252" s="120">
        <f t="array" ref="B252:B252">IF(A252="","",IFERROR(INDEX('3.員工名單'!$B:$B,MATCH(A252,'3.員工名單'!$A:$A,0)),"查無此員工"))</f>
        <v/>
      </c>
      <c r="C252" s="120">
        <f t="array" ref="C252:C252">IF(A252="","",IFERROR(INDEX('3.員工名單'!$C:$C,MATCH(A252,'3.員工名單'!$A:$A,0)),""))</f>
        <v/>
      </c>
      <c r="D252" s="120">
        <f t="array" ref="D252:D252">IF(A252="","",IFERROR(INDEX('3.員工名單'!$D:$D,MATCH(A252,'3.員工名單'!$A:$A,0)),""))</f>
        <v/>
      </c>
      <c r="E252" s="120">
        <f t="array" ref="E252:E252">IF(F252="","",IFERROR(INDEX('1.職能辭典'!$A:$A,MATCH(F252,'1.職能辭典'!$C:$C,0)),""))</f>
        <v/>
      </c>
      <c r="F252" s="94" t="n"/>
      <c r="G252" s="120">
        <f t="array" ref="G252:G252">IF(OR(D252="",F252=""),"",IFERROR(IF(AND(OR(INDEX('1.職能辭典'!$J:$J,MATCH(F252,'1.職能辭典'!$C:$C,0))="全部",INDEX('3.員工名單'!$H:$H,MATCH(A252,'3.員工名單'!$A:$A,0))="兩款共用",INDEX('3.員工名單'!$H:$H,MATCH(A252,'3.員工名單'!$A:$A,0))=INDEX('1.職能辭典'!$J:$J,MATCH(F252,'1.職能辭典'!$C:$C,0))),OR(INDEX('1.職能辭典'!$K:$K,MATCH(F252,'1.職能辭典'!$C:$C,0))="全部",SUMPRODUCT(ISNUMBER(SEARCH({"經營","管理","財務","企劃","營運","技術","數據","美術","測試","客服"},INDEX('3.員工名單'!$I:$I,MATCH(A252,'3.員工名單'!$A:$A,0))))*ISNUMBER(SEARCH({"經營","管理","財務","企劃","營運","技術","數據","美術","測試","客服"},INDEX('1.職能辭典'!$K:$K,MATCH(F252,'1.職能辭典'!$C:$C,0)))))&gt;0)),INDEX('2.職務職能需求'!$B$2:$F$28,MATCH(F252,'2.職務職能需求'!$A$2:$A$28,0),MATCH(D252,'2.職務職能需求'!$B$1:$F$1,0)),0),""))</f>
        <v/>
      </c>
      <c r="H252" s="94" t="n"/>
      <c r="I252" s="94" t="n"/>
      <c r="J252" s="120">
        <f>IF(OR(G252="",I252="",G252=0),"",I252-G252)</f>
        <v/>
      </c>
      <c r="K252" s="120">
        <f>IF(G252="","",IF(G252=0,"不適用",IF(I252="","待評核",IF(I252&gt;=G252,IF(I252&gt;G252,"超越","達標"),"待發展"))))</f>
        <v/>
      </c>
      <c r="L252" s="91" t="n"/>
      <c r="M252" s="91" t="n"/>
      <c r="N252" s="88" t="n"/>
    </row>
    <row r="253" ht="15.75" customHeight="1" s="64">
      <c r="A253" s="88" t="n"/>
      <c r="B253" s="120">
        <f t="array" ref="B253:B253">IF(A253="","",IFERROR(INDEX('3.員工名單'!$B:$B,MATCH(A253,'3.員工名單'!$A:$A,0)),"查無此員工"))</f>
        <v/>
      </c>
      <c r="C253" s="120">
        <f t="array" ref="C253:C253">IF(A253="","",IFERROR(INDEX('3.員工名單'!$C:$C,MATCH(A253,'3.員工名單'!$A:$A,0)),""))</f>
        <v/>
      </c>
      <c r="D253" s="120">
        <f t="array" ref="D253:D253">IF(A253="","",IFERROR(INDEX('3.員工名單'!$D:$D,MATCH(A253,'3.員工名單'!$A:$A,0)),""))</f>
        <v/>
      </c>
      <c r="E253" s="120">
        <f t="array" ref="E253:E253">IF(F253="","",IFERROR(INDEX('1.職能辭典'!$A:$A,MATCH(F253,'1.職能辭典'!$C:$C,0)),""))</f>
        <v/>
      </c>
      <c r="F253" s="94" t="n"/>
      <c r="G253" s="120">
        <f t="array" ref="G253:G253">IF(OR(D253="",F253=""),"",IFERROR(IF(AND(OR(INDEX('1.職能辭典'!$J:$J,MATCH(F253,'1.職能辭典'!$C:$C,0))="全部",INDEX('3.員工名單'!$H:$H,MATCH(A253,'3.員工名單'!$A:$A,0))="兩款共用",INDEX('3.員工名單'!$H:$H,MATCH(A253,'3.員工名單'!$A:$A,0))=INDEX('1.職能辭典'!$J:$J,MATCH(F253,'1.職能辭典'!$C:$C,0))),OR(INDEX('1.職能辭典'!$K:$K,MATCH(F253,'1.職能辭典'!$C:$C,0))="全部",SUMPRODUCT(ISNUMBER(SEARCH({"經營","管理","財務","企劃","營運","技術","數據","美術","測試","客服"},INDEX('3.員工名單'!$I:$I,MATCH(A253,'3.員工名單'!$A:$A,0))))*ISNUMBER(SEARCH({"經營","管理","財務","企劃","營運","技術","數據","美術","測試","客服"},INDEX('1.職能辭典'!$K:$K,MATCH(F253,'1.職能辭典'!$C:$C,0)))))&gt;0)),INDEX('2.職務職能需求'!$B$2:$F$28,MATCH(F253,'2.職務職能需求'!$A$2:$A$28,0),MATCH(D253,'2.職務職能需求'!$B$1:$F$1,0)),0),""))</f>
        <v/>
      </c>
      <c r="H253" s="94" t="n"/>
      <c r="I253" s="94" t="n"/>
      <c r="J253" s="120">
        <f>IF(OR(G253="",I253="",G253=0),"",I253-G253)</f>
        <v/>
      </c>
      <c r="K253" s="120">
        <f>IF(G253="","",IF(G253=0,"不適用",IF(I253="","待評核",IF(I253&gt;=G253,IF(I253&gt;G253,"超越","達標"),"待發展"))))</f>
        <v/>
      </c>
      <c r="L253" s="91" t="n"/>
      <c r="M253" s="91" t="n"/>
      <c r="N253" s="88" t="n"/>
    </row>
    <row r="254" ht="15.75" customHeight="1" s="64">
      <c r="A254" s="88" t="n"/>
      <c r="B254" s="120">
        <f t="array" ref="B254:B254">IF(A254="","",IFERROR(INDEX('3.員工名單'!$B:$B,MATCH(A254,'3.員工名單'!$A:$A,0)),"查無此員工"))</f>
        <v/>
      </c>
      <c r="C254" s="120">
        <f t="array" ref="C254:C254">IF(A254="","",IFERROR(INDEX('3.員工名單'!$C:$C,MATCH(A254,'3.員工名單'!$A:$A,0)),""))</f>
        <v/>
      </c>
      <c r="D254" s="120">
        <f t="array" ref="D254:D254">IF(A254="","",IFERROR(INDEX('3.員工名單'!$D:$D,MATCH(A254,'3.員工名單'!$A:$A,0)),""))</f>
        <v/>
      </c>
      <c r="E254" s="120">
        <f t="array" ref="E254:E254">IF(F254="","",IFERROR(INDEX('1.職能辭典'!$A:$A,MATCH(F254,'1.職能辭典'!$C:$C,0)),""))</f>
        <v/>
      </c>
      <c r="F254" s="94" t="n"/>
      <c r="G254" s="120">
        <f t="array" ref="G254:G254">IF(OR(D254="",F254=""),"",IFERROR(IF(AND(OR(INDEX('1.職能辭典'!$J:$J,MATCH(F254,'1.職能辭典'!$C:$C,0))="全部",INDEX('3.員工名單'!$H:$H,MATCH(A254,'3.員工名單'!$A:$A,0))="兩款共用",INDEX('3.員工名單'!$H:$H,MATCH(A254,'3.員工名單'!$A:$A,0))=INDEX('1.職能辭典'!$J:$J,MATCH(F254,'1.職能辭典'!$C:$C,0))),OR(INDEX('1.職能辭典'!$K:$K,MATCH(F254,'1.職能辭典'!$C:$C,0))="全部",SUMPRODUCT(ISNUMBER(SEARCH({"經營","管理","財務","企劃","營運","技術","數據","美術","測試","客服"},INDEX('3.員工名單'!$I:$I,MATCH(A254,'3.員工名單'!$A:$A,0))))*ISNUMBER(SEARCH({"經營","管理","財務","企劃","營運","技術","數據","美術","測試","客服"},INDEX('1.職能辭典'!$K:$K,MATCH(F254,'1.職能辭典'!$C:$C,0)))))&gt;0)),INDEX('2.職務職能需求'!$B$2:$F$28,MATCH(F254,'2.職務職能需求'!$A$2:$A$28,0),MATCH(D254,'2.職務職能需求'!$B$1:$F$1,0)),0),""))</f>
        <v/>
      </c>
      <c r="H254" s="94" t="n"/>
      <c r="I254" s="94" t="n"/>
      <c r="J254" s="120">
        <f>IF(OR(G254="",I254="",G254=0),"",I254-G254)</f>
        <v/>
      </c>
      <c r="K254" s="120">
        <f>IF(G254="","",IF(G254=0,"不適用",IF(I254="","待評核",IF(I254&gt;=G254,IF(I254&gt;G254,"超越","達標"),"待發展"))))</f>
        <v/>
      </c>
      <c r="L254" s="91" t="n"/>
      <c r="M254" s="91" t="n"/>
      <c r="N254" s="88" t="n"/>
    </row>
    <row r="255" ht="15.75" customHeight="1" s="64">
      <c r="A255" s="88" t="n"/>
      <c r="B255" s="120">
        <f t="array" ref="B255:B255">IF(A255="","",IFERROR(INDEX('3.員工名單'!$B:$B,MATCH(A255,'3.員工名單'!$A:$A,0)),"查無此員工"))</f>
        <v/>
      </c>
      <c r="C255" s="120">
        <f t="array" ref="C255:C255">IF(A255="","",IFERROR(INDEX('3.員工名單'!$C:$C,MATCH(A255,'3.員工名單'!$A:$A,0)),""))</f>
        <v/>
      </c>
      <c r="D255" s="120">
        <f t="array" ref="D255:D255">IF(A255="","",IFERROR(INDEX('3.員工名單'!$D:$D,MATCH(A255,'3.員工名單'!$A:$A,0)),""))</f>
        <v/>
      </c>
      <c r="E255" s="120">
        <f t="array" ref="E255:E255">IF(F255="","",IFERROR(INDEX('1.職能辭典'!$A:$A,MATCH(F255,'1.職能辭典'!$C:$C,0)),""))</f>
        <v/>
      </c>
      <c r="F255" s="94" t="n"/>
      <c r="G255" s="120">
        <f t="array" ref="G255:G255">IF(OR(D255="",F255=""),"",IFERROR(IF(AND(OR(INDEX('1.職能辭典'!$J:$J,MATCH(F255,'1.職能辭典'!$C:$C,0))="全部",INDEX('3.員工名單'!$H:$H,MATCH(A255,'3.員工名單'!$A:$A,0))="兩款共用",INDEX('3.員工名單'!$H:$H,MATCH(A255,'3.員工名單'!$A:$A,0))=INDEX('1.職能辭典'!$J:$J,MATCH(F255,'1.職能辭典'!$C:$C,0))),OR(INDEX('1.職能辭典'!$K:$K,MATCH(F255,'1.職能辭典'!$C:$C,0))="全部",SUMPRODUCT(ISNUMBER(SEARCH({"經營","管理","財務","企劃","營運","技術","數據","美術","測試","客服"},INDEX('3.員工名單'!$I:$I,MATCH(A255,'3.員工名單'!$A:$A,0))))*ISNUMBER(SEARCH({"經營","管理","財務","企劃","營運","技術","數據","美術","測試","客服"},INDEX('1.職能辭典'!$K:$K,MATCH(F255,'1.職能辭典'!$C:$C,0)))))&gt;0)),INDEX('2.職務職能需求'!$B$2:$F$28,MATCH(F255,'2.職務職能需求'!$A$2:$A$28,0),MATCH(D255,'2.職務職能需求'!$B$1:$F$1,0)),0),""))</f>
        <v/>
      </c>
      <c r="H255" s="94" t="n"/>
      <c r="I255" s="94" t="n"/>
      <c r="J255" s="120">
        <f>IF(OR(G255="",I255="",G255=0),"",I255-G255)</f>
        <v/>
      </c>
      <c r="K255" s="120">
        <f>IF(G255="","",IF(G255=0,"不適用",IF(I255="","待評核",IF(I255&gt;=G255,IF(I255&gt;G255,"超越","達標"),"待發展"))))</f>
        <v/>
      </c>
      <c r="L255" s="91" t="n"/>
      <c r="M255" s="91" t="n"/>
      <c r="N255" s="88" t="n"/>
    </row>
    <row r="256" ht="15.75" customHeight="1" s="64">
      <c r="A256" s="88" t="n"/>
      <c r="B256" s="120">
        <f t="array" ref="B256:B256">IF(A256="","",IFERROR(INDEX('3.員工名單'!$B:$B,MATCH(A256,'3.員工名單'!$A:$A,0)),"查無此員工"))</f>
        <v/>
      </c>
      <c r="C256" s="120">
        <f t="array" ref="C256:C256">IF(A256="","",IFERROR(INDEX('3.員工名單'!$C:$C,MATCH(A256,'3.員工名單'!$A:$A,0)),""))</f>
        <v/>
      </c>
      <c r="D256" s="120">
        <f t="array" ref="D256:D256">IF(A256="","",IFERROR(INDEX('3.員工名單'!$D:$D,MATCH(A256,'3.員工名單'!$A:$A,0)),""))</f>
        <v/>
      </c>
      <c r="E256" s="120">
        <f t="array" ref="E256:E256">IF(F256="","",IFERROR(INDEX('1.職能辭典'!$A:$A,MATCH(F256,'1.職能辭典'!$C:$C,0)),""))</f>
        <v/>
      </c>
      <c r="F256" s="94" t="n"/>
      <c r="G256" s="120">
        <f t="array" ref="G256:G256">IF(OR(D256="",F256=""),"",IFERROR(IF(AND(OR(INDEX('1.職能辭典'!$J:$J,MATCH(F256,'1.職能辭典'!$C:$C,0))="全部",INDEX('3.員工名單'!$H:$H,MATCH(A256,'3.員工名單'!$A:$A,0))="兩款共用",INDEX('3.員工名單'!$H:$H,MATCH(A256,'3.員工名單'!$A:$A,0))=INDEX('1.職能辭典'!$J:$J,MATCH(F256,'1.職能辭典'!$C:$C,0))),OR(INDEX('1.職能辭典'!$K:$K,MATCH(F256,'1.職能辭典'!$C:$C,0))="全部",SUMPRODUCT(ISNUMBER(SEARCH({"經營","管理","財務","企劃","營運","技術","數據","美術","測試","客服"},INDEX('3.員工名單'!$I:$I,MATCH(A256,'3.員工名單'!$A:$A,0))))*ISNUMBER(SEARCH({"經營","管理","財務","企劃","營運","技術","數據","美術","測試","客服"},INDEX('1.職能辭典'!$K:$K,MATCH(F256,'1.職能辭典'!$C:$C,0)))))&gt;0)),INDEX('2.職務職能需求'!$B$2:$F$28,MATCH(F256,'2.職務職能需求'!$A$2:$A$28,0),MATCH(D256,'2.職務職能需求'!$B$1:$F$1,0)),0),""))</f>
        <v/>
      </c>
      <c r="H256" s="94" t="n"/>
      <c r="I256" s="94" t="n"/>
      <c r="J256" s="120">
        <f>IF(OR(G256="",I256="",G256=0),"",I256-G256)</f>
        <v/>
      </c>
      <c r="K256" s="120">
        <f>IF(G256="","",IF(G256=0,"不適用",IF(I256="","待評核",IF(I256&gt;=G256,IF(I256&gt;G256,"超越","達標"),"待發展"))))</f>
        <v/>
      </c>
      <c r="L256" s="91" t="n"/>
      <c r="M256" s="91" t="n"/>
      <c r="N256" s="88" t="n"/>
    </row>
    <row r="257" ht="15.75" customHeight="1" s="64">
      <c r="A257" s="88" t="n"/>
      <c r="B257" s="120">
        <f t="array" ref="B257:B257">IF(A257="","",IFERROR(INDEX('3.員工名單'!$B:$B,MATCH(A257,'3.員工名單'!$A:$A,0)),"查無此員工"))</f>
        <v/>
      </c>
      <c r="C257" s="120">
        <f t="array" ref="C257:C257">IF(A257="","",IFERROR(INDEX('3.員工名單'!$C:$C,MATCH(A257,'3.員工名單'!$A:$A,0)),""))</f>
        <v/>
      </c>
      <c r="D257" s="120">
        <f t="array" ref="D257:D257">IF(A257="","",IFERROR(INDEX('3.員工名單'!$D:$D,MATCH(A257,'3.員工名單'!$A:$A,0)),""))</f>
        <v/>
      </c>
      <c r="E257" s="120">
        <f t="array" ref="E257:E257">IF(F257="","",IFERROR(INDEX('1.職能辭典'!$A:$A,MATCH(F257,'1.職能辭典'!$C:$C,0)),""))</f>
        <v/>
      </c>
      <c r="F257" s="94" t="n"/>
      <c r="G257" s="120">
        <f t="array" ref="G257:G257">IF(OR(D257="",F257=""),"",IFERROR(IF(AND(OR(INDEX('1.職能辭典'!$J:$J,MATCH(F257,'1.職能辭典'!$C:$C,0))="全部",INDEX('3.員工名單'!$H:$H,MATCH(A257,'3.員工名單'!$A:$A,0))="兩款共用",INDEX('3.員工名單'!$H:$H,MATCH(A257,'3.員工名單'!$A:$A,0))=INDEX('1.職能辭典'!$J:$J,MATCH(F257,'1.職能辭典'!$C:$C,0))),OR(INDEX('1.職能辭典'!$K:$K,MATCH(F257,'1.職能辭典'!$C:$C,0))="全部",SUMPRODUCT(ISNUMBER(SEARCH({"經營","管理","財務","企劃","營運","技術","數據","美術","測試","客服"},INDEX('3.員工名單'!$I:$I,MATCH(A257,'3.員工名單'!$A:$A,0))))*ISNUMBER(SEARCH({"經營","管理","財務","企劃","營運","技術","數據","美術","測試","客服"},INDEX('1.職能辭典'!$K:$K,MATCH(F257,'1.職能辭典'!$C:$C,0)))))&gt;0)),INDEX('2.職務職能需求'!$B$2:$F$28,MATCH(F257,'2.職務職能需求'!$A$2:$A$28,0),MATCH(D257,'2.職務職能需求'!$B$1:$F$1,0)),0),""))</f>
        <v/>
      </c>
      <c r="H257" s="94" t="n"/>
      <c r="I257" s="94" t="n"/>
      <c r="J257" s="120">
        <f>IF(OR(G257="",I257="",G257=0),"",I257-G257)</f>
        <v/>
      </c>
      <c r="K257" s="120">
        <f>IF(G257="","",IF(G257=0,"不適用",IF(I257="","待評核",IF(I257&gt;=G257,IF(I257&gt;G257,"超越","達標"),"待發展"))))</f>
        <v/>
      </c>
      <c r="L257" s="91" t="n"/>
      <c r="M257" s="91" t="n"/>
      <c r="N257" s="88" t="n"/>
    </row>
    <row r="258" ht="15.75" customHeight="1" s="64">
      <c r="A258" s="88" t="n"/>
      <c r="B258" s="120">
        <f t="array" ref="B258:B258">IF(A258="","",IFERROR(INDEX('3.員工名單'!$B:$B,MATCH(A258,'3.員工名單'!$A:$A,0)),"查無此員工"))</f>
        <v/>
      </c>
      <c r="C258" s="120">
        <f t="array" ref="C258:C258">IF(A258="","",IFERROR(INDEX('3.員工名單'!$C:$C,MATCH(A258,'3.員工名單'!$A:$A,0)),""))</f>
        <v/>
      </c>
      <c r="D258" s="120">
        <f t="array" ref="D258:D258">IF(A258="","",IFERROR(INDEX('3.員工名單'!$D:$D,MATCH(A258,'3.員工名單'!$A:$A,0)),""))</f>
        <v/>
      </c>
      <c r="E258" s="120">
        <f t="array" ref="E258:E258">IF(F258="","",IFERROR(INDEX('1.職能辭典'!$A:$A,MATCH(F258,'1.職能辭典'!$C:$C,0)),""))</f>
        <v/>
      </c>
      <c r="F258" s="94" t="n"/>
      <c r="G258" s="120">
        <f t="array" ref="G258:G258">IF(OR(D258="",F258=""),"",IFERROR(IF(AND(OR(INDEX('1.職能辭典'!$J:$J,MATCH(F258,'1.職能辭典'!$C:$C,0))="全部",INDEX('3.員工名單'!$H:$H,MATCH(A258,'3.員工名單'!$A:$A,0))="兩款共用",INDEX('3.員工名單'!$H:$H,MATCH(A258,'3.員工名單'!$A:$A,0))=INDEX('1.職能辭典'!$J:$J,MATCH(F258,'1.職能辭典'!$C:$C,0))),OR(INDEX('1.職能辭典'!$K:$K,MATCH(F258,'1.職能辭典'!$C:$C,0))="全部",SUMPRODUCT(ISNUMBER(SEARCH({"經營","管理","財務","企劃","營運","技術","數據","美術","測試","客服"},INDEX('3.員工名單'!$I:$I,MATCH(A258,'3.員工名單'!$A:$A,0))))*ISNUMBER(SEARCH({"經營","管理","財務","企劃","營運","技術","數據","美術","測試","客服"},INDEX('1.職能辭典'!$K:$K,MATCH(F258,'1.職能辭典'!$C:$C,0)))))&gt;0)),INDEX('2.職務職能需求'!$B$2:$F$28,MATCH(F258,'2.職務職能需求'!$A$2:$A$28,0),MATCH(D258,'2.職務職能需求'!$B$1:$F$1,0)),0),""))</f>
        <v/>
      </c>
      <c r="H258" s="94" t="n"/>
      <c r="I258" s="94" t="n"/>
      <c r="J258" s="120">
        <f>IF(OR(G258="",I258="",G258=0),"",I258-G258)</f>
        <v/>
      </c>
      <c r="K258" s="120">
        <f>IF(G258="","",IF(G258=0,"不適用",IF(I258="","待評核",IF(I258&gt;=G258,IF(I258&gt;G258,"超越","達標"),"待發展"))))</f>
        <v/>
      </c>
      <c r="L258" s="91" t="n"/>
      <c r="M258" s="91" t="n"/>
      <c r="N258" s="88" t="n"/>
    </row>
    <row r="259" ht="15.75" customHeight="1" s="64">
      <c r="A259" s="88" t="n"/>
      <c r="B259" s="120">
        <f t="array" ref="B259:B259">IF(A259="","",IFERROR(INDEX('3.員工名單'!$B:$B,MATCH(A259,'3.員工名單'!$A:$A,0)),"查無此員工"))</f>
        <v/>
      </c>
      <c r="C259" s="120">
        <f t="array" ref="C259:C259">IF(A259="","",IFERROR(INDEX('3.員工名單'!$C:$C,MATCH(A259,'3.員工名單'!$A:$A,0)),""))</f>
        <v/>
      </c>
      <c r="D259" s="120">
        <f t="array" ref="D259:D259">IF(A259="","",IFERROR(INDEX('3.員工名單'!$D:$D,MATCH(A259,'3.員工名單'!$A:$A,0)),""))</f>
        <v/>
      </c>
      <c r="E259" s="120">
        <f t="array" ref="E259:E259">IF(F259="","",IFERROR(INDEX('1.職能辭典'!$A:$A,MATCH(F259,'1.職能辭典'!$C:$C,0)),""))</f>
        <v/>
      </c>
      <c r="F259" s="94" t="n"/>
      <c r="G259" s="120">
        <f t="array" ref="G259:G259">IF(OR(D259="",F259=""),"",IFERROR(IF(AND(OR(INDEX('1.職能辭典'!$J:$J,MATCH(F259,'1.職能辭典'!$C:$C,0))="全部",INDEX('3.員工名單'!$H:$H,MATCH(A259,'3.員工名單'!$A:$A,0))="兩款共用",INDEX('3.員工名單'!$H:$H,MATCH(A259,'3.員工名單'!$A:$A,0))=INDEX('1.職能辭典'!$J:$J,MATCH(F259,'1.職能辭典'!$C:$C,0))),OR(INDEX('1.職能辭典'!$K:$K,MATCH(F259,'1.職能辭典'!$C:$C,0))="全部",SUMPRODUCT(ISNUMBER(SEARCH({"經營","管理","財務","企劃","營運","技術","數據","美術","測試","客服"},INDEX('3.員工名單'!$I:$I,MATCH(A259,'3.員工名單'!$A:$A,0))))*ISNUMBER(SEARCH({"經營","管理","財務","企劃","營運","技術","數據","美術","測試","客服"},INDEX('1.職能辭典'!$K:$K,MATCH(F259,'1.職能辭典'!$C:$C,0)))))&gt;0)),INDEX('2.職務職能需求'!$B$2:$F$28,MATCH(F259,'2.職務職能需求'!$A$2:$A$28,0),MATCH(D259,'2.職務職能需求'!$B$1:$F$1,0)),0),""))</f>
        <v/>
      </c>
      <c r="H259" s="94" t="n"/>
      <c r="I259" s="94" t="n"/>
      <c r="J259" s="120">
        <f>IF(OR(G259="",I259="",G259=0),"",I259-G259)</f>
        <v/>
      </c>
      <c r="K259" s="120">
        <f>IF(G259="","",IF(G259=0,"不適用",IF(I259="","待評核",IF(I259&gt;=G259,IF(I259&gt;G259,"超越","達標"),"待發展"))))</f>
        <v/>
      </c>
      <c r="L259" s="91" t="n"/>
      <c r="M259" s="91" t="n"/>
      <c r="N259" s="88" t="n"/>
    </row>
    <row r="260" ht="15.75" customHeight="1" s="64">
      <c r="A260" s="88" t="n"/>
      <c r="B260" s="120">
        <f t="array" ref="B260:B260">IF(A260="","",IFERROR(INDEX('3.員工名單'!$B:$B,MATCH(A260,'3.員工名單'!$A:$A,0)),"查無此員工"))</f>
        <v/>
      </c>
      <c r="C260" s="120">
        <f t="array" ref="C260:C260">IF(A260="","",IFERROR(INDEX('3.員工名單'!$C:$C,MATCH(A260,'3.員工名單'!$A:$A,0)),""))</f>
        <v/>
      </c>
      <c r="D260" s="120">
        <f t="array" ref="D260:D260">IF(A260="","",IFERROR(INDEX('3.員工名單'!$D:$D,MATCH(A260,'3.員工名單'!$A:$A,0)),""))</f>
        <v/>
      </c>
      <c r="E260" s="120">
        <f t="array" ref="E260:E260">IF(F260="","",IFERROR(INDEX('1.職能辭典'!$A:$A,MATCH(F260,'1.職能辭典'!$C:$C,0)),""))</f>
        <v/>
      </c>
      <c r="F260" s="94" t="n"/>
      <c r="G260" s="120">
        <f t="array" ref="G260:G260">IF(OR(D260="",F260=""),"",IFERROR(IF(AND(OR(INDEX('1.職能辭典'!$J:$J,MATCH(F260,'1.職能辭典'!$C:$C,0))="全部",INDEX('3.員工名單'!$H:$H,MATCH(A260,'3.員工名單'!$A:$A,0))="兩款共用",INDEX('3.員工名單'!$H:$H,MATCH(A260,'3.員工名單'!$A:$A,0))=INDEX('1.職能辭典'!$J:$J,MATCH(F260,'1.職能辭典'!$C:$C,0))),OR(INDEX('1.職能辭典'!$K:$K,MATCH(F260,'1.職能辭典'!$C:$C,0))="全部",SUMPRODUCT(ISNUMBER(SEARCH({"經營","管理","財務","企劃","營運","技術","數據","美術","測試","客服"},INDEX('3.員工名單'!$I:$I,MATCH(A260,'3.員工名單'!$A:$A,0))))*ISNUMBER(SEARCH({"經營","管理","財務","企劃","營運","技術","數據","美術","測試","客服"},INDEX('1.職能辭典'!$K:$K,MATCH(F260,'1.職能辭典'!$C:$C,0)))))&gt;0)),INDEX('2.職務職能需求'!$B$2:$F$28,MATCH(F260,'2.職務職能需求'!$A$2:$A$28,0),MATCH(D260,'2.職務職能需求'!$B$1:$F$1,0)),0),""))</f>
        <v/>
      </c>
      <c r="H260" s="94" t="n"/>
      <c r="I260" s="94" t="n"/>
      <c r="J260" s="120">
        <f>IF(OR(G260="",I260="",G260=0),"",I260-G260)</f>
        <v/>
      </c>
      <c r="K260" s="120">
        <f>IF(G260="","",IF(G260=0,"不適用",IF(I260="","待評核",IF(I260&gt;=G260,IF(I260&gt;G260,"超越","達標"),"待發展"))))</f>
        <v/>
      </c>
      <c r="L260" s="91" t="n"/>
      <c r="M260" s="91" t="n"/>
      <c r="N260" s="88" t="n"/>
    </row>
    <row r="261" ht="15.75" customHeight="1" s="64">
      <c r="A261" s="88" t="n"/>
      <c r="B261" s="120">
        <f t="array" ref="B261:B261">IF(A261="","",IFERROR(INDEX('3.員工名單'!$B:$B,MATCH(A261,'3.員工名單'!$A:$A,0)),"查無此員工"))</f>
        <v/>
      </c>
      <c r="C261" s="120">
        <f t="array" ref="C261:C261">IF(A261="","",IFERROR(INDEX('3.員工名單'!$C:$C,MATCH(A261,'3.員工名單'!$A:$A,0)),""))</f>
        <v/>
      </c>
      <c r="D261" s="120">
        <f t="array" ref="D261:D261">IF(A261="","",IFERROR(INDEX('3.員工名單'!$D:$D,MATCH(A261,'3.員工名單'!$A:$A,0)),""))</f>
        <v/>
      </c>
      <c r="E261" s="120">
        <f t="array" ref="E261:E261">IF(F261="","",IFERROR(INDEX('1.職能辭典'!$A:$A,MATCH(F261,'1.職能辭典'!$C:$C,0)),""))</f>
        <v/>
      </c>
      <c r="F261" s="94" t="n"/>
      <c r="G261" s="120">
        <f t="array" ref="G261:G261">IF(OR(D261="",F261=""),"",IFERROR(IF(AND(OR(INDEX('1.職能辭典'!$J:$J,MATCH(F261,'1.職能辭典'!$C:$C,0))="全部",INDEX('3.員工名單'!$H:$H,MATCH(A261,'3.員工名單'!$A:$A,0))="兩款共用",INDEX('3.員工名單'!$H:$H,MATCH(A261,'3.員工名單'!$A:$A,0))=INDEX('1.職能辭典'!$J:$J,MATCH(F261,'1.職能辭典'!$C:$C,0))),OR(INDEX('1.職能辭典'!$K:$K,MATCH(F261,'1.職能辭典'!$C:$C,0))="全部",SUMPRODUCT(ISNUMBER(SEARCH({"經營","管理","財務","企劃","營運","技術","數據","美術","測試","客服"},INDEX('3.員工名單'!$I:$I,MATCH(A261,'3.員工名單'!$A:$A,0))))*ISNUMBER(SEARCH({"經營","管理","財務","企劃","營運","技術","數據","美術","測試","客服"},INDEX('1.職能辭典'!$K:$K,MATCH(F261,'1.職能辭典'!$C:$C,0)))))&gt;0)),INDEX('2.職務職能需求'!$B$2:$F$28,MATCH(F261,'2.職務職能需求'!$A$2:$A$28,0),MATCH(D261,'2.職務職能需求'!$B$1:$F$1,0)),0),""))</f>
        <v/>
      </c>
      <c r="H261" s="94" t="n"/>
      <c r="I261" s="94" t="n"/>
      <c r="J261" s="120">
        <f>IF(OR(G261="",I261="",G261=0),"",I261-G261)</f>
        <v/>
      </c>
      <c r="K261" s="120">
        <f>IF(G261="","",IF(G261=0,"不適用",IF(I261="","待評核",IF(I261&gt;=G261,IF(I261&gt;G261,"超越","達標"),"待發展"))))</f>
        <v/>
      </c>
      <c r="L261" s="91" t="n"/>
      <c r="M261" s="91" t="n"/>
      <c r="N261" s="88" t="n"/>
    </row>
    <row r="262" ht="15.75" customHeight="1" s="64">
      <c r="A262" s="88" t="n"/>
      <c r="B262" s="120">
        <f t="array" ref="B262:B262">IF(A262="","",IFERROR(INDEX('3.員工名單'!$B:$B,MATCH(A262,'3.員工名單'!$A:$A,0)),"查無此員工"))</f>
        <v/>
      </c>
      <c r="C262" s="120">
        <f t="array" ref="C262:C262">IF(A262="","",IFERROR(INDEX('3.員工名單'!$C:$C,MATCH(A262,'3.員工名單'!$A:$A,0)),""))</f>
        <v/>
      </c>
      <c r="D262" s="120">
        <f t="array" ref="D262:D262">IF(A262="","",IFERROR(INDEX('3.員工名單'!$D:$D,MATCH(A262,'3.員工名單'!$A:$A,0)),""))</f>
        <v/>
      </c>
      <c r="E262" s="120">
        <f t="array" ref="E262:E262">IF(F262="","",IFERROR(INDEX('1.職能辭典'!$A:$A,MATCH(F262,'1.職能辭典'!$C:$C,0)),""))</f>
        <v/>
      </c>
      <c r="F262" s="94" t="n"/>
      <c r="G262" s="120">
        <f t="array" ref="G262:G262">IF(OR(D262="",F262=""),"",IFERROR(IF(AND(OR(INDEX('1.職能辭典'!$J:$J,MATCH(F262,'1.職能辭典'!$C:$C,0))="全部",INDEX('3.員工名單'!$H:$H,MATCH(A262,'3.員工名單'!$A:$A,0))="兩款共用",INDEX('3.員工名單'!$H:$H,MATCH(A262,'3.員工名單'!$A:$A,0))=INDEX('1.職能辭典'!$J:$J,MATCH(F262,'1.職能辭典'!$C:$C,0))),OR(INDEX('1.職能辭典'!$K:$K,MATCH(F262,'1.職能辭典'!$C:$C,0))="全部",SUMPRODUCT(ISNUMBER(SEARCH({"經營","管理","財務","企劃","營運","技術","數據","美術","測試","客服"},INDEX('3.員工名單'!$I:$I,MATCH(A262,'3.員工名單'!$A:$A,0))))*ISNUMBER(SEARCH({"經營","管理","財務","企劃","營運","技術","數據","美術","測試","客服"},INDEX('1.職能辭典'!$K:$K,MATCH(F262,'1.職能辭典'!$C:$C,0)))))&gt;0)),INDEX('2.職務職能需求'!$B$2:$F$28,MATCH(F262,'2.職務職能需求'!$A$2:$A$28,0),MATCH(D262,'2.職務職能需求'!$B$1:$F$1,0)),0),""))</f>
        <v/>
      </c>
      <c r="H262" s="94" t="n"/>
      <c r="I262" s="94" t="n"/>
      <c r="J262" s="120">
        <f>IF(OR(G262="",I262="",G262=0),"",I262-G262)</f>
        <v/>
      </c>
      <c r="K262" s="120">
        <f>IF(G262="","",IF(G262=0,"不適用",IF(I262="","待評核",IF(I262&gt;=G262,IF(I262&gt;G262,"超越","達標"),"待發展"))))</f>
        <v/>
      </c>
      <c r="L262" s="91" t="n"/>
      <c r="M262" s="91" t="n"/>
      <c r="N262" s="88" t="n"/>
    </row>
    <row r="263" ht="15.75" customHeight="1" s="64">
      <c r="A263" s="88" t="n"/>
      <c r="B263" s="120">
        <f t="array" ref="B263:B263">IF(A263="","",IFERROR(INDEX('3.員工名單'!$B:$B,MATCH(A263,'3.員工名單'!$A:$A,0)),"查無此員工"))</f>
        <v/>
      </c>
      <c r="C263" s="120">
        <f t="array" ref="C263:C263">IF(A263="","",IFERROR(INDEX('3.員工名單'!$C:$C,MATCH(A263,'3.員工名單'!$A:$A,0)),""))</f>
        <v/>
      </c>
      <c r="D263" s="120">
        <f t="array" ref="D263:D263">IF(A263="","",IFERROR(INDEX('3.員工名單'!$D:$D,MATCH(A263,'3.員工名單'!$A:$A,0)),""))</f>
        <v/>
      </c>
      <c r="E263" s="120">
        <f t="array" ref="E263:E263">IF(F263="","",IFERROR(INDEX('1.職能辭典'!$A:$A,MATCH(F263,'1.職能辭典'!$C:$C,0)),""))</f>
        <v/>
      </c>
      <c r="F263" s="94" t="n"/>
      <c r="G263" s="120">
        <f t="array" ref="G263:G263">IF(OR(D263="",F263=""),"",IFERROR(IF(AND(OR(INDEX('1.職能辭典'!$J:$J,MATCH(F263,'1.職能辭典'!$C:$C,0))="全部",INDEX('3.員工名單'!$H:$H,MATCH(A263,'3.員工名單'!$A:$A,0))="兩款共用",INDEX('3.員工名單'!$H:$H,MATCH(A263,'3.員工名單'!$A:$A,0))=INDEX('1.職能辭典'!$J:$J,MATCH(F263,'1.職能辭典'!$C:$C,0))),OR(INDEX('1.職能辭典'!$K:$K,MATCH(F263,'1.職能辭典'!$C:$C,0))="全部",SUMPRODUCT(ISNUMBER(SEARCH({"經營","管理","財務","企劃","營運","技術","數據","美術","測試","客服"},INDEX('3.員工名單'!$I:$I,MATCH(A263,'3.員工名單'!$A:$A,0))))*ISNUMBER(SEARCH({"經營","管理","財務","企劃","營運","技術","數據","美術","測試","客服"},INDEX('1.職能辭典'!$K:$K,MATCH(F263,'1.職能辭典'!$C:$C,0)))))&gt;0)),INDEX('2.職務職能需求'!$B$2:$F$28,MATCH(F263,'2.職務職能需求'!$A$2:$A$28,0),MATCH(D263,'2.職務職能需求'!$B$1:$F$1,0)),0),""))</f>
        <v/>
      </c>
      <c r="H263" s="94" t="n"/>
      <c r="I263" s="94" t="n"/>
      <c r="J263" s="120">
        <f>IF(OR(G263="",I263="",G263=0),"",I263-G263)</f>
        <v/>
      </c>
      <c r="K263" s="120">
        <f>IF(G263="","",IF(G263=0,"不適用",IF(I263="","待評核",IF(I263&gt;=G263,IF(I263&gt;G263,"超越","達標"),"待發展"))))</f>
        <v/>
      </c>
      <c r="L263" s="91" t="n"/>
      <c r="M263" s="91" t="n"/>
      <c r="N263" s="88" t="n"/>
    </row>
    <row r="264" ht="15.75" customHeight="1" s="64">
      <c r="A264" s="88" t="n"/>
      <c r="B264" s="120">
        <f t="array" ref="B264:B264">IF(A264="","",IFERROR(INDEX('3.員工名單'!$B:$B,MATCH(A264,'3.員工名單'!$A:$A,0)),"查無此員工"))</f>
        <v/>
      </c>
      <c r="C264" s="120">
        <f t="array" ref="C264:C264">IF(A264="","",IFERROR(INDEX('3.員工名單'!$C:$C,MATCH(A264,'3.員工名單'!$A:$A,0)),""))</f>
        <v/>
      </c>
      <c r="D264" s="120">
        <f t="array" ref="D264:D264">IF(A264="","",IFERROR(INDEX('3.員工名單'!$D:$D,MATCH(A264,'3.員工名單'!$A:$A,0)),""))</f>
        <v/>
      </c>
      <c r="E264" s="120">
        <f t="array" ref="E264:E264">IF(F264="","",IFERROR(INDEX('1.職能辭典'!$A:$A,MATCH(F264,'1.職能辭典'!$C:$C,0)),""))</f>
        <v/>
      </c>
      <c r="F264" s="94" t="n"/>
      <c r="G264" s="120">
        <f t="array" ref="G264:G264">IF(OR(D264="",F264=""),"",IFERROR(IF(AND(OR(INDEX('1.職能辭典'!$J:$J,MATCH(F264,'1.職能辭典'!$C:$C,0))="全部",INDEX('3.員工名單'!$H:$H,MATCH(A264,'3.員工名單'!$A:$A,0))="兩款共用",INDEX('3.員工名單'!$H:$H,MATCH(A264,'3.員工名單'!$A:$A,0))=INDEX('1.職能辭典'!$J:$J,MATCH(F264,'1.職能辭典'!$C:$C,0))),OR(INDEX('1.職能辭典'!$K:$K,MATCH(F264,'1.職能辭典'!$C:$C,0))="全部",SUMPRODUCT(ISNUMBER(SEARCH({"經營","管理","財務","企劃","營運","技術","數據","美術","測試","客服"},INDEX('3.員工名單'!$I:$I,MATCH(A264,'3.員工名單'!$A:$A,0))))*ISNUMBER(SEARCH({"經營","管理","財務","企劃","營運","技術","數據","美術","測試","客服"},INDEX('1.職能辭典'!$K:$K,MATCH(F264,'1.職能辭典'!$C:$C,0)))))&gt;0)),INDEX('2.職務職能需求'!$B$2:$F$28,MATCH(F264,'2.職務職能需求'!$A$2:$A$28,0),MATCH(D264,'2.職務職能需求'!$B$1:$F$1,0)),0),""))</f>
        <v/>
      </c>
      <c r="H264" s="94" t="n"/>
      <c r="I264" s="94" t="n"/>
      <c r="J264" s="120">
        <f>IF(OR(G264="",I264="",G264=0),"",I264-G264)</f>
        <v/>
      </c>
      <c r="K264" s="120">
        <f>IF(G264="","",IF(G264=0,"不適用",IF(I264="","待評核",IF(I264&gt;=G264,IF(I264&gt;G264,"超越","達標"),"待發展"))))</f>
        <v/>
      </c>
      <c r="L264" s="91" t="n"/>
      <c r="M264" s="91" t="n"/>
      <c r="N264" s="88" t="n"/>
    </row>
    <row r="265" ht="15.75" customHeight="1" s="64">
      <c r="A265" s="88" t="n"/>
      <c r="B265" s="120">
        <f t="array" ref="B265:B265">IF(A265="","",IFERROR(INDEX('3.員工名單'!$B:$B,MATCH(A265,'3.員工名單'!$A:$A,0)),"查無此員工"))</f>
        <v/>
      </c>
      <c r="C265" s="120">
        <f t="array" ref="C265:C265">IF(A265="","",IFERROR(INDEX('3.員工名單'!$C:$C,MATCH(A265,'3.員工名單'!$A:$A,0)),""))</f>
        <v/>
      </c>
      <c r="D265" s="120">
        <f t="array" ref="D265:D265">IF(A265="","",IFERROR(INDEX('3.員工名單'!$D:$D,MATCH(A265,'3.員工名單'!$A:$A,0)),""))</f>
        <v/>
      </c>
      <c r="E265" s="120">
        <f t="array" ref="E265:E265">IF(F265="","",IFERROR(INDEX('1.職能辭典'!$A:$A,MATCH(F265,'1.職能辭典'!$C:$C,0)),""))</f>
        <v/>
      </c>
      <c r="F265" s="94" t="n"/>
      <c r="G265" s="120">
        <f t="array" ref="G265:G265">IF(OR(D265="",F265=""),"",IFERROR(IF(AND(OR(INDEX('1.職能辭典'!$J:$J,MATCH(F265,'1.職能辭典'!$C:$C,0))="全部",INDEX('3.員工名單'!$H:$H,MATCH(A265,'3.員工名單'!$A:$A,0))="兩款共用",INDEX('3.員工名單'!$H:$H,MATCH(A265,'3.員工名單'!$A:$A,0))=INDEX('1.職能辭典'!$J:$J,MATCH(F265,'1.職能辭典'!$C:$C,0))),OR(INDEX('1.職能辭典'!$K:$K,MATCH(F265,'1.職能辭典'!$C:$C,0))="全部",SUMPRODUCT(ISNUMBER(SEARCH({"經營","管理","財務","企劃","營運","技術","數據","美術","測試","客服"},INDEX('3.員工名單'!$I:$I,MATCH(A265,'3.員工名單'!$A:$A,0))))*ISNUMBER(SEARCH({"經營","管理","財務","企劃","營運","技術","數據","美術","測試","客服"},INDEX('1.職能辭典'!$K:$K,MATCH(F265,'1.職能辭典'!$C:$C,0)))))&gt;0)),INDEX('2.職務職能需求'!$B$2:$F$28,MATCH(F265,'2.職務職能需求'!$A$2:$A$28,0),MATCH(D265,'2.職務職能需求'!$B$1:$F$1,0)),0),""))</f>
        <v/>
      </c>
      <c r="H265" s="94" t="n"/>
      <c r="I265" s="94" t="n"/>
      <c r="J265" s="120">
        <f>IF(OR(G265="",I265="",G265=0),"",I265-G265)</f>
        <v/>
      </c>
      <c r="K265" s="120">
        <f>IF(G265="","",IF(G265=0,"不適用",IF(I265="","待評核",IF(I265&gt;=G265,IF(I265&gt;G265,"超越","達標"),"待發展"))))</f>
        <v/>
      </c>
      <c r="L265" s="91" t="n"/>
      <c r="M265" s="91" t="n"/>
      <c r="N265" s="88" t="n"/>
    </row>
    <row r="266" ht="15.75" customHeight="1" s="64">
      <c r="A266" s="88" t="n"/>
      <c r="B266" s="120">
        <f t="array" ref="B266:B266">IF(A266="","",IFERROR(INDEX('3.員工名單'!$B:$B,MATCH(A266,'3.員工名單'!$A:$A,0)),"查無此員工"))</f>
        <v/>
      </c>
      <c r="C266" s="120">
        <f t="array" ref="C266:C266">IF(A266="","",IFERROR(INDEX('3.員工名單'!$C:$C,MATCH(A266,'3.員工名單'!$A:$A,0)),""))</f>
        <v/>
      </c>
      <c r="D266" s="120">
        <f t="array" ref="D266:D266">IF(A266="","",IFERROR(INDEX('3.員工名單'!$D:$D,MATCH(A266,'3.員工名單'!$A:$A,0)),""))</f>
        <v/>
      </c>
      <c r="E266" s="120">
        <f t="array" ref="E266:E266">IF(F266="","",IFERROR(INDEX('1.職能辭典'!$A:$A,MATCH(F266,'1.職能辭典'!$C:$C,0)),""))</f>
        <v/>
      </c>
      <c r="F266" s="94" t="n"/>
      <c r="G266" s="120">
        <f t="array" ref="G266:G266">IF(OR(D266="",F266=""),"",IFERROR(IF(AND(OR(INDEX('1.職能辭典'!$J:$J,MATCH(F266,'1.職能辭典'!$C:$C,0))="全部",INDEX('3.員工名單'!$H:$H,MATCH(A266,'3.員工名單'!$A:$A,0))="兩款共用",INDEX('3.員工名單'!$H:$H,MATCH(A266,'3.員工名單'!$A:$A,0))=INDEX('1.職能辭典'!$J:$J,MATCH(F266,'1.職能辭典'!$C:$C,0))),OR(INDEX('1.職能辭典'!$K:$K,MATCH(F266,'1.職能辭典'!$C:$C,0))="全部",SUMPRODUCT(ISNUMBER(SEARCH({"經營","管理","財務","企劃","營運","技術","數據","美術","測試","客服"},INDEX('3.員工名單'!$I:$I,MATCH(A266,'3.員工名單'!$A:$A,0))))*ISNUMBER(SEARCH({"經營","管理","財務","企劃","營運","技術","數據","美術","測試","客服"},INDEX('1.職能辭典'!$K:$K,MATCH(F266,'1.職能辭典'!$C:$C,0)))))&gt;0)),INDEX('2.職務職能需求'!$B$2:$F$28,MATCH(F266,'2.職務職能需求'!$A$2:$A$28,0),MATCH(D266,'2.職務職能需求'!$B$1:$F$1,0)),0),""))</f>
        <v/>
      </c>
      <c r="H266" s="94" t="n"/>
      <c r="I266" s="94" t="n"/>
      <c r="J266" s="120">
        <f>IF(OR(G266="",I266="",G266=0),"",I266-G266)</f>
        <v/>
      </c>
      <c r="K266" s="120">
        <f>IF(G266="","",IF(G266=0,"不適用",IF(I266="","待評核",IF(I266&gt;=G266,IF(I266&gt;G266,"超越","達標"),"待發展"))))</f>
        <v/>
      </c>
      <c r="L266" s="91" t="n"/>
      <c r="M266" s="91" t="n"/>
      <c r="N266" s="88" t="n"/>
    </row>
    <row r="267" ht="15.75" customHeight="1" s="64">
      <c r="A267" s="88" t="n"/>
      <c r="B267" s="120">
        <f t="array" ref="B267:B267">IF(A267="","",IFERROR(INDEX('3.員工名單'!$B:$B,MATCH(A267,'3.員工名單'!$A:$A,0)),"查無此員工"))</f>
        <v/>
      </c>
      <c r="C267" s="120">
        <f t="array" ref="C267:C267">IF(A267="","",IFERROR(INDEX('3.員工名單'!$C:$C,MATCH(A267,'3.員工名單'!$A:$A,0)),""))</f>
        <v/>
      </c>
      <c r="D267" s="120">
        <f t="array" ref="D267:D267">IF(A267="","",IFERROR(INDEX('3.員工名單'!$D:$D,MATCH(A267,'3.員工名單'!$A:$A,0)),""))</f>
        <v/>
      </c>
      <c r="E267" s="120">
        <f t="array" ref="E267:E267">IF(F267="","",IFERROR(INDEX('1.職能辭典'!$A:$A,MATCH(F267,'1.職能辭典'!$C:$C,0)),""))</f>
        <v/>
      </c>
      <c r="F267" s="94" t="n"/>
      <c r="G267" s="120">
        <f t="array" ref="G267:G267">IF(OR(D267="",F267=""),"",IFERROR(IF(AND(OR(INDEX('1.職能辭典'!$J:$J,MATCH(F267,'1.職能辭典'!$C:$C,0))="全部",INDEX('3.員工名單'!$H:$H,MATCH(A267,'3.員工名單'!$A:$A,0))="兩款共用",INDEX('3.員工名單'!$H:$H,MATCH(A267,'3.員工名單'!$A:$A,0))=INDEX('1.職能辭典'!$J:$J,MATCH(F267,'1.職能辭典'!$C:$C,0))),OR(INDEX('1.職能辭典'!$K:$K,MATCH(F267,'1.職能辭典'!$C:$C,0))="全部",SUMPRODUCT(ISNUMBER(SEARCH({"經營","管理","財務","企劃","營運","技術","數據","美術","測試","客服"},INDEX('3.員工名單'!$I:$I,MATCH(A267,'3.員工名單'!$A:$A,0))))*ISNUMBER(SEARCH({"經營","管理","財務","企劃","營運","技術","數據","美術","測試","客服"},INDEX('1.職能辭典'!$K:$K,MATCH(F267,'1.職能辭典'!$C:$C,0)))))&gt;0)),INDEX('2.職務職能需求'!$B$2:$F$28,MATCH(F267,'2.職務職能需求'!$A$2:$A$28,0),MATCH(D267,'2.職務職能需求'!$B$1:$F$1,0)),0),""))</f>
        <v/>
      </c>
      <c r="H267" s="94" t="n"/>
      <c r="I267" s="94" t="n"/>
      <c r="J267" s="120">
        <f>IF(OR(G267="",I267="",G267=0),"",I267-G267)</f>
        <v/>
      </c>
      <c r="K267" s="120">
        <f>IF(G267="","",IF(G267=0,"不適用",IF(I267="","待評核",IF(I267&gt;=G267,IF(I267&gt;G267,"超越","達標"),"待發展"))))</f>
        <v/>
      </c>
      <c r="L267" s="91" t="n"/>
      <c r="M267" s="91" t="n"/>
      <c r="N267" s="88" t="n"/>
    </row>
    <row r="268" ht="15.75" customHeight="1" s="64">
      <c r="A268" s="88" t="n"/>
      <c r="B268" s="120">
        <f t="array" ref="B268:B268">IF(A268="","",IFERROR(INDEX('3.員工名單'!$B:$B,MATCH(A268,'3.員工名單'!$A:$A,0)),"查無此員工"))</f>
        <v/>
      </c>
      <c r="C268" s="120">
        <f t="array" ref="C268:C268">IF(A268="","",IFERROR(INDEX('3.員工名單'!$C:$C,MATCH(A268,'3.員工名單'!$A:$A,0)),""))</f>
        <v/>
      </c>
      <c r="D268" s="120">
        <f t="array" ref="D268:D268">IF(A268="","",IFERROR(INDEX('3.員工名單'!$D:$D,MATCH(A268,'3.員工名單'!$A:$A,0)),""))</f>
        <v/>
      </c>
      <c r="E268" s="120">
        <f t="array" ref="E268:E268">IF(F268="","",IFERROR(INDEX('1.職能辭典'!$A:$A,MATCH(F268,'1.職能辭典'!$C:$C,0)),""))</f>
        <v/>
      </c>
      <c r="F268" s="94" t="n"/>
      <c r="G268" s="120">
        <f t="array" ref="G268:G268">IF(OR(D268="",F268=""),"",IFERROR(IF(AND(OR(INDEX('1.職能辭典'!$J:$J,MATCH(F268,'1.職能辭典'!$C:$C,0))="全部",INDEX('3.員工名單'!$H:$H,MATCH(A268,'3.員工名單'!$A:$A,0))="兩款共用",INDEX('3.員工名單'!$H:$H,MATCH(A268,'3.員工名單'!$A:$A,0))=INDEX('1.職能辭典'!$J:$J,MATCH(F268,'1.職能辭典'!$C:$C,0))),OR(INDEX('1.職能辭典'!$K:$K,MATCH(F268,'1.職能辭典'!$C:$C,0))="全部",SUMPRODUCT(ISNUMBER(SEARCH({"經營","管理","財務","企劃","營運","技術","數據","美術","測試","客服"},INDEX('3.員工名單'!$I:$I,MATCH(A268,'3.員工名單'!$A:$A,0))))*ISNUMBER(SEARCH({"經營","管理","財務","企劃","營運","技術","數據","美術","測試","客服"},INDEX('1.職能辭典'!$K:$K,MATCH(F268,'1.職能辭典'!$C:$C,0)))))&gt;0)),INDEX('2.職務職能需求'!$B$2:$F$28,MATCH(F268,'2.職務職能需求'!$A$2:$A$28,0),MATCH(D268,'2.職務職能需求'!$B$1:$F$1,0)),0),""))</f>
        <v/>
      </c>
      <c r="H268" s="94" t="n"/>
      <c r="I268" s="94" t="n"/>
      <c r="J268" s="120">
        <f>IF(OR(G268="",I268="",G268=0),"",I268-G268)</f>
        <v/>
      </c>
      <c r="K268" s="120">
        <f>IF(G268="","",IF(G268=0,"不適用",IF(I268="","待評核",IF(I268&gt;=G268,IF(I268&gt;G268,"超越","達標"),"待發展"))))</f>
        <v/>
      </c>
      <c r="L268" s="91" t="n"/>
      <c r="M268" s="91" t="n"/>
      <c r="N268" s="88" t="n"/>
    </row>
    <row r="269" ht="15.75" customHeight="1" s="64">
      <c r="A269" s="88" t="n"/>
      <c r="B269" s="120">
        <f t="array" ref="B269:B269">IF(A269="","",IFERROR(INDEX('3.員工名單'!$B:$B,MATCH(A269,'3.員工名單'!$A:$A,0)),"查無此員工"))</f>
        <v/>
      </c>
      <c r="C269" s="120">
        <f t="array" ref="C269:C269">IF(A269="","",IFERROR(INDEX('3.員工名單'!$C:$C,MATCH(A269,'3.員工名單'!$A:$A,0)),""))</f>
        <v/>
      </c>
      <c r="D269" s="120">
        <f t="array" ref="D269:D269">IF(A269="","",IFERROR(INDEX('3.員工名單'!$D:$D,MATCH(A269,'3.員工名單'!$A:$A,0)),""))</f>
        <v/>
      </c>
      <c r="E269" s="120">
        <f t="array" ref="E269:E269">IF(F269="","",IFERROR(INDEX('1.職能辭典'!$A:$A,MATCH(F269,'1.職能辭典'!$C:$C,0)),""))</f>
        <v/>
      </c>
      <c r="F269" s="94" t="n"/>
      <c r="G269" s="120">
        <f t="array" ref="G269:G269">IF(OR(D269="",F269=""),"",IFERROR(IF(AND(OR(INDEX('1.職能辭典'!$J:$J,MATCH(F269,'1.職能辭典'!$C:$C,0))="全部",INDEX('3.員工名單'!$H:$H,MATCH(A269,'3.員工名單'!$A:$A,0))="兩款共用",INDEX('3.員工名單'!$H:$H,MATCH(A269,'3.員工名單'!$A:$A,0))=INDEX('1.職能辭典'!$J:$J,MATCH(F269,'1.職能辭典'!$C:$C,0))),OR(INDEX('1.職能辭典'!$K:$K,MATCH(F269,'1.職能辭典'!$C:$C,0))="全部",SUMPRODUCT(ISNUMBER(SEARCH({"經營","管理","財務","企劃","營運","技術","數據","美術","測試","客服"},INDEX('3.員工名單'!$I:$I,MATCH(A269,'3.員工名單'!$A:$A,0))))*ISNUMBER(SEARCH({"經營","管理","財務","企劃","營運","技術","數據","美術","測試","客服"},INDEX('1.職能辭典'!$K:$K,MATCH(F269,'1.職能辭典'!$C:$C,0)))))&gt;0)),INDEX('2.職務職能需求'!$B$2:$F$28,MATCH(F269,'2.職務職能需求'!$A$2:$A$28,0),MATCH(D269,'2.職務職能需求'!$B$1:$F$1,0)),0),""))</f>
        <v/>
      </c>
      <c r="H269" s="94" t="n"/>
      <c r="I269" s="94" t="n"/>
      <c r="J269" s="120">
        <f>IF(OR(G269="",I269="",G269=0),"",I269-G269)</f>
        <v/>
      </c>
      <c r="K269" s="120">
        <f>IF(G269="","",IF(G269=0,"不適用",IF(I269="","待評核",IF(I269&gt;=G269,IF(I269&gt;G269,"超越","達標"),"待發展"))))</f>
        <v/>
      </c>
      <c r="L269" s="91" t="n"/>
      <c r="M269" s="91" t="n"/>
      <c r="N269" s="88" t="n"/>
    </row>
    <row r="270" ht="15.75" customHeight="1" s="64">
      <c r="A270" s="88" t="n"/>
      <c r="B270" s="120">
        <f t="array" ref="B270:B270">IF(A270="","",IFERROR(INDEX('3.員工名單'!$B:$B,MATCH(A270,'3.員工名單'!$A:$A,0)),"查無此員工"))</f>
        <v/>
      </c>
      <c r="C270" s="120">
        <f t="array" ref="C270:C270">IF(A270="","",IFERROR(INDEX('3.員工名單'!$C:$C,MATCH(A270,'3.員工名單'!$A:$A,0)),""))</f>
        <v/>
      </c>
      <c r="D270" s="120">
        <f t="array" ref="D270:D270">IF(A270="","",IFERROR(INDEX('3.員工名單'!$D:$D,MATCH(A270,'3.員工名單'!$A:$A,0)),""))</f>
        <v/>
      </c>
      <c r="E270" s="120">
        <f t="array" ref="E270:E270">IF(F270="","",IFERROR(INDEX('1.職能辭典'!$A:$A,MATCH(F270,'1.職能辭典'!$C:$C,0)),""))</f>
        <v/>
      </c>
      <c r="F270" s="94" t="n"/>
      <c r="G270" s="120">
        <f t="array" ref="G270:G270">IF(OR(D270="",F270=""),"",IFERROR(IF(AND(OR(INDEX('1.職能辭典'!$J:$J,MATCH(F270,'1.職能辭典'!$C:$C,0))="全部",INDEX('3.員工名單'!$H:$H,MATCH(A270,'3.員工名單'!$A:$A,0))="兩款共用",INDEX('3.員工名單'!$H:$H,MATCH(A270,'3.員工名單'!$A:$A,0))=INDEX('1.職能辭典'!$J:$J,MATCH(F270,'1.職能辭典'!$C:$C,0))),OR(INDEX('1.職能辭典'!$K:$K,MATCH(F270,'1.職能辭典'!$C:$C,0))="全部",SUMPRODUCT(ISNUMBER(SEARCH({"經營","管理","財務","企劃","營運","技術","數據","美術","測試","客服"},INDEX('3.員工名單'!$I:$I,MATCH(A270,'3.員工名單'!$A:$A,0))))*ISNUMBER(SEARCH({"經營","管理","財務","企劃","營運","技術","數據","美術","測試","客服"},INDEX('1.職能辭典'!$K:$K,MATCH(F270,'1.職能辭典'!$C:$C,0)))))&gt;0)),INDEX('2.職務職能需求'!$B$2:$F$28,MATCH(F270,'2.職務職能需求'!$A$2:$A$28,0),MATCH(D270,'2.職務職能需求'!$B$1:$F$1,0)),0),""))</f>
        <v/>
      </c>
      <c r="H270" s="94" t="n"/>
      <c r="I270" s="94" t="n"/>
      <c r="J270" s="120">
        <f>IF(OR(G270="",I270="",G270=0),"",I270-G270)</f>
        <v/>
      </c>
      <c r="K270" s="120">
        <f>IF(G270="","",IF(G270=0,"不適用",IF(I270="","待評核",IF(I270&gt;=G270,IF(I270&gt;G270,"超越","達標"),"待發展"))))</f>
        <v/>
      </c>
      <c r="L270" s="91" t="n"/>
      <c r="M270" s="91" t="n"/>
      <c r="N270" s="88" t="n"/>
    </row>
    <row r="271" ht="15.75" customHeight="1" s="64">
      <c r="A271" s="88" t="n"/>
      <c r="B271" s="120">
        <f t="array" ref="B271:B271">IF(A271="","",IFERROR(INDEX('3.員工名單'!$B:$B,MATCH(A271,'3.員工名單'!$A:$A,0)),"查無此員工"))</f>
        <v/>
      </c>
      <c r="C271" s="120">
        <f t="array" ref="C271:C271">IF(A271="","",IFERROR(INDEX('3.員工名單'!$C:$C,MATCH(A271,'3.員工名單'!$A:$A,0)),""))</f>
        <v/>
      </c>
      <c r="D271" s="120">
        <f t="array" ref="D271:D271">IF(A271="","",IFERROR(INDEX('3.員工名單'!$D:$D,MATCH(A271,'3.員工名單'!$A:$A,0)),""))</f>
        <v/>
      </c>
      <c r="E271" s="120">
        <f t="array" ref="E271:E271">IF(F271="","",IFERROR(INDEX('1.職能辭典'!$A:$A,MATCH(F271,'1.職能辭典'!$C:$C,0)),""))</f>
        <v/>
      </c>
      <c r="F271" s="94" t="n"/>
      <c r="G271" s="120">
        <f t="array" ref="G271:G271">IF(OR(D271="",F271=""),"",IFERROR(IF(AND(OR(INDEX('1.職能辭典'!$J:$J,MATCH(F271,'1.職能辭典'!$C:$C,0))="全部",INDEX('3.員工名單'!$H:$H,MATCH(A271,'3.員工名單'!$A:$A,0))="兩款共用",INDEX('3.員工名單'!$H:$H,MATCH(A271,'3.員工名單'!$A:$A,0))=INDEX('1.職能辭典'!$J:$J,MATCH(F271,'1.職能辭典'!$C:$C,0))),OR(INDEX('1.職能辭典'!$K:$K,MATCH(F271,'1.職能辭典'!$C:$C,0))="全部",SUMPRODUCT(ISNUMBER(SEARCH({"經營","管理","財務","企劃","營運","技術","數據","美術","測試","客服"},INDEX('3.員工名單'!$I:$I,MATCH(A271,'3.員工名單'!$A:$A,0))))*ISNUMBER(SEARCH({"經營","管理","財務","企劃","營運","技術","數據","美術","測試","客服"},INDEX('1.職能辭典'!$K:$K,MATCH(F271,'1.職能辭典'!$C:$C,0)))))&gt;0)),INDEX('2.職務職能需求'!$B$2:$F$28,MATCH(F271,'2.職務職能需求'!$A$2:$A$28,0),MATCH(D271,'2.職務職能需求'!$B$1:$F$1,0)),0),""))</f>
        <v/>
      </c>
      <c r="H271" s="94" t="n"/>
      <c r="I271" s="94" t="n"/>
      <c r="J271" s="120">
        <f>IF(OR(G271="",I271="",G271=0),"",I271-G271)</f>
        <v/>
      </c>
      <c r="K271" s="120">
        <f>IF(G271="","",IF(G271=0,"不適用",IF(I271="","待評核",IF(I271&gt;=G271,IF(I271&gt;G271,"超越","達標"),"待發展"))))</f>
        <v/>
      </c>
      <c r="L271" s="91" t="n"/>
      <c r="M271" s="91" t="n"/>
      <c r="N271" s="88" t="n"/>
    </row>
    <row r="272" ht="15.75" customHeight="1" s="64">
      <c r="A272" s="88" t="n"/>
      <c r="B272" s="120">
        <f t="array" ref="B272:B272">IF(A272="","",IFERROR(INDEX('3.員工名單'!$B:$B,MATCH(A272,'3.員工名單'!$A:$A,0)),"查無此員工"))</f>
        <v/>
      </c>
      <c r="C272" s="120">
        <f t="array" ref="C272:C272">IF(A272="","",IFERROR(INDEX('3.員工名單'!$C:$C,MATCH(A272,'3.員工名單'!$A:$A,0)),""))</f>
        <v/>
      </c>
      <c r="D272" s="120">
        <f t="array" ref="D272:D272">IF(A272="","",IFERROR(INDEX('3.員工名單'!$D:$D,MATCH(A272,'3.員工名單'!$A:$A,0)),""))</f>
        <v/>
      </c>
      <c r="E272" s="120">
        <f t="array" ref="E272:E272">IF(F272="","",IFERROR(INDEX('1.職能辭典'!$A:$A,MATCH(F272,'1.職能辭典'!$C:$C,0)),""))</f>
        <v/>
      </c>
      <c r="F272" s="94" t="n"/>
      <c r="G272" s="120">
        <f t="array" ref="G272:G272">IF(OR(D272="",F272=""),"",IFERROR(IF(AND(OR(INDEX('1.職能辭典'!$J:$J,MATCH(F272,'1.職能辭典'!$C:$C,0))="全部",INDEX('3.員工名單'!$H:$H,MATCH(A272,'3.員工名單'!$A:$A,0))="兩款共用",INDEX('3.員工名單'!$H:$H,MATCH(A272,'3.員工名單'!$A:$A,0))=INDEX('1.職能辭典'!$J:$J,MATCH(F272,'1.職能辭典'!$C:$C,0))),OR(INDEX('1.職能辭典'!$K:$K,MATCH(F272,'1.職能辭典'!$C:$C,0))="全部",SUMPRODUCT(ISNUMBER(SEARCH({"經營","管理","財務","企劃","營運","技術","數據","美術","測試","客服"},INDEX('3.員工名單'!$I:$I,MATCH(A272,'3.員工名單'!$A:$A,0))))*ISNUMBER(SEARCH({"經營","管理","財務","企劃","營運","技術","數據","美術","測試","客服"},INDEX('1.職能辭典'!$K:$K,MATCH(F272,'1.職能辭典'!$C:$C,0)))))&gt;0)),INDEX('2.職務職能需求'!$B$2:$F$28,MATCH(F272,'2.職務職能需求'!$A$2:$A$28,0),MATCH(D272,'2.職務職能需求'!$B$1:$F$1,0)),0),""))</f>
        <v/>
      </c>
      <c r="H272" s="94" t="n"/>
      <c r="I272" s="94" t="n"/>
      <c r="J272" s="120">
        <f>IF(OR(G272="",I272="",G272=0),"",I272-G272)</f>
        <v/>
      </c>
      <c r="K272" s="120">
        <f>IF(G272="","",IF(G272=0,"不適用",IF(I272="","待評核",IF(I272&gt;=G272,IF(I272&gt;G272,"超越","達標"),"待發展"))))</f>
        <v/>
      </c>
      <c r="L272" s="91" t="n"/>
      <c r="M272" s="91" t="n"/>
      <c r="N272" s="88" t="n"/>
    </row>
    <row r="273" ht="15.75" customHeight="1" s="64">
      <c r="A273" s="88" t="n"/>
      <c r="B273" s="120">
        <f t="array" ref="B273:B273">IF(A273="","",IFERROR(INDEX('3.員工名單'!$B:$B,MATCH(A273,'3.員工名單'!$A:$A,0)),"查無此員工"))</f>
        <v/>
      </c>
      <c r="C273" s="120">
        <f t="array" ref="C273:C273">IF(A273="","",IFERROR(INDEX('3.員工名單'!$C:$C,MATCH(A273,'3.員工名單'!$A:$A,0)),""))</f>
        <v/>
      </c>
      <c r="D273" s="120">
        <f t="array" ref="D273:D273">IF(A273="","",IFERROR(INDEX('3.員工名單'!$D:$D,MATCH(A273,'3.員工名單'!$A:$A,0)),""))</f>
        <v/>
      </c>
      <c r="E273" s="120">
        <f t="array" ref="E273:E273">IF(F273="","",IFERROR(INDEX('1.職能辭典'!$A:$A,MATCH(F273,'1.職能辭典'!$C:$C,0)),""))</f>
        <v/>
      </c>
      <c r="F273" s="94" t="n"/>
      <c r="G273" s="120">
        <f t="array" ref="G273:G273">IF(OR(D273="",F273=""),"",IFERROR(IF(AND(OR(INDEX('1.職能辭典'!$J:$J,MATCH(F273,'1.職能辭典'!$C:$C,0))="全部",INDEX('3.員工名單'!$H:$H,MATCH(A273,'3.員工名單'!$A:$A,0))="兩款共用",INDEX('3.員工名單'!$H:$H,MATCH(A273,'3.員工名單'!$A:$A,0))=INDEX('1.職能辭典'!$J:$J,MATCH(F273,'1.職能辭典'!$C:$C,0))),OR(INDEX('1.職能辭典'!$K:$K,MATCH(F273,'1.職能辭典'!$C:$C,0))="全部",SUMPRODUCT(ISNUMBER(SEARCH({"經營","管理","財務","企劃","營運","技術","數據","美術","測試","客服"},INDEX('3.員工名單'!$I:$I,MATCH(A273,'3.員工名單'!$A:$A,0))))*ISNUMBER(SEARCH({"經營","管理","財務","企劃","營運","技術","數據","美術","測試","客服"},INDEX('1.職能辭典'!$K:$K,MATCH(F273,'1.職能辭典'!$C:$C,0)))))&gt;0)),INDEX('2.職務職能需求'!$B$2:$F$28,MATCH(F273,'2.職務職能需求'!$A$2:$A$28,0),MATCH(D273,'2.職務職能需求'!$B$1:$F$1,0)),0),""))</f>
        <v/>
      </c>
      <c r="H273" s="94" t="n"/>
      <c r="I273" s="94" t="n"/>
      <c r="J273" s="120">
        <f>IF(OR(G273="",I273="",G273=0),"",I273-G273)</f>
        <v/>
      </c>
      <c r="K273" s="120">
        <f>IF(G273="","",IF(G273=0,"不適用",IF(I273="","待評核",IF(I273&gt;=G273,IF(I273&gt;G273,"超越","達標"),"待發展"))))</f>
        <v/>
      </c>
      <c r="L273" s="91" t="n"/>
      <c r="M273" s="91" t="n"/>
      <c r="N273" s="88" t="n"/>
    </row>
    <row r="274" ht="15.75" customHeight="1" s="64">
      <c r="A274" s="88" t="n"/>
      <c r="B274" s="120">
        <f t="array" ref="B274:B274">IF(A274="","",IFERROR(INDEX('3.員工名單'!$B:$B,MATCH(A274,'3.員工名單'!$A:$A,0)),"查無此員工"))</f>
        <v/>
      </c>
      <c r="C274" s="120">
        <f t="array" ref="C274:C274">IF(A274="","",IFERROR(INDEX('3.員工名單'!$C:$C,MATCH(A274,'3.員工名單'!$A:$A,0)),""))</f>
        <v/>
      </c>
      <c r="D274" s="120">
        <f t="array" ref="D274:D274">IF(A274="","",IFERROR(INDEX('3.員工名單'!$D:$D,MATCH(A274,'3.員工名單'!$A:$A,0)),""))</f>
        <v/>
      </c>
      <c r="E274" s="120">
        <f t="array" ref="E274:E274">IF(F274="","",IFERROR(INDEX('1.職能辭典'!$A:$A,MATCH(F274,'1.職能辭典'!$C:$C,0)),""))</f>
        <v/>
      </c>
      <c r="F274" s="94" t="n"/>
      <c r="G274" s="120">
        <f t="array" ref="G274:G274">IF(OR(D274="",F274=""),"",IFERROR(IF(AND(OR(INDEX('1.職能辭典'!$J:$J,MATCH(F274,'1.職能辭典'!$C:$C,0))="全部",INDEX('3.員工名單'!$H:$H,MATCH(A274,'3.員工名單'!$A:$A,0))="兩款共用",INDEX('3.員工名單'!$H:$H,MATCH(A274,'3.員工名單'!$A:$A,0))=INDEX('1.職能辭典'!$J:$J,MATCH(F274,'1.職能辭典'!$C:$C,0))),OR(INDEX('1.職能辭典'!$K:$K,MATCH(F274,'1.職能辭典'!$C:$C,0))="全部",SUMPRODUCT(ISNUMBER(SEARCH({"經營","管理","財務","企劃","營運","技術","數據","美術","測試","客服"},INDEX('3.員工名單'!$I:$I,MATCH(A274,'3.員工名單'!$A:$A,0))))*ISNUMBER(SEARCH({"經營","管理","財務","企劃","營運","技術","數據","美術","測試","客服"},INDEX('1.職能辭典'!$K:$K,MATCH(F274,'1.職能辭典'!$C:$C,0)))))&gt;0)),INDEX('2.職務職能需求'!$B$2:$F$28,MATCH(F274,'2.職務職能需求'!$A$2:$A$28,0),MATCH(D274,'2.職務職能需求'!$B$1:$F$1,0)),0),""))</f>
        <v/>
      </c>
      <c r="H274" s="94" t="n"/>
      <c r="I274" s="94" t="n"/>
      <c r="J274" s="120">
        <f>IF(OR(G274="",I274="",G274=0),"",I274-G274)</f>
        <v/>
      </c>
      <c r="K274" s="120">
        <f>IF(G274="","",IF(G274=0,"不適用",IF(I274="","待評核",IF(I274&gt;=G274,IF(I274&gt;G274,"超越","達標"),"待發展"))))</f>
        <v/>
      </c>
      <c r="L274" s="91" t="n"/>
      <c r="M274" s="91" t="n"/>
      <c r="N274" s="88" t="n"/>
    </row>
    <row r="275" ht="15.75" customHeight="1" s="64">
      <c r="A275" s="88" t="n"/>
      <c r="B275" s="120">
        <f t="array" ref="B275:B275">IF(A275="","",IFERROR(INDEX('3.員工名單'!$B:$B,MATCH(A275,'3.員工名單'!$A:$A,0)),"查無此員工"))</f>
        <v/>
      </c>
      <c r="C275" s="120">
        <f t="array" ref="C275:C275">IF(A275="","",IFERROR(INDEX('3.員工名單'!$C:$C,MATCH(A275,'3.員工名單'!$A:$A,0)),""))</f>
        <v/>
      </c>
      <c r="D275" s="120">
        <f t="array" ref="D275:D275">IF(A275="","",IFERROR(INDEX('3.員工名單'!$D:$D,MATCH(A275,'3.員工名單'!$A:$A,0)),""))</f>
        <v/>
      </c>
      <c r="E275" s="120">
        <f t="array" ref="E275:E275">IF(F275="","",IFERROR(INDEX('1.職能辭典'!$A:$A,MATCH(F275,'1.職能辭典'!$C:$C,0)),""))</f>
        <v/>
      </c>
      <c r="F275" s="94" t="n"/>
      <c r="G275" s="120">
        <f t="array" ref="G275:G275">IF(OR(D275="",F275=""),"",IFERROR(IF(AND(OR(INDEX('1.職能辭典'!$J:$J,MATCH(F275,'1.職能辭典'!$C:$C,0))="全部",INDEX('3.員工名單'!$H:$H,MATCH(A275,'3.員工名單'!$A:$A,0))="兩款共用",INDEX('3.員工名單'!$H:$H,MATCH(A275,'3.員工名單'!$A:$A,0))=INDEX('1.職能辭典'!$J:$J,MATCH(F275,'1.職能辭典'!$C:$C,0))),OR(INDEX('1.職能辭典'!$K:$K,MATCH(F275,'1.職能辭典'!$C:$C,0))="全部",SUMPRODUCT(ISNUMBER(SEARCH({"經營","管理","財務","企劃","營運","技術","數據","美術","測試","客服"},INDEX('3.員工名單'!$I:$I,MATCH(A275,'3.員工名單'!$A:$A,0))))*ISNUMBER(SEARCH({"經營","管理","財務","企劃","營運","技術","數據","美術","測試","客服"},INDEX('1.職能辭典'!$K:$K,MATCH(F275,'1.職能辭典'!$C:$C,0)))))&gt;0)),INDEX('2.職務職能需求'!$B$2:$F$28,MATCH(F275,'2.職務職能需求'!$A$2:$A$28,0),MATCH(D275,'2.職務職能需求'!$B$1:$F$1,0)),0),""))</f>
        <v/>
      </c>
      <c r="H275" s="94" t="n"/>
      <c r="I275" s="94" t="n"/>
      <c r="J275" s="120">
        <f>IF(OR(G275="",I275="",G275=0),"",I275-G275)</f>
        <v/>
      </c>
      <c r="K275" s="120">
        <f>IF(G275="","",IF(G275=0,"不適用",IF(I275="","待評核",IF(I275&gt;=G275,IF(I275&gt;G275,"超越","達標"),"待發展"))))</f>
        <v/>
      </c>
      <c r="L275" s="91" t="n"/>
      <c r="M275" s="91" t="n"/>
      <c r="N275" s="88" t="n"/>
    </row>
    <row r="276" ht="15.75" customHeight="1" s="64">
      <c r="A276" s="88" t="n"/>
      <c r="B276" s="120">
        <f t="array" ref="B276:B276">IF(A276="","",IFERROR(INDEX('3.員工名單'!$B:$B,MATCH(A276,'3.員工名單'!$A:$A,0)),"查無此員工"))</f>
        <v/>
      </c>
      <c r="C276" s="120">
        <f t="array" ref="C276:C276">IF(A276="","",IFERROR(INDEX('3.員工名單'!$C:$C,MATCH(A276,'3.員工名單'!$A:$A,0)),""))</f>
        <v/>
      </c>
      <c r="D276" s="120">
        <f t="array" ref="D276:D276">IF(A276="","",IFERROR(INDEX('3.員工名單'!$D:$D,MATCH(A276,'3.員工名單'!$A:$A,0)),""))</f>
        <v/>
      </c>
      <c r="E276" s="120">
        <f t="array" ref="E276:E276">IF(F276="","",IFERROR(INDEX('1.職能辭典'!$A:$A,MATCH(F276,'1.職能辭典'!$C:$C,0)),""))</f>
        <v/>
      </c>
      <c r="F276" s="94" t="n"/>
      <c r="G276" s="120">
        <f t="array" ref="G276:G276">IF(OR(D276="",F276=""),"",IFERROR(IF(AND(OR(INDEX('1.職能辭典'!$J:$J,MATCH(F276,'1.職能辭典'!$C:$C,0))="全部",INDEX('3.員工名單'!$H:$H,MATCH(A276,'3.員工名單'!$A:$A,0))="兩款共用",INDEX('3.員工名單'!$H:$H,MATCH(A276,'3.員工名單'!$A:$A,0))=INDEX('1.職能辭典'!$J:$J,MATCH(F276,'1.職能辭典'!$C:$C,0))),OR(INDEX('1.職能辭典'!$K:$K,MATCH(F276,'1.職能辭典'!$C:$C,0))="全部",SUMPRODUCT(ISNUMBER(SEARCH({"經營","管理","財務","企劃","營運","技術","數據","美術","測試","客服"},INDEX('3.員工名單'!$I:$I,MATCH(A276,'3.員工名單'!$A:$A,0))))*ISNUMBER(SEARCH({"經營","管理","財務","企劃","營運","技術","數據","美術","測試","客服"},INDEX('1.職能辭典'!$K:$K,MATCH(F276,'1.職能辭典'!$C:$C,0)))))&gt;0)),INDEX('2.職務職能需求'!$B$2:$F$28,MATCH(F276,'2.職務職能需求'!$A$2:$A$28,0),MATCH(D276,'2.職務職能需求'!$B$1:$F$1,0)),0),""))</f>
        <v/>
      </c>
      <c r="H276" s="94" t="n"/>
      <c r="I276" s="94" t="n"/>
      <c r="J276" s="120">
        <f>IF(OR(G276="",I276="",G276=0),"",I276-G276)</f>
        <v/>
      </c>
      <c r="K276" s="120">
        <f>IF(G276="","",IF(G276=0,"不適用",IF(I276="","待評核",IF(I276&gt;=G276,IF(I276&gt;G276,"超越","達標"),"待發展"))))</f>
        <v/>
      </c>
      <c r="L276" s="91" t="n"/>
      <c r="M276" s="91" t="n"/>
      <c r="N276" s="88" t="n"/>
    </row>
    <row r="277" ht="15.75" customHeight="1" s="64">
      <c r="A277" s="88" t="n"/>
      <c r="B277" s="120">
        <f t="array" ref="B277:B277">IF(A277="","",IFERROR(INDEX('3.員工名單'!$B:$B,MATCH(A277,'3.員工名單'!$A:$A,0)),"查無此員工"))</f>
        <v/>
      </c>
      <c r="C277" s="120">
        <f t="array" ref="C277:C277">IF(A277="","",IFERROR(INDEX('3.員工名單'!$C:$C,MATCH(A277,'3.員工名單'!$A:$A,0)),""))</f>
        <v/>
      </c>
      <c r="D277" s="120">
        <f t="array" ref="D277:D277">IF(A277="","",IFERROR(INDEX('3.員工名單'!$D:$D,MATCH(A277,'3.員工名單'!$A:$A,0)),""))</f>
        <v/>
      </c>
      <c r="E277" s="120">
        <f t="array" ref="E277:E277">IF(F277="","",IFERROR(INDEX('1.職能辭典'!$A:$A,MATCH(F277,'1.職能辭典'!$C:$C,0)),""))</f>
        <v/>
      </c>
      <c r="F277" s="94" t="n"/>
      <c r="G277" s="120">
        <f t="array" ref="G277:G277">IF(OR(D277="",F277=""),"",IFERROR(IF(AND(OR(INDEX('1.職能辭典'!$J:$J,MATCH(F277,'1.職能辭典'!$C:$C,0))="全部",INDEX('3.員工名單'!$H:$H,MATCH(A277,'3.員工名單'!$A:$A,0))="兩款共用",INDEX('3.員工名單'!$H:$H,MATCH(A277,'3.員工名單'!$A:$A,0))=INDEX('1.職能辭典'!$J:$J,MATCH(F277,'1.職能辭典'!$C:$C,0))),OR(INDEX('1.職能辭典'!$K:$K,MATCH(F277,'1.職能辭典'!$C:$C,0))="全部",SUMPRODUCT(ISNUMBER(SEARCH({"經營","管理","財務","企劃","營運","技術","數據","美術","測試","客服"},INDEX('3.員工名單'!$I:$I,MATCH(A277,'3.員工名單'!$A:$A,0))))*ISNUMBER(SEARCH({"經營","管理","財務","企劃","營運","技術","數據","美術","測試","客服"},INDEX('1.職能辭典'!$K:$K,MATCH(F277,'1.職能辭典'!$C:$C,0)))))&gt;0)),INDEX('2.職務職能需求'!$B$2:$F$28,MATCH(F277,'2.職務職能需求'!$A$2:$A$28,0),MATCH(D277,'2.職務職能需求'!$B$1:$F$1,0)),0),""))</f>
        <v/>
      </c>
      <c r="H277" s="94" t="n"/>
      <c r="I277" s="94" t="n"/>
      <c r="J277" s="120">
        <f>IF(OR(G277="",I277="",G277=0),"",I277-G277)</f>
        <v/>
      </c>
      <c r="K277" s="120">
        <f>IF(G277="","",IF(G277=0,"不適用",IF(I277="","待評核",IF(I277&gt;=G277,IF(I277&gt;G277,"超越","達標"),"待發展"))))</f>
        <v/>
      </c>
      <c r="L277" s="91" t="n"/>
      <c r="M277" s="91" t="n"/>
      <c r="N277" s="88" t="n"/>
    </row>
    <row r="278" ht="15.75" customHeight="1" s="64">
      <c r="A278" s="88" t="n"/>
      <c r="B278" s="120">
        <f t="array" ref="B278:B278">IF(A278="","",IFERROR(INDEX('3.員工名單'!$B:$B,MATCH(A278,'3.員工名單'!$A:$A,0)),"查無此員工"))</f>
        <v/>
      </c>
      <c r="C278" s="120">
        <f t="array" ref="C278:C278">IF(A278="","",IFERROR(INDEX('3.員工名單'!$C:$C,MATCH(A278,'3.員工名單'!$A:$A,0)),""))</f>
        <v/>
      </c>
      <c r="D278" s="120">
        <f t="array" ref="D278:D278">IF(A278="","",IFERROR(INDEX('3.員工名單'!$D:$D,MATCH(A278,'3.員工名單'!$A:$A,0)),""))</f>
        <v/>
      </c>
      <c r="E278" s="120">
        <f t="array" ref="E278:E278">IF(F278="","",IFERROR(INDEX('1.職能辭典'!$A:$A,MATCH(F278,'1.職能辭典'!$C:$C,0)),""))</f>
        <v/>
      </c>
      <c r="F278" s="94" t="n"/>
      <c r="G278" s="120">
        <f t="array" ref="G278:G278">IF(OR(D278="",F278=""),"",IFERROR(IF(AND(OR(INDEX('1.職能辭典'!$J:$J,MATCH(F278,'1.職能辭典'!$C:$C,0))="全部",INDEX('3.員工名單'!$H:$H,MATCH(A278,'3.員工名單'!$A:$A,0))="兩款共用",INDEX('3.員工名單'!$H:$H,MATCH(A278,'3.員工名單'!$A:$A,0))=INDEX('1.職能辭典'!$J:$J,MATCH(F278,'1.職能辭典'!$C:$C,0))),OR(INDEX('1.職能辭典'!$K:$K,MATCH(F278,'1.職能辭典'!$C:$C,0))="全部",SUMPRODUCT(ISNUMBER(SEARCH({"經營","管理","財務","企劃","營運","技術","數據","美術","測試","客服"},INDEX('3.員工名單'!$I:$I,MATCH(A278,'3.員工名單'!$A:$A,0))))*ISNUMBER(SEARCH({"經營","管理","財務","企劃","營運","技術","數據","美術","測試","客服"},INDEX('1.職能辭典'!$K:$K,MATCH(F278,'1.職能辭典'!$C:$C,0)))))&gt;0)),INDEX('2.職務職能需求'!$B$2:$F$28,MATCH(F278,'2.職務職能需求'!$A$2:$A$28,0),MATCH(D278,'2.職務職能需求'!$B$1:$F$1,0)),0),""))</f>
        <v/>
      </c>
      <c r="H278" s="94" t="n"/>
      <c r="I278" s="94" t="n"/>
      <c r="J278" s="120">
        <f>IF(OR(G278="",I278="",G278=0),"",I278-G278)</f>
        <v/>
      </c>
      <c r="K278" s="120">
        <f>IF(G278="","",IF(G278=0,"不適用",IF(I278="","待評核",IF(I278&gt;=G278,IF(I278&gt;G278,"超越","達標"),"待發展"))))</f>
        <v/>
      </c>
      <c r="L278" s="91" t="n"/>
      <c r="M278" s="91" t="n"/>
      <c r="N278" s="88" t="n"/>
    </row>
    <row r="279" ht="15.75" customHeight="1" s="64">
      <c r="A279" s="88" t="n"/>
      <c r="B279" s="120">
        <f t="array" ref="B279:B279">IF(A279="","",IFERROR(INDEX('3.員工名單'!$B:$B,MATCH(A279,'3.員工名單'!$A:$A,0)),"查無此員工"))</f>
        <v/>
      </c>
      <c r="C279" s="120">
        <f t="array" ref="C279:C279">IF(A279="","",IFERROR(INDEX('3.員工名單'!$C:$C,MATCH(A279,'3.員工名單'!$A:$A,0)),""))</f>
        <v/>
      </c>
      <c r="D279" s="120">
        <f t="array" ref="D279:D279">IF(A279="","",IFERROR(INDEX('3.員工名單'!$D:$D,MATCH(A279,'3.員工名單'!$A:$A,0)),""))</f>
        <v/>
      </c>
      <c r="E279" s="120">
        <f t="array" ref="E279:E279">IF(F279="","",IFERROR(INDEX('1.職能辭典'!$A:$A,MATCH(F279,'1.職能辭典'!$C:$C,0)),""))</f>
        <v/>
      </c>
      <c r="F279" s="94" t="n"/>
      <c r="G279" s="120">
        <f t="array" ref="G279:G279">IF(OR(D279="",F279=""),"",IFERROR(IF(AND(OR(INDEX('1.職能辭典'!$J:$J,MATCH(F279,'1.職能辭典'!$C:$C,0))="全部",INDEX('3.員工名單'!$H:$H,MATCH(A279,'3.員工名單'!$A:$A,0))="兩款共用",INDEX('3.員工名單'!$H:$H,MATCH(A279,'3.員工名單'!$A:$A,0))=INDEX('1.職能辭典'!$J:$J,MATCH(F279,'1.職能辭典'!$C:$C,0))),OR(INDEX('1.職能辭典'!$K:$K,MATCH(F279,'1.職能辭典'!$C:$C,0))="全部",SUMPRODUCT(ISNUMBER(SEARCH({"經營","管理","財務","企劃","營運","技術","數據","美術","測試","客服"},INDEX('3.員工名單'!$I:$I,MATCH(A279,'3.員工名單'!$A:$A,0))))*ISNUMBER(SEARCH({"經營","管理","財務","企劃","營運","技術","數據","美術","測試","客服"},INDEX('1.職能辭典'!$K:$K,MATCH(F279,'1.職能辭典'!$C:$C,0)))))&gt;0)),INDEX('2.職務職能需求'!$B$2:$F$28,MATCH(F279,'2.職務職能需求'!$A$2:$A$28,0),MATCH(D279,'2.職務職能需求'!$B$1:$F$1,0)),0),""))</f>
        <v/>
      </c>
      <c r="H279" s="94" t="n"/>
      <c r="I279" s="94" t="n"/>
      <c r="J279" s="120">
        <f>IF(OR(G279="",I279="",G279=0),"",I279-G279)</f>
        <v/>
      </c>
      <c r="K279" s="120">
        <f>IF(G279="","",IF(G279=0,"不適用",IF(I279="","待評核",IF(I279&gt;=G279,IF(I279&gt;G279,"超越","達標"),"待發展"))))</f>
        <v/>
      </c>
      <c r="L279" s="91" t="n"/>
      <c r="M279" s="91" t="n"/>
      <c r="N279" s="88" t="n"/>
    </row>
    <row r="280" ht="15.75" customHeight="1" s="64">
      <c r="A280" s="88" t="n"/>
      <c r="B280" s="120">
        <f t="array" ref="B280:B280">IF(A280="","",IFERROR(INDEX('3.員工名單'!$B:$B,MATCH(A280,'3.員工名單'!$A:$A,0)),"查無此員工"))</f>
        <v/>
      </c>
      <c r="C280" s="120">
        <f t="array" ref="C280:C280">IF(A280="","",IFERROR(INDEX('3.員工名單'!$C:$C,MATCH(A280,'3.員工名單'!$A:$A,0)),""))</f>
        <v/>
      </c>
      <c r="D280" s="120">
        <f t="array" ref="D280:D280">IF(A280="","",IFERROR(INDEX('3.員工名單'!$D:$D,MATCH(A280,'3.員工名單'!$A:$A,0)),""))</f>
        <v/>
      </c>
      <c r="E280" s="120">
        <f t="array" ref="E280:E280">IF(F280="","",IFERROR(INDEX('1.職能辭典'!$A:$A,MATCH(F280,'1.職能辭典'!$C:$C,0)),""))</f>
        <v/>
      </c>
      <c r="F280" s="94" t="n"/>
      <c r="G280" s="120">
        <f t="array" ref="G280:G280">IF(OR(D280="",F280=""),"",IFERROR(IF(AND(OR(INDEX('1.職能辭典'!$J:$J,MATCH(F280,'1.職能辭典'!$C:$C,0))="全部",INDEX('3.員工名單'!$H:$H,MATCH(A280,'3.員工名單'!$A:$A,0))="兩款共用",INDEX('3.員工名單'!$H:$H,MATCH(A280,'3.員工名單'!$A:$A,0))=INDEX('1.職能辭典'!$J:$J,MATCH(F280,'1.職能辭典'!$C:$C,0))),OR(INDEX('1.職能辭典'!$K:$K,MATCH(F280,'1.職能辭典'!$C:$C,0))="全部",SUMPRODUCT(ISNUMBER(SEARCH({"經營","管理","財務","企劃","營運","技術","數據","美術","測試","客服"},INDEX('3.員工名單'!$I:$I,MATCH(A280,'3.員工名單'!$A:$A,0))))*ISNUMBER(SEARCH({"經營","管理","財務","企劃","營運","技術","數據","美術","測試","客服"},INDEX('1.職能辭典'!$K:$K,MATCH(F280,'1.職能辭典'!$C:$C,0)))))&gt;0)),INDEX('2.職務職能需求'!$B$2:$F$28,MATCH(F280,'2.職務職能需求'!$A$2:$A$28,0),MATCH(D280,'2.職務職能需求'!$B$1:$F$1,0)),0),""))</f>
        <v/>
      </c>
      <c r="H280" s="94" t="n"/>
      <c r="I280" s="94" t="n"/>
      <c r="J280" s="120">
        <f>IF(OR(G280="",I280="",G280=0),"",I280-G280)</f>
        <v/>
      </c>
      <c r="K280" s="120">
        <f>IF(G280="","",IF(G280=0,"不適用",IF(I280="","待評核",IF(I280&gt;=G280,IF(I280&gt;G280,"超越","達標"),"待發展"))))</f>
        <v/>
      </c>
      <c r="L280" s="91" t="n"/>
      <c r="M280" s="91" t="n"/>
      <c r="N280" s="88" t="n"/>
    </row>
    <row r="281" ht="15.75" customHeight="1" s="64">
      <c r="A281" s="88" t="n"/>
      <c r="B281" s="120">
        <f t="array" ref="B281:B281">IF(A281="","",IFERROR(INDEX('3.員工名單'!$B:$B,MATCH(A281,'3.員工名單'!$A:$A,0)),"查無此員工"))</f>
        <v/>
      </c>
      <c r="C281" s="120">
        <f t="array" ref="C281:C281">IF(A281="","",IFERROR(INDEX('3.員工名單'!$C:$C,MATCH(A281,'3.員工名單'!$A:$A,0)),""))</f>
        <v/>
      </c>
      <c r="D281" s="120">
        <f t="array" ref="D281:D281">IF(A281="","",IFERROR(INDEX('3.員工名單'!$D:$D,MATCH(A281,'3.員工名單'!$A:$A,0)),""))</f>
        <v/>
      </c>
      <c r="E281" s="120">
        <f t="array" ref="E281:E281">IF(F281="","",IFERROR(INDEX('1.職能辭典'!$A:$A,MATCH(F281,'1.職能辭典'!$C:$C,0)),""))</f>
        <v/>
      </c>
      <c r="F281" s="94" t="n"/>
      <c r="G281" s="120">
        <f t="array" ref="G281:G281">IF(OR(D281="",F281=""),"",IFERROR(IF(AND(OR(INDEX('1.職能辭典'!$J:$J,MATCH(F281,'1.職能辭典'!$C:$C,0))="全部",INDEX('3.員工名單'!$H:$H,MATCH(A281,'3.員工名單'!$A:$A,0))="兩款共用",INDEX('3.員工名單'!$H:$H,MATCH(A281,'3.員工名單'!$A:$A,0))=INDEX('1.職能辭典'!$J:$J,MATCH(F281,'1.職能辭典'!$C:$C,0))),OR(INDEX('1.職能辭典'!$K:$K,MATCH(F281,'1.職能辭典'!$C:$C,0))="全部",SUMPRODUCT(ISNUMBER(SEARCH({"經營","管理","財務","企劃","營運","技術","數據","美術","測試","客服"},INDEX('3.員工名單'!$I:$I,MATCH(A281,'3.員工名單'!$A:$A,0))))*ISNUMBER(SEARCH({"經營","管理","財務","企劃","營運","技術","數據","美術","測試","客服"},INDEX('1.職能辭典'!$K:$K,MATCH(F281,'1.職能辭典'!$C:$C,0)))))&gt;0)),INDEX('2.職務職能需求'!$B$2:$F$28,MATCH(F281,'2.職務職能需求'!$A$2:$A$28,0),MATCH(D281,'2.職務職能需求'!$B$1:$F$1,0)),0),""))</f>
        <v/>
      </c>
      <c r="H281" s="94" t="n"/>
      <c r="I281" s="94" t="n"/>
      <c r="J281" s="120">
        <f>IF(OR(G281="",I281="",G281=0),"",I281-G281)</f>
        <v/>
      </c>
      <c r="K281" s="120">
        <f>IF(G281="","",IF(G281=0,"不適用",IF(I281="","待評核",IF(I281&gt;=G281,IF(I281&gt;G281,"超越","達標"),"待發展"))))</f>
        <v/>
      </c>
      <c r="L281" s="91" t="n"/>
      <c r="M281" s="91" t="n"/>
      <c r="N281" s="88" t="n"/>
    </row>
    <row r="282" ht="15.75" customHeight="1" s="64">
      <c r="A282" s="88" t="n"/>
      <c r="B282" s="120">
        <f t="array" ref="B282:B282">IF(A282="","",IFERROR(INDEX('3.員工名單'!$B:$B,MATCH(A282,'3.員工名單'!$A:$A,0)),"查無此員工"))</f>
        <v/>
      </c>
      <c r="C282" s="120">
        <f t="array" ref="C282:C282">IF(A282="","",IFERROR(INDEX('3.員工名單'!$C:$C,MATCH(A282,'3.員工名單'!$A:$A,0)),""))</f>
        <v/>
      </c>
      <c r="D282" s="120">
        <f t="array" ref="D282:D282">IF(A282="","",IFERROR(INDEX('3.員工名單'!$D:$D,MATCH(A282,'3.員工名單'!$A:$A,0)),""))</f>
        <v/>
      </c>
      <c r="E282" s="120">
        <f t="array" ref="E282:E282">IF(F282="","",IFERROR(INDEX('1.職能辭典'!$A:$A,MATCH(F282,'1.職能辭典'!$C:$C,0)),""))</f>
        <v/>
      </c>
      <c r="F282" s="94" t="n"/>
      <c r="G282" s="120">
        <f t="array" ref="G282:G282">IF(OR(D282="",F282=""),"",IFERROR(IF(AND(OR(INDEX('1.職能辭典'!$J:$J,MATCH(F282,'1.職能辭典'!$C:$C,0))="全部",INDEX('3.員工名單'!$H:$H,MATCH(A282,'3.員工名單'!$A:$A,0))="兩款共用",INDEX('3.員工名單'!$H:$H,MATCH(A282,'3.員工名單'!$A:$A,0))=INDEX('1.職能辭典'!$J:$J,MATCH(F282,'1.職能辭典'!$C:$C,0))),OR(INDEX('1.職能辭典'!$K:$K,MATCH(F282,'1.職能辭典'!$C:$C,0))="全部",SUMPRODUCT(ISNUMBER(SEARCH({"經營","管理","財務","企劃","營運","技術","數據","美術","測試","客服"},INDEX('3.員工名單'!$I:$I,MATCH(A282,'3.員工名單'!$A:$A,0))))*ISNUMBER(SEARCH({"經營","管理","財務","企劃","營運","技術","數據","美術","測試","客服"},INDEX('1.職能辭典'!$K:$K,MATCH(F282,'1.職能辭典'!$C:$C,0)))))&gt;0)),INDEX('2.職務職能需求'!$B$2:$F$28,MATCH(F282,'2.職務職能需求'!$A$2:$A$28,0),MATCH(D282,'2.職務職能需求'!$B$1:$F$1,0)),0),""))</f>
        <v/>
      </c>
      <c r="H282" s="94" t="n"/>
      <c r="I282" s="94" t="n"/>
      <c r="J282" s="120">
        <f>IF(OR(G282="",I282="",G282=0),"",I282-G282)</f>
        <v/>
      </c>
      <c r="K282" s="120">
        <f>IF(G282="","",IF(G282=0,"不適用",IF(I282="","待評核",IF(I282&gt;=G282,IF(I282&gt;G282,"超越","達標"),"待發展"))))</f>
        <v/>
      </c>
      <c r="L282" s="91" t="n"/>
      <c r="M282" s="91" t="n"/>
      <c r="N282" s="88" t="n"/>
    </row>
    <row r="283" ht="15.75" customHeight="1" s="64">
      <c r="A283" s="88" t="n"/>
      <c r="B283" s="120">
        <f t="array" ref="B283:B283">IF(A283="","",IFERROR(INDEX('3.員工名單'!$B:$B,MATCH(A283,'3.員工名單'!$A:$A,0)),"查無此員工"))</f>
        <v/>
      </c>
      <c r="C283" s="120">
        <f t="array" ref="C283:C283">IF(A283="","",IFERROR(INDEX('3.員工名單'!$C:$C,MATCH(A283,'3.員工名單'!$A:$A,0)),""))</f>
        <v/>
      </c>
      <c r="D283" s="120">
        <f t="array" ref="D283:D283">IF(A283="","",IFERROR(INDEX('3.員工名單'!$D:$D,MATCH(A283,'3.員工名單'!$A:$A,0)),""))</f>
        <v/>
      </c>
      <c r="E283" s="120">
        <f t="array" ref="E283:E283">IF(F283="","",IFERROR(INDEX('1.職能辭典'!$A:$A,MATCH(F283,'1.職能辭典'!$C:$C,0)),""))</f>
        <v/>
      </c>
      <c r="F283" s="94" t="n"/>
      <c r="G283" s="120">
        <f t="array" ref="G283:G283">IF(OR(D283="",F283=""),"",IFERROR(IF(AND(OR(INDEX('1.職能辭典'!$J:$J,MATCH(F283,'1.職能辭典'!$C:$C,0))="全部",INDEX('3.員工名單'!$H:$H,MATCH(A283,'3.員工名單'!$A:$A,0))="兩款共用",INDEX('3.員工名單'!$H:$H,MATCH(A283,'3.員工名單'!$A:$A,0))=INDEX('1.職能辭典'!$J:$J,MATCH(F283,'1.職能辭典'!$C:$C,0))),OR(INDEX('1.職能辭典'!$K:$K,MATCH(F283,'1.職能辭典'!$C:$C,0))="全部",SUMPRODUCT(ISNUMBER(SEARCH({"經營","管理","財務","企劃","營運","技術","數據","美術","測試","客服"},INDEX('3.員工名單'!$I:$I,MATCH(A283,'3.員工名單'!$A:$A,0))))*ISNUMBER(SEARCH({"經營","管理","財務","企劃","營運","技術","數據","美術","測試","客服"},INDEX('1.職能辭典'!$K:$K,MATCH(F283,'1.職能辭典'!$C:$C,0)))))&gt;0)),INDEX('2.職務職能需求'!$B$2:$F$28,MATCH(F283,'2.職務職能需求'!$A$2:$A$28,0),MATCH(D283,'2.職務職能需求'!$B$1:$F$1,0)),0),""))</f>
        <v/>
      </c>
      <c r="H283" s="94" t="n"/>
      <c r="I283" s="94" t="n"/>
      <c r="J283" s="120">
        <f>IF(OR(G283="",I283="",G283=0),"",I283-G283)</f>
        <v/>
      </c>
      <c r="K283" s="120">
        <f>IF(G283="","",IF(G283=0,"不適用",IF(I283="","待評核",IF(I283&gt;=G283,IF(I283&gt;G283,"超越","達標"),"待發展"))))</f>
        <v/>
      </c>
      <c r="L283" s="91" t="n"/>
      <c r="M283" s="91" t="n"/>
      <c r="N283" s="88" t="n"/>
    </row>
    <row r="284" ht="15.75" customHeight="1" s="64">
      <c r="A284" s="88" t="n"/>
      <c r="B284" s="120">
        <f t="array" ref="B284:B284">IF(A284="","",IFERROR(INDEX('3.員工名單'!$B:$B,MATCH(A284,'3.員工名單'!$A:$A,0)),"查無此員工"))</f>
        <v/>
      </c>
      <c r="C284" s="120">
        <f t="array" ref="C284:C284">IF(A284="","",IFERROR(INDEX('3.員工名單'!$C:$C,MATCH(A284,'3.員工名單'!$A:$A,0)),""))</f>
        <v/>
      </c>
      <c r="D284" s="120">
        <f t="array" ref="D284:D284">IF(A284="","",IFERROR(INDEX('3.員工名單'!$D:$D,MATCH(A284,'3.員工名單'!$A:$A,0)),""))</f>
        <v/>
      </c>
      <c r="E284" s="120">
        <f t="array" ref="E284:E284">IF(F284="","",IFERROR(INDEX('1.職能辭典'!$A:$A,MATCH(F284,'1.職能辭典'!$C:$C,0)),""))</f>
        <v/>
      </c>
      <c r="F284" s="94" t="n"/>
      <c r="G284" s="120">
        <f t="array" ref="G284:G284">IF(OR(D284="",F284=""),"",IFERROR(IF(AND(OR(INDEX('1.職能辭典'!$J:$J,MATCH(F284,'1.職能辭典'!$C:$C,0))="全部",INDEX('3.員工名單'!$H:$H,MATCH(A284,'3.員工名單'!$A:$A,0))="兩款共用",INDEX('3.員工名單'!$H:$H,MATCH(A284,'3.員工名單'!$A:$A,0))=INDEX('1.職能辭典'!$J:$J,MATCH(F284,'1.職能辭典'!$C:$C,0))),OR(INDEX('1.職能辭典'!$K:$K,MATCH(F284,'1.職能辭典'!$C:$C,0))="全部",SUMPRODUCT(ISNUMBER(SEARCH({"經營","管理","財務","企劃","營運","技術","數據","美術","測試","客服"},INDEX('3.員工名單'!$I:$I,MATCH(A284,'3.員工名單'!$A:$A,0))))*ISNUMBER(SEARCH({"經營","管理","財務","企劃","營運","技術","數據","美術","測試","客服"},INDEX('1.職能辭典'!$K:$K,MATCH(F284,'1.職能辭典'!$C:$C,0)))))&gt;0)),INDEX('2.職務職能需求'!$B$2:$F$28,MATCH(F284,'2.職務職能需求'!$A$2:$A$28,0),MATCH(D284,'2.職務職能需求'!$B$1:$F$1,0)),0),""))</f>
        <v/>
      </c>
      <c r="H284" s="94" t="n"/>
      <c r="I284" s="94" t="n"/>
      <c r="J284" s="120">
        <f>IF(OR(G284="",I284="",G284=0),"",I284-G284)</f>
        <v/>
      </c>
      <c r="K284" s="120">
        <f>IF(G284="","",IF(G284=0,"不適用",IF(I284="","待評核",IF(I284&gt;=G284,IF(I284&gt;G284,"超越","達標"),"待發展"))))</f>
        <v/>
      </c>
      <c r="L284" s="91" t="n"/>
      <c r="M284" s="91" t="n"/>
      <c r="N284" s="88" t="n"/>
    </row>
    <row r="285" ht="15.75" customHeight="1" s="64">
      <c r="A285" s="88" t="n"/>
      <c r="B285" s="120">
        <f t="array" ref="B285:B285">IF(A285="","",IFERROR(INDEX('3.員工名單'!$B:$B,MATCH(A285,'3.員工名單'!$A:$A,0)),"查無此員工"))</f>
        <v/>
      </c>
      <c r="C285" s="120">
        <f t="array" ref="C285:C285">IF(A285="","",IFERROR(INDEX('3.員工名單'!$C:$C,MATCH(A285,'3.員工名單'!$A:$A,0)),""))</f>
        <v/>
      </c>
      <c r="D285" s="120">
        <f t="array" ref="D285:D285">IF(A285="","",IFERROR(INDEX('3.員工名單'!$D:$D,MATCH(A285,'3.員工名單'!$A:$A,0)),""))</f>
        <v/>
      </c>
      <c r="E285" s="120">
        <f t="array" ref="E285:E285">IF(F285="","",IFERROR(INDEX('1.職能辭典'!$A:$A,MATCH(F285,'1.職能辭典'!$C:$C,0)),""))</f>
        <v/>
      </c>
      <c r="F285" s="94" t="n"/>
      <c r="G285" s="120">
        <f t="array" ref="G285:G285">IF(OR(D285="",F285=""),"",IFERROR(IF(AND(OR(INDEX('1.職能辭典'!$J:$J,MATCH(F285,'1.職能辭典'!$C:$C,0))="全部",INDEX('3.員工名單'!$H:$H,MATCH(A285,'3.員工名單'!$A:$A,0))="兩款共用",INDEX('3.員工名單'!$H:$H,MATCH(A285,'3.員工名單'!$A:$A,0))=INDEX('1.職能辭典'!$J:$J,MATCH(F285,'1.職能辭典'!$C:$C,0))),OR(INDEX('1.職能辭典'!$K:$K,MATCH(F285,'1.職能辭典'!$C:$C,0))="全部",SUMPRODUCT(ISNUMBER(SEARCH({"經營","管理","財務","企劃","營運","技術","數據","美術","測試","客服"},INDEX('3.員工名單'!$I:$I,MATCH(A285,'3.員工名單'!$A:$A,0))))*ISNUMBER(SEARCH({"經營","管理","財務","企劃","營運","技術","數據","美術","測試","客服"},INDEX('1.職能辭典'!$K:$K,MATCH(F285,'1.職能辭典'!$C:$C,0)))))&gt;0)),INDEX('2.職務職能需求'!$B$2:$F$28,MATCH(F285,'2.職務職能需求'!$A$2:$A$28,0),MATCH(D285,'2.職務職能需求'!$B$1:$F$1,0)),0),""))</f>
        <v/>
      </c>
      <c r="H285" s="94" t="n"/>
      <c r="I285" s="94" t="n"/>
      <c r="J285" s="120">
        <f>IF(OR(G285="",I285="",G285=0),"",I285-G285)</f>
        <v/>
      </c>
      <c r="K285" s="120">
        <f>IF(G285="","",IF(G285=0,"不適用",IF(I285="","待評核",IF(I285&gt;=G285,IF(I285&gt;G285,"超越","達標"),"待發展"))))</f>
        <v/>
      </c>
      <c r="L285" s="91" t="n"/>
      <c r="M285" s="91" t="n"/>
      <c r="N285" s="88" t="n"/>
    </row>
    <row r="286" ht="15.75" customHeight="1" s="64">
      <c r="A286" s="88" t="n"/>
      <c r="B286" s="120">
        <f t="array" ref="B286:B286">IF(A286="","",IFERROR(INDEX('3.員工名單'!$B:$B,MATCH(A286,'3.員工名單'!$A:$A,0)),"查無此員工"))</f>
        <v/>
      </c>
      <c r="C286" s="120">
        <f t="array" ref="C286:C286">IF(A286="","",IFERROR(INDEX('3.員工名單'!$C:$C,MATCH(A286,'3.員工名單'!$A:$A,0)),""))</f>
        <v/>
      </c>
      <c r="D286" s="120">
        <f t="array" ref="D286:D286">IF(A286="","",IFERROR(INDEX('3.員工名單'!$D:$D,MATCH(A286,'3.員工名單'!$A:$A,0)),""))</f>
        <v/>
      </c>
      <c r="E286" s="120">
        <f t="array" ref="E286:E286">IF(F286="","",IFERROR(INDEX('1.職能辭典'!$A:$A,MATCH(F286,'1.職能辭典'!$C:$C,0)),""))</f>
        <v/>
      </c>
      <c r="F286" s="94" t="n"/>
      <c r="G286" s="120">
        <f t="array" ref="G286:G286">IF(OR(D286="",F286=""),"",IFERROR(IF(AND(OR(INDEX('1.職能辭典'!$J:$J,MATCH(F286,'1.職能辭典'!$C:$C,0))="全部",INDEX('3.員工名單'!$H:$H,MATCH(A286,'3.員工名單'!$A:$A,0))="兩款共用",INDEX('3.員工名單'!$H:$H,MATCH(A286,'3.員工名單'!$A:$A,0))=INDEX('1.職能辭典'!$J:$J,MATCH(F286,'1.職能辭典'!$C:$C,0))),OR(INDEX('1.職能辭典'!$K:$K,MATCH(F286,'1.職能辭典'!$C:$C,0))="全部",SUMPRODUCT(ISNUMBER(SEARCH({"經營","管理","財務","企劃","營運","技術","數據","美術","測試","客服"},INDEX('3.員工名單'!$I:$I,MATCH(A286,'3.員工名單'!$A:$A,0))))*ISNUMBER(SEARCH({"經營","管理","財務","企劃","營運","技術","數據","美術","測試","客服"},INDEX('1.職能辭典'!$K:$K,MATCH(F286,'1.職能辭典'!$C:$C,0)))))&gt;0)),INDEX('2.職務職能需求'!$B$2:$F$28,MATCH(F286,'2.職務職能需求'!$A$2:$A$28,0),MATCH(D286,'2.職務職能需求'!$B$1:$F$1,0)),0),""))</f>
        <v/>
      </c>
      <c r="H286" s="94" t="n"/>
      <c r="I286" s="94" t="n"/>
      <c r="J286" s="120">
        <f>IF(OR(G286="",I286="",G286=0),"",I286-G286)</f>
        <v/>
      </c>
      <c r="K286" s="120">
        <f>IF(G286="","",IF(G286=0,"不適用",IF(I286="","待評核",IF(I286&gt;=G286,IF(I286&gt;G286,"超越","達標"),"待發展"))))</f>
        <v/>
      </c>
      <c r="L286" s="91" t="n"/>
      <c r="M286" s="91" t="n"/>
      <c r="N286" s="88" t="n"/>
    </row>
    <row r="287" ht="15.75" customHeight="1" s="64">
      <c r="A287" s="88" t="n"/>
      <c r="B287" s="120">
        <f t="array" ref="B287:B287">IF(A287="","",IFERROR(INDEX('3.員工名單'!$B:$B,MATCH(A287,'3.員工名單'!$A:$A,0)),"查無此員工"))</f>
        <v/>
      </c>
      <c r="C287" s="120">
        <f t="array" ref="C287:C287">IF(A287="","",IFERROR(INDEX('3.員工名單'!$C:$C,MATCH(A287,'3.員工名單'!$A:$A,0)),""))</f>
        <v/>
      </c>
      <c r="D287" s="120">
        <f t="array" ref="D287:D287">IF(A287="","",IFERROR(INDEX('3.員工名單'!$D:$D,MATCH(A287,'3.員工名單'!$A:$A,0)),""))</f>
        <v/>
      </c>
      <c r="E287" s="120">
        <f t="array" ref="E287:E287">IF(F287="","",IFERROR(INDEX('1.職能辭典'!$A:$A,MATCH(F287,'1.職能辭典'!$C:$C,0)),""))</f>
        <v/>
      </c>
      <c r="F287" s="94" t="n"/>
      <c r="G287" s="120">
        <f t="array" ref="G287:G287">IF(OR(D287="",F287=""),"",IFERROR(IF(AND(OR(INDEX('1.職能辭典'!$J:$J,MATCH(F287,'1.職能辭典'!$C:$C,0))="全部",INDEX('3.員工名單'!$H:$H,MATCH(A287,'3.員工名單'!$A:$A,0))="兩款共用",INDEX('3.員工名單'!$H:$H,MATCH(A287,'3.員工名單'!$A:$A,0))=INDEX('1.職能辭典'!$J:$J,MATCH(F287,'1.職能辭典'!$C:$C,0))),OR(INDEX('1.職能辭典'!$K:$K,MATCH(F287,'1.職能辭典'!$C:$C,0))="全部",SUMPRODUCT(ISNUMBER(SEARCH({"經營","管理","財務","企劃","營運","技術","數據","美術","測試","客服"},INDEX('3.員工名單'!$I:$I,MATCH(A287,'3.員工名單'!$A:$A,0))))*ISNUMBER(SEARCH({"經營","管理","財務","企劃","營運","技術","數據","美術","測試","客服"},INDEX('1.職能辭典'!$K:$K,MATCH(F287,'1.職能辭典'!$C:$C,0)))))&gt;0)),INDEX('2.職務職能需求'!$B$2:$F$28,MATCH(F287,'2.職務職能需求'!$A$2:$A$28,0),MATCH(D287,'2.職務職能需求'!$B$1:$F$1,0)),0),""))</f>
        <v/>
      </c>
      <c r="H287" s="94" t="n"/>
      <c r="I287" s="94" t="n"/>
      <c r="J287" s="120">
        <f>IF(OR(G287="",I287="",G287=0),"",I287-G287)</f>
        <v/>
      </c>
      <c r="K287" s="120">
        <f>IF(G287="","",IF(G287=0,"不適用",IF(I287="","待評核",IF(I287&gt;=G287,IF(I287&gt;G287,"超越","達標"),"待發展"))))</f>
        <v/>
      </c>
      <c r="L287" s="91" t="n"/>
      <c r="M287" s="91" t="n"/>
      <c r="N287" s="88" t="n"/>
    </row>
    <row r="288" ht="15.75" customHeight="1" s="64">
      <c r="A288" s="88" t="n"/>
      <c r="B288" s="120">
        <f t="array" ref="B288:B288">IF(A288="","",IFERROR(INDEX('3.員工名單'!$B:$B,MATCH(A288,'3.員工名單'!$A:$A,0)),"查無此員工"))</f>
        <v/>
      </c>
      <c r="C288" s="120">
        <f t="array" ref="C288:C288">IF(A288="","",IFERROR(INDEX('3.員工名單'!$C:$C,MATCH(A288,'3.員工名單'!$A:$A,0)),""))</f>
        <v/>
      </c>
      <c r="D288" s="120">
        <f t="array" ref="D288:D288">IF(A288="","",IFERROR(INDEX('3.員工名單'!$D:$D,MATCH(A288,'3.員工名單'!$A:$A,0)),""))</f>
        <v/>
      </c>
      <c r="E288" s="120">
        <f t="array" ref="E288:E288">IF(F288="","",IFERROR(INDEX('1.職能辭典'!$A:$A,MATCH(F288,'1.職能辭典'!$C:$C,0)),""))</f>
        <v/>
      </c>
      <c r="F288" s="94" t="n"/>
      <c r="G288" s="120">
        <f t="array" ref="G288:G288">IF(OR(D288="",F288=""),"",IFERROR(IF(AND(OR(INDEX('1.職能辭典'!$J:$J,MATCH(F288,'1.職能辭典'!$C:$C,0))="全部",INDEX('3.員工名單'!$H:$H,MATCH(A288,'3.員工名單'!$A:$A,0))="兩款共用",INDEX('3.員工名單'!$H:$H,MATCH(A288,'3.員工名單'!$A:$A,0))=INDEX('1.職能辭典'!$J:$J,MATCH(F288,'1.職能辭典'!$C:$C,0))),OR(INDEX('1.職能辭典'!$K:$K,MATCH(F288,'1.職能辭典'!$C:$C,0))="全部",SUMPRODUCT(ISNUMBER(SEARCH({"經營","管理","財務","企劃","營運","技術","數據","美術","測試","客服"},INDEX('3.員工名單'!$I:$I,MATCH(A288,'3.員工名單'!$A:$A,0))))*ISNUMBER(SEARCH({"經營","管理","財務","企劃","營運","技術","數據","美術","測試","客服"},INDEX('1.職能辭典'!$K:$K,MATCH(F288,'1.職能辭典'!$C:$C,0)))))&gt;0)),INDEX('2.職務職能需求'!$B$2:$F$28,MATCH(F288,'2.職務職能需求'!$A$2:$A$28,0),MATCH(D288,'2.職務職能需求'!$B$1:$F$1,0)),0),""))</f>
        <v/>
      </c>
      <c r="H288" s="94" t="n"/>
      <c r="I288" s="94" t="n"/>
      <c r="J288" s="120">
        <f>IF(OR(G288="",I288="",G288=0),"",I288-G288)</f>
        <v/>
      </c>
      <c r="K288" s="120">
        <f>IF(G288="","",IF(G288=0,"不適用",IF(I288="","待評核",IF(I288&gt;=G288,IF(I288&gt;G288,"超越","達標"),"待發展"))))</f>
        <v/>
      </c>
      <c r="L288" s="91" t="n"/>
      <c r="M288" s="91" t="n"/>
      <c r="N288" s="88" t="n"/>
    </row>
    <row r="289" ht="15.75" customHeight="1" s="64">
      <c r="A289" s="88" t="n"/>
      <c r="B289" s="120">
        <f t="array" ref="B289:B289">IF(A289="","",IFERROR(INDEX('3.員工名單'!$B:$B,MATCH(A289,'3.員工名單'!$A:$A,0)),"查無此員工"))</f>
        <v/>
      </c>
      <c r="C289" s="120">
        <f t="array" ref="C289:C289">IF(A289="","",IFERROR(INDEX('3.員工名單'!$C:$C,MATCH(A289,'3.員工名單'!$A:$A,0)),""))</f>
        <v/>
      </c>
      <c r="D289" s="120">
        <f t="array" ref="D289:D289">IF(A289="","",IFERROR(INDEX('3.員工名單'!$D:$D,MATCH(A289,'3.員工名單'!$A:$A,0)),""))</f>
        <v/>
      </c>
      <c r="E289" s="120">
        <f t="array" ref="E289:E289">IF(F289="","",IFERROR(INDEX('1.職能辭典'!$A:$A,MATCH(F289,'1.職能辭典'!$C:$C,0)),""))</f>
        <v/>
      </c>
      <c r="F289" s="94" t="n"/>
      <c r="G289" s="120">
        <f t="array" ref="G289:G289">IF(OR(D289="",F289=""),"",IFERROR(IF(AND(OR(INDEX('1.職能辭典'!$J:$J,MATCH(F289,'1.職能辭典'!$C:$C,0))="全部",INDEX('3.員工名單'!$H:$H,MATCH(A289,'3.員工名單'!$A:$A,0))="兩款共用",INDEX('3.員工名單'!$H:$H,MATCH(A289,'3.員工名單'!$A:$A,0))=INDEX('1.職能辭典'!$J:$J,MATCH(F289,'1.職能辭典'!$C:$C,0))),OR(INDEX('1.職能辭典'!$K:$K,MATCH(F289,'1.職能辭典'!$C:$C,0))="全部",SUMPRODUCT(ISNUMBER(SEARCH({"經營","管理","財務","企劃","營運","技術","數據","美術","測試","客服"},INDEX('3.員工名單'!$I:$I,MATCH(A289,'3.員工名單'!$A:$A,0))))*ISNUMBER(SEARCH({"經營","管理","財務","企劃","營運","技術","數據","美術","測試","客服"},INDEX('1.職能辭典'!$K:$K,MATCH(F289,'1.職能辭典'!$C:$C,0)))))&gt;0)),INDEX('2.職務職能需求'!$B$2:$F$28,MATCH(F289,'2.職務職能需求'!$A$2:$A$28,0),MATCH(D289,'2.職務職能需求'!$B$1:$F$1,0)),0),""))</f>
        <v/>
      </c>
      <c r="H289" s="94" t="n"/>
      <c r="I289" s="94" t="n"/>
      <c r="J289" s="120">
        <f>IF(OR(G289="",I289="",G289=0),"",I289-G289)</f>
        <v/>
      </c>
      <c r="K289" s="120">
        <f>IF(G289="","",IF(G289=0,"不適用",IF(I289="","待評核",IF(I289&gt;=G289,IF(I289&gt;G289,"超越","達標"),"待發展"))))</f>
        <v/>
      </c>
      <c r="L289" s="91" t="n"/>
      <c r="M289" s="91" t="n"/>
      <c r="N289" s="88" t="n"/>
    </row>
    <row r="290" ht="15.75" customHeight="1" s="64">
      <c r="A290" s="88" t="n"/>
      <c r="B290" s="120">
        <f t="array" ref="B290:B290">IF(A290="","",IFERROR(INDEX('3.員工名單'!$B:$B,MATCH(A290,'3.員工名單'!$A:$A,0)),"查無此員工"))</f>
        <v/>
      </c>
      <c r="C290" s="120">
        <f t="array" ref="C290:C290">IF(A290="","",IFERROR(INDEX('3.員工名單'!$C:$C,MATCH(A290,'3.員工名單'!$A:$A,0)),""))</f>
        <v/>
      </c>
      <c r="D290" s="120">
        <f t="array" ref="D290:D290">IF(A290="","",IFERROR(INDEX('3.員工名單'!$D:$D,MATCH(A290,'3.員工名單'!$A:$A,0)),""))</f>
        <v/>
      </c>
      <c r="E290" s="120">
        <f t="array" ref="E290:E290">IF(F290="","",IFERROR(INDEX('1.職能辭典'!$A:$A,MATCH(F290,'1.職能辭典'!$C:$C,0)),""))</f>
        <v/>
      </c>
      <c r="F290" s="94" t="n"/>
      <c r="G290" s="120">
        <f t="array" ref="G290:G290">IF(OR(D290="",F290=""),"",IFERROR(IF(AND(OR(INDEX('1.職能辭典'!$J:$J,MATCH(F290,'1.職能辭典'!$C:$C,0))="全部",INDEX('3.員工名單'!$H:$H,MATCH(A290,'3.員工名單'!$A:$A,0))="兩款共用",INDEX('3.員工名單'!$H:$H,MATCH(A290,'3.員工名單'!$A:$A,0))=INDEX('1.職能辭典'!$J:$J,MATCH(F290,'1.職能辭典'!$C:$C,0))),OR(INDEX('1.職能辭典'!$K:$K,MATCH(F290,'1.職能辭典'!$C:$C,0))="全部",SUMPRODUCT(ISNUMBER(SEARCH({"經營","管理","財務","企劃","營運","技術","數據","美術","測試","客服"},INDEX('3.員工名單'!$I:$I,MATCH(A290,'3.員工名單'!$A:$A,0))))*ISNUMBER(SEARCH({"經營","管理","財務","企劃","營運","技術","數據","美術","測試","客服"},INDEX('1.職能辭典'!$K:$K,MATCH(F290,'1.職能辭典'!$C:$C,0)))))&gt;0)),INDEX('2.職務職能需求'!$B$2:$F$28,MATCH(F290,'2.職務職能需求'!$A$2:$A$28,0),MATCH(D290,'2.職務職能需求'!$B$1:$F$1,0)),0),""))</f>
        <v/>
      </c>
      <c r="H290" s="94" t="n"/>
      <c r="I290" s="94" t="n"/>
      <c r="J290" s="120">
        <f>IF(OR(G290="",I290="",G290=0),"",I290-G290)</f>
        <v/>
      </c>
      <c r="K290" s="120">
        <f>IF(G290="","",IF(G290=0,"不適用",IF(I290="","待評核",IF(I290&gt;=G290,IF(I290&gt;G290,"超越","達標"),"待發展"))))</f>
        <v/>
      </c>
      <c r="L290" s="91" t="n"/>
      <c r="M290" s="91" t="n"/>
      <c r="N290" s="88" t="n"/>
    </row>
    <row r="291" ht="15.75" customHeight="1" s="64">
      <c r="A291" s="88" t="n"/>
      <c r="B291" s="120">
        <f t="array" ref="B291:B291">IF(A291="","",IFERROR(INDEX('3.員工名單'!$B:$B,MATCH(A291,'3.員工名單'!$A:$A,0)),"查無此員工"))</f>
        <v/>
      </c>
      <c r="C291" s="120">
        <f t="array" ref="C291:C291">IF(A291="","",IFERROR(INDEX('3.員工名單'!$C:$C,MATCH(A291,'3.員工名單'!$A:$A,0)),""))</f>
        <v/>
      </c>
      <c r="D291" s="120">
        <f t="array" ref="D291:D291">IF(A291="","",IFERROR(INDEX('3.員工名單'!$D:$D,MATCH(A291,'3.員工名單'!$A:$A,0)),""))</f>
        <v/>
      </c>
      <c r="E291" s="120">
        <f t="array" ref="E291:E291">IF(F291="","",IFERROR(INDEX('1.職能辭典'!$A:$A,MATCH(F291,'1.職能辭典'!$C:$C,0)),""))</f>
        <v/>
      </c>
      <c r="F291" s="94" t="n"/>
      <c r="G291" s="120">
        <f t="array" ref="G291:G291">IF(OR(D291="",F291=""),"",IFERROR(IF(AND(OR(INDEX('1.職能辭典'!$J:$J,MATCH(F291,'1.職能辭典'!$C:$C,0))="全部",INDEX('3.員工名單'!$H:$H,MATCH(A291,'3.員工名單'!$A:$A,0))="兩款共用",INDEX('3.員工名單'!$H:$H,MATCH(A291,'3.員工名單'!$A:$A,0))=INDEX('1.職能辭典'!$J:$J,MATCH(F291,'1.職能辭典'!$C:$C,0))),OR(INDEX('1.職能辭典'!$K:$K,MATCH(F291,'1.職能辭典'!$C:$C,0))="全部",SUMPRODUCT(ISNUMBER(SEARCH({"經營","管理","財務","企劃","營運","技術","數據","美術","測試","客服"},INDEX('3.員工名單'!$I:$I,MATCH(A291,'3.員工名單'!$A:$A,0))))*ISNUMBER(SEARCH({"經營","管理","財務","企劃","營運","技術","數據","美術","測試","客服"},INDEX('1.職能辭典'!$K:$K,MATCH(F291,'1.職能辭典'!$C:$C,0)))))&gt;0)),INDEX('2.職務職能需求'!$B$2:$F$28,MATCH(F291,'2.職務職能需求'!$A$2:$A$28,0),MATCH(D291,'2.職務職能需求'!$B$1:$F$1,0)),0),""))</f>
        <v/>
      </c>
      <c r="H291" s="94" t="n"/>
      <c r="I291" s="94" t="n"/>
      <c r="J291" s="120">
        <f>IF(OR(G291="",I291="",G291=0),"",I291-G291)</f>
        <v/>
      </c>
      <c r="K291" s="120">
        <f>IF(G291="","",IF(G291=0,"不適用",IF(I291="","待評核",IF(I291&gt;=G291,IF(I291&gt;G291,"超越","達標"),"待發展"))))</f>
        <v/>
      </c>
      <c r="L291" s="91" t="n"/>
      <c r="M291" s="91" t="n"/>
      <c r="N291" s="88" t="n"/>
    </row>
    <row r="292" ht="15.75" customHeight="1" s="64">
      <c r="A292" s="88" t="n"/>
      <c r="B292" s="120">
        <f t="array" ref="B292:B292">IF(A292="","",IFERROR(INDEX('3.員工名單'!$B:$B,MATCH(A292,'3.員工名單'!$A:$A,0)),"查無此員工"))</f>
        <v/>
      </c>
      <c r="C292" s="120">
        <f t="array" ref="C292:C292">IF(A292="","",IFERROR(INDEX('3.員工名單'!$C:$C,MATCH(A292,'3.員工名單'!$A:$A,0)),""))</f>
        <v/>
      </c>
      <c r="D292" s="120">
        <f t="array" ref="D292:D292">IF(A292="","",IFERROR(INDEX('3.員工名單'!$D:$D,MATCH(A292,'3.員工名單'!$A:$A,0)),""))</f>
        <v/>
      </c>
      <c r="E292" s="120">
        <f t="array" ref="E292:E292">IF(F292="","",IFERROR(INDEX('1.職能辭典'!$A:$A,MATCH(F292,'1.職能辭典'!$C:$C,0)),""))</f>
        <v/>
      </c>
      <c r="F292" s="94" t="n"/>
      <c r="G292" s="120">
        <f t="array" ref="G292:G292">IF(OR(D292="",F292=""),"",IFERROR(IF(AND(OR(INDEX('1.職能辭典'!$J:$J,MATCH(F292,'1.職能辭典'!$C:$C,0))="全部",INDEX('3.員工名單'!$H:$H,MATCH(A292,'3.員工名單'!$A:$A,0))="兩款共用",INDEX('3.員工名單'!$H:$H,MATCH(A292,'3.員工名單'!$A:$A,0))=INDEX('1.職能辭典'!$J:$J,MATCH(F292,'1.職能辭典'!$C:$C,0))),OR(INDEX('1.職能辭典'!$K:$K,MATCH(F292,'1.職能辭典'!$C:$C,0))="全部",SUMPRODUCT(ISNUMBER(SEARCH({"經營","管理","財務","企劃","營運","技術","數據","美術","測試","客服"},INDEX('3.員工名單'!$I:$I,MATCH(A292,'3.員工名單'!$A:$A,0))))*ISNUMBER(SEARCH({"經營","管理","財務","企劃","營運","技術","數據","美術","測試","客服"},INDEX('1.職能辭典'!$K:$K,MATCH(F292,'1.職能辭典'!$C:$C,0)))))&gt;0)),INDEX('2.職務職能需求'!$B$2:$F$28,MATCH(F292,'2.職務職能需求'!$A$2:$A$28,0),MATCH(D292,'2.職務職能需求'!$B$1:$F$1,0)),0),""))</f>
        <v/>
      </c>
      <c r="H292" s="94" t="n"/>
      <c r="I292" s="94" t="n"/>
      <c r="J292" s="120">
        <f>IF(OR(G292="",I292="",G292=0),"",I292-G292)</f>
        <v/>
      </c>
      <c r="K292" s="120">
        <f>IF(G292="","",IF(G292=0,"不適用",IF(I292="","待評核",IF(I292&gt;=G292,IF(I292&gt;G292,"超越","達標"),"待發展"))))</f>
        <v/>
      </c>
      <c r="L292" s="91" t="n"/>
      <c r="M292" s="91" t="n"/>
      <c r="N292" s="88" t="n"/>
    </row>
    <row r="293" ht="15.75" customHeight="1" s="64">
      <c r="A293" s="88" t="n"/>
      <c r="B293" s="120">
        <f t="array" ref="B293:B293">IF(A293="","",IFERROR(INDEX('3.員工名單'!$B:$B,MATCH(A293,'3.員工名單'!$A:$A,0)),"查無此員工"))</f>
        <v/>
      </c>
      <c r="C293" s="120">
        <f t="array" ref="C293:C293">IF(A293="","",IFERROR(INDEX('3.員工名單'!$C:$C,MATCH(A293,'3.員工名單'!$A:$A,0)),""))</f>
        <v/>
      </c>
      <c r="D293" s="120">
        <f t="array" ref="D293:D293">IF(A293="","",IFERROR(INDEX('3.員工名單'!$D:$D,MATCH(A293,'3.員工名單'!$A:$A,0)),""))</f>
        <v/>
      </c>
      <c r="E293" s="120">
        <f t="array" ref="E293:E293">IF(F293="","",IFERROR(INDEX('1.職能辭典'!$A:$A,MATCH(F293,'1.職能辭典'!$C:$C,0)),""))</f>
        <v/>
      </c>
      <c r="F293" s="94" t="n"/>
      <c r="G293" s="120">
        <f t="array" ref="G293:G293">IF(OR(D293="",F293=""),"",IFERROR(IF(AND(OR(INDEX('1.職能辭典'!$J:$J,MATCH(F293,'1.職能辭典'!$C:$C,0))="全部",INDEX('3.員工名單'!$H:$H,MATCH(A293,'3.員工名單'!$A:$A,0))="兩款共用",INDEX('3.員工名單'!$H:$H,MATCH(A293,'3.員工名單'!$A:$A,0))=INDEX('1.職能辭典'!$J:$J,MATCH(F293,'1.職能辭典'!$C:$C,0))),OR(INDEX('1.職能辭典'!$K:$K,MATCH(F293,'1.職能辭典'!$C:$C,0))="全部",SUMPRODUCT(ISNUMBER(SEARCH({"經營","管理","財務","企劃","營運","技術","數據","美術","測試","客服"},INDEX('3.員工名單'!$I:$I,MATCH(A293,'3.員工名單'!$A:$A,0))))*ISNUMBER(SEARCH({"經營","管理","財務","企劃","營運","技術","數據","美術","測試","客服"},INDEX('1.職能辭典'!$K:$K,MATCH(F293,'1.職能辭典'!$C:$C,0)))))&gt;0)),INDEX('2.職務職能需求'!$B$2:$F$28,MATCH(F293,'2.職務職能需求'!$A$2:$A$28,0),MATCH(D293,'2.職務職能需求'!$B$1:$F$1,0)),0),""))</f>
        <v/>
      </c>
      <c r="H293" s="94" t="n"/>
      <c r="I293" s="94" t="n"/>
      <c r="J293" s="120">
        <f>IF(OR(G293="",I293="",G293=0),"",I293-G293)</f>
        <v/>
      </c>
      <c r="K293" s="120">
        <f>IF(G293="","",IF(G293=0,"不適用",IF(I293="","待評核",IF(I293&gt;=G293,IF(I293&gt;G293,"超越","達標"),"待發展"))))</f>
        <v/>
      </c>
      <c r="L293" s="91" t="n"/>
      <c r="M293" s="91" t="n"/>
      <c r="N293" s="88" t="n"/>
    </row>
    <row r="294" ht="15.75" customHeight="1" s="64">
      <c r="A294" s="88" t="n"/>
      <c r="B294" s="120">
        <f t="array" ref="B294:B294">IF(A294="","",IFERROR(INDEX('3.員工名單'!$B:$B,MATCH(A294,'3.員工名單'!$A:$A,0)),"查無此員工"))</f>
        <v/>
      </c>
      <c r="C294" s="120">
        <f t="array" ref="C294:C294">IF(A294="","",IFERROR(INDEX('3.員工名單'!$C:$C,MATCH(A294,'3.員工名單'!$A:$A,0)),""))</f>
        <v/>
      </c>
      <c r="D294" s="120">
        <f t="array" ref="D294:D294">IF(A294="","",IFERROR(INDEX('3.員工名單'!$D:$D,MATCH(A294,'3.員工名單'!$A:$A,0)),""))</f>
        <v/>
      </c>
      <c r="E294" s="120">
        <f t="array" ref="E294:E294">IF(F294="","",IFERROR(INDEX('1.職能辭典'!$A:$A,MATCH(F294,'1.職能辭典'!$C:$C,0)),""))</f>
        <v/>
      </c>
      <c r="F294" s="94" t="n"/>
      <c r="G294" s="120">
        <f t="array" ref="G294:G294">IF(OR(D294="",F294=""),"",IFERROR(IF(AND(OR(INDEX('1.職能辭典'!$J:$J,MATCH(F294,'1.職能辭典'!$C:$C,0))="全部",INDEX('3.員工名單'!$H:$H,MATCH(A294,'3.員工名單'!$A:$A,0))="兩款共用",INDEX('3.員工名單'!$H:$H,MATCH(A294,'3.員工名單'!$A:$A,0))=INDEX('1.職能辭典'!$J:$J,MATCH(F294,'1.職能辭典'!$C:$C,0))),OR(INDEX('1.職能辭典'!$K:$K,MATCH(F294,'1.職能辭典'!$C:$C,0))="全部",SUMPRODUCT(ISNUMBER(SEARCH({"經營","管理","財務","企劃","營運","技術","數據","美術","測試","客服"},INDEX('3.員工名單'!$I:$I,MATCH(A294,'3.員工名單'!$A:$A,0))))*ISNUMBER(SEARCH({"經營","管理","財務","企劃","營運","技術","數據","美術","測試","客服"},INDEX('1.職能辭典'!$K:$K,MATCH(F294,'1.職能辭典'!$C:$C,0)))))&gt;0)),INDEX('2.職務職能需求'!$B$2:$F$28,MATCH(F294,'2.職務職能需求'!$A$2:$A$28,0),MATCH(D294,'2.職務職能需求'!$B$1:$F$1,0)),0),""))</f>
        <v/>
      </c>
      <c r="H294" s="94" t="n"/>
      <c r="I294" s="94" t="n"/>
      <c r="J294" s="120">
        <f>IF(OR(G294="",I294="",G294=0),"",I294-G294)</f>
        <v/>
      </c>
      <c r="K294" s="120">
        <f>IF(G294="","",IF(G294=0,"不適用",IF(I294="","待評核",IF(I294&gt;=G294,IF(I294&gt;G294,"超越","達標"),"待發展"))))</f>
        <v/>
      </c>
      <c r="L294" s="91" t="n"/>
      <c r="M294" s="91" t="n"/>
      <c r="N294" s="88" t="n"/>
    </row>
    <row r="295" ht="15.75" customHeight="1" s="64">
      <c r="A295" s="88" t="n"/>
      <c r="B295" s="120">
        <f t="array" ref="B295:B295">IF(A295="","",IFERROR(INDEX('3.員工名單'!$B:$B,MATCH(A295,'3.員工名單'!$A:$A,0)),"查無此員工"))</f>
        <v/>
      </c>
      <c r="C295" s="120">
        <f t="array" ref="C295:C295">IF(A295="","",IFERROR(INDEX('3.員工名單'!$C:$C,MATCH(A295,'3.員工名單'!$A:$A,0)),""))</f>
        <v/>
      </c>
      <c r="D295" s="120">
        <f t="array" ref="D295:D295">IF(A295="","",IFERROR(INDEX('3.員工名單'!$D:$D,MATCH(A295,'3.員工名單'!$A:$A,0)),""))</f>
        <v/>
      </c>
      <c r="E295" s="120">
        <f t="array" ref="E295:E295">IF(F295="","",IFERROR(INDEX('1.職能辭典'!$A:$A,MATCH(F295,'1.職能辭典'!$C:$C,0)),""))</f>
        <v/>
      </c>
      <c r="F295" s="94" t="n"/>
      <c r="G295" s="120">
        <f t="array" ref="G295:G295">IF(OR(D295="",F295=""),"",IFERROR(IF(AND(OR(INDEX('1.職能辭典'!$J:$J,MATCH(F295,'1.職能辭典'!$C:$C,0))="全部",INDEX('3.員工名單'!$H:$H,MATCH(A295,'3.員工名單'!$A:$A,0))="兩款共用",INDEX('3.員工名單'!$H:$H,MATCH(A295,'3.員工名單'!$A:$A,0))=INDEX('1.職能辭典'!$J:$J,MATCH(F295,'1.職能辭典'!$C:$C,0))),OR(INDEX('1.職能辭典'!$K:$K,MATCH(F295,'1.職能辭典'!$C:$C,0))="全部",SUMPRODUCT(ISNUMBER(SEARCH({"經營","管理","財務","企劃","營運","技術","數據","美術","測試","客服"},INDEX('3.員工名單'!$I:$I,MATCH(A295,'3.員工名單'!$A:$A,0))))*ISNUMBER(SEARCH({"經營","管理","財務","企劃","營運","技術","數據","美術","測試","客服"},INDEX('1.職能辭典'!$K:$K,MATCH(F295,'1.職能辭典'!$C:$C,0)))))&gt;0)),INDEX('2.職務職能需求'!$B$2:$F$28,MATCH(F295,'2.職務職能需求'!$A$2:$A$28,0),MATCH(D295,'2.職務職能需求'!$B$1:$F$1,0)),0),""))</f>
        <v/>
      </c>
      <c r="H295" s="94" t="n"/>
      <c r="I295" s="94" t="n"/>
      <c r="J295" s="120">
        <f>IF(OR(G295="",I295="",G295=0),"",I295-G295)</f>
        <v/>
      </c>
      <c r="K295" s="120">
        <f>IF(G295="","",IF(G295=0,"不適用",IF(I295="","待評核",IF(I295&gt;=G295,IF(I295&gt;G295,"超越","達標"),"待發展"))))</f>
        <v/>
      </c>
      <c r="L295" s="91" t="n"/>
      <c r="M295" s="91" t="n"/>
      <c r="N295" s="88" t="n"/>
    </row>
    <row r="296" ht="15.75" customHeight="1" s="64">
      <c r="A296" s="88" t="n"/>
      <c r="B296" s="120">
        <f t="array" ref="B296:B296">IF(A296="","",IFERROR(INDEX('3.員工名單'!$B:$B,MATCH(A296,'3.員工名單'!$A:$A,0)),"查無此員工"))</f>
        <v/>
      </c>
      <c r="C296" s="120">
        <f t="array" ref="C296:C296">IF(A296="","",IFERROR(INDEX('3.員工名單'!$C:$C,MATCH(A296,'3.員工名單'!$A:$A,0)),""))</f>
        <v/>
      </c>
      <c r="D296" s="120">
        <f t="array" ref="D296:D296">IF(A296="","",IFERROR(INDEX('3.員工名單'!$D:$D,MATCH(A296,'3.員工名單'!$A:$A,0)),""))</f>
        <v/>
      </c>
      <c r="E296" s="120">
        <f t="array" ref="E296:E296">IF(F296="","",IFERROR(INDEX('1.職能辭典'!$A:$A,MATCH(F296,'1.職能辭典'!$C:$C,0)),""))</f>
        <v/>
      </c>
      <c r="F296" s="94" t="n"/>
      <c r="G296" s="120">
        <f t="array" ref="G296:G296">IF(OR(D296="",F296=""),"",IFERROR(IF(AND(OR(INDEX('1.職能辭典'!$J:$J,MATCH(F296,'1.職能辭典'!$C:$C,0))="全部",INDEX('3.員工名單'!$H:$H,MATCH(A296,'3.員工名單'!$A:$A,0))="兩款共用",INDEX('3.員工名單'!$H:$H,MATCH(A296,'3.員工名單'!$A:$A,0))=INDEX('1.職能辭典'!$J:$J,MATCH(F296,'1.職能辭典'!$C:$C,0))),OR(INDEX('1.職能辭典'!$K:$K,MATCH(F296,'1.職能辭典'!$C:$C,0))="全部",SUMPRODUCT(ISNUMBER(SEARCH({"經營","管理","財務","企劃","營運","技術","數據","美術","測試","客服"},INDEX('3.員工名單'!$I:$I,MATCH(A296,'3.員工名單'!$A:$A,0))))*ISNUMBER(SEARCH({"經營","管理","財務","企劃","營運","技術","數據","美術","測試","客服"},INDEX('1.職能辭典'!$K:$K,MATCH(F296,'1.職能辭典'!$C:$C,0)))))&gt;0)),INDEX('2.職務職能需求'!$B$2:$F$28,MATCH(F296,'2.職務職能需求'!$A$2:$A$28,0),MATCH(D296,'2.職務職能需求'!$B$1:$F$1,0)),0),""))</f>
        <v/>
      </c>
      <c r="H296" s="94" t="n"/>
      <c r="I296" s="94" t="n"/>
      <c r="J296" s="120">
        <f>IF(OR(G296="",I296="",G296=0),"",I296-G296)</f>
        <v/>
      </c>
      <c r="K296" s="120">
        <f>IF(G296="","",IF(G296=0,"不適用",IF(I296="","待評核",IF(I296&gt;=G296,IF(I296&gt;G296,"超越","達標"),"待發展"))))</f>
        <v/>
      </c>
      <c r="L296" s="91" t="n"/>
      <c r="M296" s="91" t="n"/>
      <c r="N296" s="88" t="n"/>
    </row>
    <row r="297" ht="15.75" customHeight="1" s="64">
      <c r="A297" s="88" t="n"/>
      <c r="B297" s="120">
        <f t="array" ref="B297:B297">IF(A297="","",IFERROR(INDEX('3.員工名單'!$B:$B,MATCH(A297,'3.員工名單'!$A:$A,0)),"查無此員工"))</f>
        <v/>
      </c>
      <c r="C297" s="120">
        <f t="array" ref="C297:C297">IF(A297="","",IFERROR(INDEX('3.員工名單'!$C:$C,MATCH(A297,'3.員工名單'!$A:$A,0)),""))</f>
        <v/>
      </c>
      <c r="D297" s="120">
        <f t="array" ref="D297:D297">IF(A297="","",IFERROR(INDEX('3.員工名單'!$D:$D,MATCH(A297,'3.員工名單'!$A:$A,0)),""))</f>
        <v/>
      </c>
      <c r="E297" s="120">
        <f t="array" ref="E297:E297">IF(F297="","",IFERROR(INDEX('1.職能辭典'!$A:$A,MATCH(F297,'1.職能辭典'!$C:$C,0)),""))</f>
        <v/>
      </c>
      <c r="F297" s="94" t="n"/>
      <c r="G297" s="120">
        <f t="array" ref="G297:G297">IF(OR(D297="",F297=""),"",IFERROR(IF(AND(OR(INDEX('1.職能辭典'!$J:$J,MATCH(F297,'1.職能辭典'!$C:$C,0))="全部",INDEX('3.員工名單'!$H:$H,MATCH(A297,'3.員工名單'!$A:$A,0))="兩款共用",INDEX('3.員工名單'!$H:$H,MATCH(A297,'3.員工名單'!$A:$A,0))=INDEX('1.職能辭典'!$J:$J,MATCH(F297,'1.職能辭典'!$C:$C,0))),OR(INDEX('1.職能辭典'!$K:$K,MATCH(F297,'1.職能辭典'!$C:$C,0))="全部",SUMPRODUCT(ISNUMBER(SEARCH({"經營","管理","財務","企劃","營運","技術","數據","美術","測試","客服"},INDEX('3.員工名單'!$I:$I,MATCH(A297,'3.員工名單'!$A:$A,0))))*ISNUMBER(SEARCH({"經營","管理","財務","企劃","營運","技術","數據","美術","測試","客服"},INDEX('1.職能辭典'!$K:$K,MATCH(F297,'1.職能辭典'!$C:$C,0)))))&gt;0)),INDEX('2.職務職能需求'!$B$2:$F$28,MATCH(F297,'2.職務職能需求'!$A$2:$A$28,0),MATCH(D297,'2.職務職能需求'!$B$1:$F$1,0)),0),""))</f>
        <v/>
      </c>
      <c r="H297" s="94" t="n"/>
      <c r="I297" s="94" t="n"/>
      <c r="J297" s="120">
        <f>IF(OR(G297="",I297="",G297=0),"",I297-G297)</f>
        <v/>
      </c>
      <c r="K297" s="120">
        <f>IF(G297="","",IF(G297=0,"不適用",IF(I297="","待評核",IF(I297&gt;=G297,IF(I297&gt;G297,"超越","達標"),"待發展"))))</f>
        <v/>
      </c>
      <c r="L297" s="91" t="n"/>
      <c r="M297" s="91" t="n"/>
      <c r="N297" s="88" t="n"/>
    </row>
    <row r="298" ht="15.75" customHeight="1" s="64">
      <c r="A298" s="88" t="n"/>
      <c r="B298" s="120">
        <f t="array" ref="B298:B298">IF(A298="","",IFERROR(INDEX('3.員工名單'!$B:$B,MATCH(A298,'3.員工名單'!$A:$A,0)),"查無此員工"))</f>
        <v/>
      </c>
      <c r="C298" s="120">
        <f t="array" ref="C298:C298">IF(A298="","",IFERROR(INDEX('3.員工名單'!$C:$C,MATCH(A298,'3.員工名單'!$A:$A,0)),""))</f>
        <v/>
      </c>
      <c r="D298" s="120">
        <f t="array" ref="D298:D298">IF(A298="","",IFERROR(INDEX('3.員工名單'!$D:$D,MATCH(A298,'3.員工名單'!$A:$A,0)),""))</f>
        <v/>
      </c>
      <c r="E298" s="120">
        <f t="array" ref="E298:E298">IF(F298="","",IFERROR(INDEX('1.職能辭典'!$A:$A,MATCH(F298,'1.職能辭典'!$C:$C,0)),""))</f>
        <v/>
      </c>
      <c r="F298" s="94" t="n"/>
      <c r="G298" s="120">
        <f t="array" ref="G298:G298">IF(OR(D298="",F298=""),"",IFERROR(IF(AND(OR(INDEX('1.職能辭典'!$J:$J,MATCH(F298,'1.職能辭典'!$C:$C,0))="全部",INDEX('3.員工名單'!$H:$H,MATCH(A298,'3.員工名單'!$A:$A,0))="兩款共用",INDEX('3.員工名單'!$H:$H,MATCH(A298,'3.員工名單'!$A:$A,0))=INDEX('1.職能辭典'!$J:$J,MATCH(F298,'1.職能辭典'!$C:$C,0))),OR(INDEX('1.職能辭典'!$K:$K,MATCH(F298,'1.職能辭典'!$C:$C,0))="全部",SUMPRODUCT(ISNUMBER(SEARCH({"經營","管理","財務","企劃","營運","技術","數據","美術","測試","客服"},INDEX('3.員工名單'!$I:$I,MATCH(A298,'3.員工名單'!$A:$A,0))))*ISNUMBER(SEARCH({"經營","管理","財務","企劃","營運","技術","數據","美術","測試","客服"},INDEX('1.職能辭典'!$K:$K,MATCH(F298,'1.職能辭典'!$C:$C,0)))))&gt;0)),INDEX('2.職務職能需求'!$B$2:$F$28,MATCH(F298,'2.職務職能需求'!$A$2:$A$28,0),MATCH(D298,'2.職務職能需求'!$B$1:$F$1,0)),0),""))</f>
        <v/>
      </c>
      <c r="H298" s="94" t="n"/>
      <c r="I298" s="94" t="n"/>
      <c r="J298" s="120">
        <f>IF(OR(G298="",I298="",G298=0),"",I298-G298)</f>
        <v/>
      </c>
      <c r="K298" s="120">
        <f>IF(G298="","",IF(G298=0,"不適用",IF(I298="","待評核",IF(I298&gt;=G298,IF(I298&gt;G298,"超越","達標"),"待發展"))))</f>
        <v/>
      </c>
      <c r="L298" s="91" t="n"/>
      <c r="M298" s="91" t="n"/>
      <c r="N298" s="88" t="n"/>
    </row>
    <row r="299" ht="15.75" customHeight="1" s="64">
      <c r="A299" s="88" t="n"/>
      <c r="B299" s="120">
        <f t="array" ref="B299:B299">IF(A299="","",IFERROR(INDEX('3.員工名單'!$B:$B,MATCH(A299,'3.員工名單'!$A:$A,0)),"查無此員工"))</f>
        <v/>
      </c>
      <c r="C299" s="120">
        <f t="array" ref="C299:C299">IF(A299="","",IFERROR(INDEX('3.員工名單'!$C:$C,MATCH(A299,'3.員工名單'!$A:$A,0)),""))</f>
        <v/>
      </c>
      <c r="D299" s="120">
        <f t="array" ref="D299:D299">IF(A299="","",IFERROR(INDEX('3.員工名單'!$D:$D,MATCH(A299,'3.員工名單'!$A:$A,0)),""))</f>
        <v/>
      </c>
      <c r="E299" s="120">
        <f t="array" ref="E299:E299">IF(F299="","",IFERROR(INDEX('1.職能辭典'!$A:$A,MATCH(F299,'1.職能辭典'!$C:$C,0)),""))</f>
        <v/>
      </c>
      <c r="F299" s="94" t="n"/>
      <c r="G299" s="120">
        <f t="array" ref="G299:G299">IF(OR(D299="",F299=""),"",IFERROR(IF(AND(OR(INDEX('1.職能辭典'!$J:$J,MATCH(F299,'1.職能辭典'!$C:$C,0))="全部",INDEX('3.員工名單'!$H:$H,MATCH(A299,'3.員工名單'!$A:$A,0))="兩款共用",INDEX('3.員工名單'!$H:$H,MATCH(A299,'3.員工名單'!$A:$A,0))=INDEX('1.職能辭典'!$J:$J,MATCH(F299,'1.職能辭典'!$C:$C,0))),OR(INDEX('1.職能辭典'!$K:$K,MATCH(F299,'1.職能辭典'!$C:$C,0))="全部",SUMPRODUCT(ISNUMBER(SEARCH({"經營","管理","財務","企劃","營運","技術","數據","美術","測試","客服"},INDEX('3.員工名單'!$I:$I,MATCH(A299,'3.員工名單'!$A:$A,0))))*ISNUMBER(SEARCH({"經營","管理","財務","企劃","營運","技術","數據","美術","測試","客服"},INDEX('1.職能辭典'!$K:$K,MATCH(F299,'1.職能辭典'!$C:$C,0)))))&gt;0)),INDEX('2.職務職能需求'!$B$2:$F$28,MATCH(F299,'2.職務職能需求'!$A$2:$A$28,0),MATCH(D299,'2.職務職能需求'!$B$1:$F$1,0)),0),""))</f>
        <v/>
      </c>
      <c r="H299" s="94" t="n"/>
      <c r="I299" s="94" t="n"/>
      <c r="J299" s="120">
        <f>IF(OR(G299="",I299="",G299=0),"",I299-G299)</f>
        <v/>
      </c>
      <c r="K299" s="120">
        <f>IF(G299="","",IF(G299=0,"不適用",IF(I299="","待評核",IF(I299&gt;=G299,IF(I299&gt;G299,"超越","達標"),"待發展"))))</f>
        <v/>
      </c>
      <c r="L299" s="91" t="n"/>
      <c r="M299" s="91" t="n"/>
      <c r="N299" s="88" t="n"/>
    </row>
    <row r="300" ht="15.75" customHeight="1" s="64">
      <c r="A300" s="88" t="n"/>
      <c r="B300" s="120">
        <f t="array" ref="B300:B300">IF(A300="","",IFERROR(INDEX('3.員工名單'!$B:$B,MATCH(A300,'3.員工名單'!$A:$A,0)),"查無此員工"))</f>
        <v/>
      </c>
      <c r="C300" s="120">
        <f t="array" ref="C300:C300">IF(A300="","",IFERROR(INDEX('3.員工名單'!$C:$C,MATCH(A300,'3.員工名單'!$A:$A,0)),""))</f>
        <v/>
      </c>
      <c r="D300" s="120">
        <f t="array" ref="D300:D300">IF(A300="","",IFERROR(INDEX('3.員工名單'!$D:$D,MATCH(A300,'3.員工名單'!$A:$A,0)),""))</f>
        <v/>
      </c>
      <c r="E300" s="120">
        <f t="array" ref="E300:E300">IF(F300="","",IFERROR(INDEX('1.職能辭典'!$A:$A,MATCH(F300,'1.職能辭典'!$C:$C,0)),""))</f>
        <v/>
      </c>
      <c r="F300" s="94" t="n"/>
      <c r="G300" s="120">
        <f t="array" ref="G300:G300">IF(OR(D300="",F300=""),"",IFERROR(IF(AND(OR(INDEX('1.職能辭典'!$J:$J,MATCH(F300,'1.職能辭典'!$C:$C,0))="全部",INDEX('3.員工名單'!$H:$H,MATCH(A300,'3.員工名單'!$A:$A,0))="兩款共用",INDEX('3.員工名單'!$H:$H,MATCH(A300,'3.員工名單'!$A:$A,0))=INDEX('1.職能辭典'!$J:$J,MATCH(F300,'1.職能辭典'!$C:$C,0))),OR(INDEX('1.職能辭典'!$K:$K,MATCH(F300,'1.職能辭典'!$C:$C,0))="全部",SUMPRODUCT(ISNUMBER(SEARCH({"經營","管理","財務","企劃","營運","技術","數據","美術","測試","客服"},INDEX('3.員工名單'!$I:$I,MATCH(A300,'3.員工名單'!$A:$A,0))))*ISNUMBER(SEARCH({"經營","管理","財務","企劃","營運","技術","數據","美術","測試","客服"},INDEX('1.職能辭典'!$K:$K,MATCH(F300,'1.職能辭典'!$C:$C,0)))))&gt;0)),INDEX('2.職務職能需求'!$B$2:$F$28,MATCH(F300,'2.職務職能需求'!$A$2:$A$28,0),MATCH(D300,'2.職務職能需求'!$B$1:$F$1,0)),0),""))</f>
        <v/>
      </c>
      <c r="H300" s="94" t="n"/>
      <c r="I300" s="94" t="n"/>
      <c r="J300" s="120">
        <f>IF(OR(G300="",I300="",G300=0),"",I300-G300)</f>
        <v/>
      </c>
      <c r="K300" s="120">
        <f>IF(G300="","",IF(G300=0,"不適用",IF(I300="","待評核",IF(I300&gt;=G300,IF(I300&gt;G300,"超越","達標"),"待發展"))))</f>
        <v/>
      </c>
      <c r="L300" s="91" t="n"/>
      <c r="M300" s="91" t="n"/>
      <c r="N300" s="88" t="n"/>
    </row>
    <row r="301" ht="15.75" customHeight="1" s="64">
      <c r="A301" s="88" t="n"/>
      <c r="B301" s="120">
        <f t="array" ref="B301:B301">IF(A301="","",IFERROR(INDEX('3.員工名單'!$B:$B,MATCH(A301,'3.員工名單'!$A:$A,0)),"查無此員工"))</f>
        <v/>
      </c>
      <c r="C301" s="120">
        <f t="array" ref="C301:C301">IF(A301="","",IFERROR(INDEX('3.員工名單'!$C:$C,MATCH(A301,'3.員工名單'!$A:$A,0)),""))</f>
        <v/>
      </c>
      <c r="D301" s="120">
        <f t="array" ref="D301:D301">IF(A301="","",IFERROR(INDEX('3.員工名單'!$D:$D,MATCH(A301,'3.員工名單'!$A:$A,0)),""))</f>
        <v/>
      </c>
      <c r="E301" s="120">
        <f t="array" ref="E301:E301">IF(F301="","",IFERROR(INDEX('1.職能辭典'!$A:$A,MATCH(F301,'1.職能辭典'!$C:$C,0)),""))</f>
        <v/>
      </c>
      <c r="F301" s="94" t="n"/>
      <c r="G301" s="120">
        <f t="array" ref="G301:G301">IF(OR(D301="",F301=""),"",IFERROR(IF(AND(OR(INDEX('1.職能辭典'!$J:$J,MATCH(F301,'1.職能辭典'!$C:$C,0))="全部",INDEX('3.員工名單'!$H:$H,MATCH(A301,'3.員工名單'!$A:$A,0))="兩款共用",INDEX('3.員工名單'!$H:$H,MATCH(A301,'3.員工名單'!$A:$A,0))=INDEX('1.職能辭典'!$J:$J,MATCH(F301,'1.職能辭典'!$C:$C,0))),OR(INDEX('1.職能辭典'!$K:$K,MATCH(F301,'1.職能辭典'!$C:$C,0))="全部",SUMPRODUCT(ISNUMBER(SEARCH({"經營","管理","財務","企劃","營運","技術","數據","美術","測試","客服"},INDEX('3.員工名單'!$I:$I,MATCH(A301,'3.員工名單'!$A:$A,0))))*ISNUMBER(SEARCH({"經營","管理","財務","企劃","營運","技術","數據","美術","測試","客服"},INDEX('1.職能辭典'!$K:$K,MATCH(F301,'1.職能辭典'!$C:$C,0)))))&gt;0)),INDEX('2.職務職能需求'!$B$2:$F$28,MATCH(F301,'2.職務職能需求'!$A$2:$A$28,0),MATCH(D301,'2.職務職能需求'!$B$1:$F$1,0)),0),""))</f>
        <v/>
      </c>
      <c r="H301" s="94" t="n"/>
      <c r="I301" s="94" t="n"/>
      <c r="J301" s="120">
        <f>IF(OR(G301="",I301="",G301=0),"",I301-G301)</f>
        <v/>
      </c>
      <c r="K301" s="120">
        <f>IF(G301="","",IF(G301=0,"不適用",IF(I301="","待評核",IF(I301&gt;=G301,IF(I301&gt;G301,"超越","達標"),"待發展"))))</f>
        <v/>
      </c>
      <c r="L301" s="91" t="n"/>
      <c r="M301" s="91" t="n"/>
      <c r="N301" s="88" t="n"/>
    </row>
    <row r="302" ht="15.75" customHeight="1" s="64">
      <c r="A302" s="88" t="n"/>
      <c r="B302" s="120">
        <f t="array" ref="B302:B302">IF(A302="","",IFERROR(INDEX('3.員工名單'!$B:$B,MATCH(A302,'3.員工名單'!$A:$A,0)),"查無此員工"))</f>
        <v/>
      </c>
      <c r="C302" s="120">
        <f t="array" ref="C302:C302">IF(A302="","",IFERROR(INDEX('3.員工名單'!$C:$C,MATCH(A302,'3.員工名單'!$A:$A,0)),""))</f>
        <v/>
      </c>
      <c r="D302" s="120">
        <f t="array" ref="D302:D302">IF(A302="","",IFERROR(INDEX('3.員工名單'!$D:$D,MATCH(A302,'3.員工名單'!$A:$A,0)),""))</f>
        <v/>
      </c>
      <c r="E302" s="120">
        <f t="array" ref="E302:E302">IF(F302="","",IFERROR(INDEX('1.職能辭典'!$A:$A,MATCH(F302,'1.職能辭典'!$C:$C,0)),""))</f>
        <v/>
      </c>
      <c r="F302" s="94" t="n"/>
      <c r="G302" s="120">
        <f t="array" ref="G302:G302">IF(OR(D302="",F302=""),"",IFERROR(IF(AND(OR(INDEX('1.職能辭典'!$J:$J,MATCH(F302,'1.職能辭典'!$C:$C,0))="全部",INDEX('3.員工名單'!$H:$H,MATCH(A302,'3.員工名單'!$A:$A,0))="兩款共用",INDEX('3.員工名單'!$H:$H,MATCH(A302,'3.員工名單'!$A:$A,0))=INDEX('1.職能辭典'!$J:$J,MATCH(F302,'1.職能辭典'!$C:$C,0))),OR(INDEX('1.職能辭典'!$K:$K,MATCH(F302,'1.職能辭典'!$C:$C,0))="全部",SUMPRODUCT(ISNUMBER(SEARCH({"經營","管理","財務","企劃","營運","技術","數據","美術","測試","客服"},INDEX('3.員工名單'!$I:$I,MATCH(A302,'3.員工名單'!$A:$A,0))))*ISNUMBER(SEARCH({"經營","管理","財務","企劃","營運","技術","數據","美術","測試","客服"},INDEX('1.職能辭典'!$K:$K,MATCH(F302,'1.職能辭典'!$C:$C,0)))))&gt;0)),INDEX('2.職務職能需求'!$B$2:$F$28,MATCH(F302,'2.職務職能需求'!$A$2:$A$28,0),MATCH(D302,'2.職務職能需求'!$B$1:$F$1,0)),0),""))</f>
        <v/>
      </c>
      <c r="H302" s="94" t="n"/>
      <c r="I302" s="94" t="n"/>
      <c r="J302" s="120">
        <f>IF(OR(G302="",I302="",G302=0),"",I302-G302)</f>
        <v/>
      </c>
      <c r="K302" s="120">
        <f>IF(G302="","",IF(G302=0,"不適用",IF(I302="","待評核",IF(I302&gt;=G302,IF(I302&gt;G302,"超越","達標"),"待發展"))))</f>
        <v/>
      </c>
      <c r="L302" s="91" t="n"/>
      <c r="M302" s="91" t="n"/>
      <c r="N302" s="88" t="n"/>
    </row>
    <row r="303" ht="15.75" customHeight="1" s="64">
      <c r="A303" s="88" t="n"/>
      <c r="B303" s="120">
        <f t="array" ref="B303:B303">IF(A303="","",IFERROR(INDEX('3.員工名單'!$B:$B,MATCH(A303,'3.員工名單'!$A:$A,0)),"查無此員工"))</f>
        <v/>
      </c>
      <c r="C303" s="120">
        <f t="array" ref="C303:C303">IF(A303="","",IFERROR(INDEX('3.員工名單'!$C:$C,MATCH(A303,'3.員工名單'!$A:$A,0)),""))</f>
        <v/>
      </c>
      <c r="D303" s="120">
        <f t="array" ref="D303:D303">IF(A303="","",IFERROR(INDEX('3.員工名單'!$D:$D,MATCH(A303,'3.員工名單'!$A:$A,0)),""))</f>
        <v/>
      </c>
      <c r="E303" s="120">
        <f t="array" ref="E303:E303">IF(F303="","",IFERROR(INDEX('1.職能辭典'!$A:$A,MATCH(F303,'1.職能辭典'!$C:$C,0)),""))</f>
        <v/>
      </c>
      <c r="F303" s="94" t="n"/>
      <c r="G303" s="120">
        <f t="array" ref="G303:G303">IF(OR(D303="",F303=""),"",IFERROR(IF(AND(OR(INDEX('1.職能辭典'!$J:$J,MATCH(F303,'1.職能辭典'!$C:$C,0))="全部",INDEX('3.員工名單'!$H:$H,MATCH(A303,'3.員工名單'!$A:$A,0))="兩款共用",INDEX('3.員工名單'!$H:$H,MATCH(A303,'3.員工名單'!$A:$A,0))=INDEX('1.職能辭典'!$J:$J,MATCH(F303,'1.職能辭典'!$C:$C,0))),OR(INDEX('1.職能辭典'!$K:$K,MATCH(F303,'1.職能辭典'!$C:$C,0))="全部",SUMPRODUCT(ISNUMBER(SEARCH({"經營","管理","財務","企劃","營運","技術","數據","美術","測試","客服"},INDEX('3.員工名單'!$I:$I,MATCH(A303,'3.員工名單'!$A:$A,0))))*ISNUMBER(SEARCH({"經營","管理","財務","企劃","營運","技術","數據","美術","測試","客服"},INDEX('1.職能辭典'!$K:$K,MATCH(F303,'1.職能辭典'!$C:$C,0)))))&gt;0)),INDEX('2.職務職能需求'!$B$2:$F$28,MATCH(F303,'2.職務職能需求'!$A$2:$A$28,0),MATCH(D303,'2.職務職能需求'!$B$1:$F$1,0)),0),""))</f>
        <v/>
      </c>
      <c r="H303" s="94" t="n"/>
      <c r="I303" s="94" t="n"/>
      <c r="J303" s="120">
        <f>IF(OR(G303="",I303="",G303=0),"",I303-G303)</f>
        <v/>
      </c>
      <c r="K303" s="120">
        <f>IF(G303="","",IF(G303=0,"不適用",IF(I303="","待評核",IF(I303&gt;=G303,IF(I303&gt;G303,"超越","達標"),"待發展"))))</f>
        <v/>
      </c>
      <c r="L303" s="91" t="n"/>
      <c r="M303" s="91" t="n"/>
      <c r="N303" s="88" t="n"/>
    </row>
    <row r="304" ht="15.75" customHeight="1" s="64">
      <c r="A304" s="88" t="n"/>
      <c r="B304" s="120">
        <f t="array" ref="B304:B304">IF(A304="","",IFERROR(INDEX('3.員工名單'!$B:$B,MATCH(A304,'3.員工名單'!$A:$A,0)),"查無此員工"))</f>
        <v/>
      </c>
      <c r="C304" s="120">
        <f t="array" ref="C304:C304">IF(A304="","",IFERROR(INDEX('3.員工名單'!$C:$C,MATCH(A304,'3.員工名單'!$A:$A,0)),""))</f>
        <v/>
      </c>
      <c r="D304" s="120">
        <f t="array" ref="D304:D304">IF(A304="","",IFERROR(INDEX('3.員工名單'!$D:$D,MATCH(A304,'3.員工名單'!$A:$A,0)),""))</f>
        <v/>
      </c>
      <c r="E304" s="120">
        <f t="array" ref="E304:E304">IF(F304="","",IFERROR(INDEX('1.職能辭典'!$A:$A,MATCH(F304,'1.職能辭典'!$C:$C,0)),""))</f>
        <v/>
      </c>
      <c r="F304" s="94" t="n"/>
      <c r="G304" s="120">
        <f t="array" ref="G304:G304">IF(OR(D304="",F304=""),"",IFERROR(IF(AND(OR(INDEX('1.職能辭典'!$J:$J,MATCH(F304,'1.職能辭典'!$C:$C,0))="全部",INDEX('3.員工名單'!$H:$H,MATCH(A304,'3.員工名單'!$A:$A,0))="兩款共用",INDEX('3.員工名單'!$H:$H,MATCH(A304,'3.員工名單'!$A:$A,0))=INDEX('1.職能辭典'!$J:$J,MATCH(F304,'1.職能辭典'!$C:$C,0))),OR(INDEX('1.職能辭典'!$K:$K,MATCH(F304,'1.職能辭典'!$C:$C,0))="全部",SUMPRODUCT(ISNUMBER(SEARCH({"經營","管理","財務","企劃","營運","技術","數據","美術","測試","客服"},INDEX('3.員工名單'!$I:$I,MATCH(A304,'3.員工名單'!$A:$A,0))))*ISNUMBER(SEARCH({"經營","管理","財務","企劃","營運","技術","數據","美術","測試","客服"},INDEX('1.職能辭典'!$K:$K,MATCH(F304,'1.職能辭典'!$C:$C,0)))))&gt;0)),INDEX('2.職務職能需求'!$B$2:$F$28,MATCH(F304,'2.職務職能需求'!$A$2:$A$28,0),MATCH(D304,'2.職務職能需求'!$B$1:$F$1,0)),0),""))</f>
        <v/>
      </c>
      <c r="H304" s="94" t="n"/>
      <c r="I304" s="94" t="n"/>
      <c r="J304" s="120">
        <f>IF(OR(G304="",I304="",G304=0),"",I304-G304)</f>
        <v/>
      </c>
      <c r="K304" s="120">
        <f>IF(G304="","",IF(G304=0,"不適用",IF(I304="","待評核",IF(I304&gt;=G304,IF(I304&gt;G304,"超越","達標"),"待發展"))))</f>
        <v/>
      </c>
      <c r="L304" s="91" t="n"/>
      <c r="M304" s="91" t="n"/>
      <c r="N304" s="88" t="n"/>
    </row>
    <row r="305" ht="15.75" customHeight="1" s="64">
      <c r="A305" s="88" t="n"/>
      <c r="B305" s="120">
        <f t="array" ref="B305:B305">IF(A305="","",IFERROR(INDEX('3.員工名單'!$B:$B,MATCH(A305,'3.員工名單'!$A:$A,0)),"查無此員工"))</f>
        <v/>
      </c>
      <c r="C305" s="120">
        <f t="array" ref="C305:C305">IF(A305="","",IFERROR(INDEX('3.員工名單'!$C:$C,MATCH(A305,'3.員工名單'!$A:$A,0)),""))</f>
        <v/>
      </c>
      <c r="D305" s="120">
        <f t="array" ref="D305:D305">IF(A305="","",IFERROR(INDEX('3.員工名單'!$D:$D,MATCH(A305,'3.員工名單'!$A:$A,0)),""))</f>
        <v/>
      </c>
      <c r="E305" s="120">
        <f t="array" ref="E305:E305">IF(F305="","",IFERROR(INDEX('1.職能辭典'!$A:$A,MATCH(F305,'1.職能辭典'!$C:$C,0)),""))</f>
        <v/>
      </c>
      <c r="F305" s="94" t="n"/>
      <c r="G305" s="120">
        <f t="array" ref="G305:G305">IF(OR(D305="",F305=""),"",IFERROR(IF(AND(OR(INDEX('1.職能辭典'!$J:$J,MATCH(F305,'1.職能辭典'!$C:$C,0))="全部",INDEX('3.員工名單'!$H:$H,MATCH(A305,'3.員工名單'!$A:$A,0))="兩款共用",INDEX('3.員工名單'!$H:$H,MATCH(A305,'3.員工名單'!$A:$A,0))=INDEX('1.職能辭典'!$J:$J,MATCH(F305,'1.職能辭典'!$C:$C,0))),OR(INDEX('1.職能辭典'!$K:$K,MATCH(F305,'1.職能辭典'!$C:$C,0))="全部",SUMPRODUCT(ISNUMBER(SEARCH({"經營","管理","財務","企劃","營運","技術","數據","美術","測試","客服"},INDEX('3.員工名單'!$I:$I,MATCH(A305,'3.員工名單'!$A:$A,0))))*ISNUMBER(SEARCH({"經營","管理","財務","企劃","營運","技術","數據","美術","測試","客服"},INDEX('1.職能辭典'!$K:$K,MATCH(F305,'1.職能辭典'!$C:$C,0)))))&gt;0)),INDEX('2.職務職能需求'!$B$2:$F$28,MATCH(F305,'2.職務職能需求'!$A$2:$A$28,0),MATCH(D305,'2.職務職能需求'!$B$1:$F$1,0)),0),""))</f>
        <v/>
      </c>
      <c r="H305" s="94" t="n"/>
      <c r="I305" s="94" t="n"/>
      <c r="J305" s="120">
        <f>IF(OR(G305="",I305="",G305=0),"",I305-G305)</f>
        <v/>
      </c>
      <c r="K305" s="120">
        <f>IF(G305="","",IF(G305=0,"不適用",IF(I305="","待評核",IF(I305&gt;=G305,IF(I305&gt;G305,"超越","達標"),"待發展"))))</f>
        <v/>
      </c>
      <c r="L305" s="91" t="n"/>
      <c r="M305" s="91" t="n"/>
      <c r="N305" s="88" t="n"/>
    </row>
    <row r="306" ht="15.75" customHeight="1" s="64">
      <c r="A306" s="88" t="n"/>
      <c r="B306" s="120">
        <f t="array" ref="B306:B306">IF(A306="","",IFERROR(INDEX('3.員工名單'!$B:$B,MATCH(A306,'3.員工名單'!$A:$A,0)),"查無此員工"))</f>
        <v/>
      </c>
      <c r="C306" s="120">
        <f t="array" ref="C306:C306">IF(A306="","",IFERROR(INDEX('3.員工名單'!$C:$C,MATCH(A306,'3.員工名單'!$A:$A,0)),""))</f>
        <v/>
      </c>
      <c r="D306" s="120">
        <f t="array" ref="D306:D306">IF(A306="","",IFERROR(INDEX('3.員工名單'!$D:$D,MATCH(A306,'3.員工名單'!$A:$A,0)),""))</f>
        <v/>
      </c>
      <c r="E306" s="120">
        <f t="array" ref="E306:E306">IF(F306="","",IFERROR(INDEX('1.職能辭典'!$A:$A,MATCH(F306,'1.職能辭典'!$C:$C,0)),""))</f>
        <v/>
      </c>
      <c r="F306" s="94" t="n"/>
      <c r="G306" s="120">
        <f t="array" ref="G306:G306">IF(OR(D306="",F306=""),"",IFERROR(IF(AND(OR(INDEX('1.職能辭典'!$J:$J,MATCH(F306,'1.職能辭典'!$C:$C,0))="全部",INDEX('3.員工名單'!$H:$H,MATCH(A306,'3.員工名單'!$A:$A,0))="兩款共用",INDEX('3.員工名單'!$H:$H,MATCH(A306,'3.員工名單'!$A:$A,0))=INDEX('1.職能辭典'!$J:$J,MATCH(F306,'1.職能辭典'!$C:$C,0))),OR(INDEX('1.職能辭典'!$K:$K,MATCH(F306,'1.職能辭典'!$C:$C,0))="全部",SUMPRODUCT(ISNUMBER(SEARCH({"經營","管理","財務","企劃","營運","技術","數據","美術","測試","客服"},INDEX('3.員工名單'!$I:$I,MATCH(A306,'3.員工名單'!$A:$A,0))))*ISNUMBER(SEARCH({"經營","管理","財務","企劃","營運","技術","數據","美術","測試","客服"},INDEX('1.職能辭典'!$K:$K,MATCH(F306,'1.職能辭典'!$C:$C,0)))))&gt;0)),INDEX('2.職務職能需求'!$B$2:$F$28,MATCH(F306,'2.職務職能需求'!$A$2:$A$28,0),MATCH(D306,'2.職務職能需求'!$B$1:$F$1,0)),0),""))</f>
        <v/>
      </c>
      <c r="H306" s="94" t="n"/>
      <c r="I306" s="94" t="n"/>
      <c r="J306" s="120">
        <f>IF(OR(G306="",I306="",G306=0),"",I306-G306)</f>
        <v/>
      </c>
      <c r="K306" s="120">
        <f>IF(G306="","",IF(G306=0,"不適用",IF(I306="","待評核",IF(I306&gt;=G306,IF(I306&gt;G306,"超越","達標"),"待發展"))))</f>
        <v/>
      </c>
      <c r="L306" s="91" t="n"/>
      <c r="M306" s="91" t="n"/>
      <c r="N306" s="88" t="n"/>
    </row>
    <row r="307" ht="15.75" customHeight="1" s="64">
      <c r="A307" s="88" t="n"/>
      <c r="B307" s="120">
        <f t="array" ref="B307:B307">IF(A307="","",IFERROR(INDEX('3.員工名單'!$B:$B,MATCH(A307,'3.員工名單'!$A:$A,0)),"查無此員工"))</f>
        <v/>
      </c>
      <c r="C307" s="120">
        <f t="array" ref="C307:C307">IF(A307="","",IFERROR(INDEX('3.員工名單'!$C:$C,MATCH(A307,'3.員工名單'!$A:$A,0)),""))</f>
        <v/>
      </c>
      <c r="D307" s="120">
        <f t="array" ref="D307:D307">IF(A307="","",IFERROR(INDEX('3.員工名單'!$D:$D,MATCH(A307,'3.員工名單'!$A:$A,0)),""))</f>
        <v/>
      </c>
      <c r="E307" s="120">
        <f t="array" ref="E307:E307">IF(F307="","",IFERROR(INDEX('1.職能辭典'!$A:$A,MATCH(F307,'1.職能辭典'!$C:$C,0)),""))</f>
        <v/>
      </c>
      <c r="F307" s="94" t="n"/>
      <c r="G307" s="120">
        <f t="array" ref="G307:G307">IF(OR(D307="",F307=""),"",IFERROR(IF(AND(OR(INDEX('1.職能辭典'!$J:$J,MATCH(F307,'1.職能辭典'!$C:$C,0))="全部",INDEX('3.員工名單'!$H:$H,MATCH(A307,'3.員工名單'!$A:$A,0))="兩款共用",INDEX('3.員工名單'!$H:$H,MATCH(A307,'3.員工名單'!$A:$A,0))=INDEX('1.職能辭典'!$J:$J,MATCH(F307,'1.職能辭典'!$C:$C,0))),OR(INDEX('1.職能辭典'!$K:$K,MATCH(F307,'1.職能辭典'!$C:$C,0))="全部",SUMPRODUCT(ISNUMBER(SEARCH({"經營","管理","財務","企劃","營運","技術","數據","美術","測試","客服"},INDEX('3.員工名單'!$I:$I,MATCH(A307,'3.員工名單'!$A:$A,0))))*ISNUMBER(SEARCH({"經營","管理","財務","企劃","營運","技術","數據","美術","測試","客服"},INDEX('1.職能辭典'!$K:$K,MATCH(F307,'1.職能辭典'!$C:$C,0)))))&gt;0)),INDEX('2.職務職能需求'!$B$2:$F$28,MATCH(F307,'2.職務職能需求'!$A$2:$A$28,0),MATCH(D307,'2.職務職能需求'!$B$1:$F$1,0)),0),""))</f>
        <v/>
      </c>
      <c r="H307" s="94" t="n"/>
      <c r="I307" s="94" t="n"/>
      <c r="J307" s="120">
        <f>IF(OR(G307="",I307="",G307=0),"",I307-G307)</f>
        <v/>
      </c>
      <c r="K307" s="120">
        <f>IF(G307="","",IF(G307=0,"不適用",IF(I307="","待評核",IF(I307&gt;=G307,IF(I307&gt;G307,"超越","達標"),"待發展"))))</f>
        <v/>
      </c>
      <c r="L307" s="91" t="n"/>
      <c r="M307" s="91" t="n"/>
      <c r="N307" s="88" t="n"/>
    </row>
    <row r="308" ht="15.75" customHeight="1" s="64">
      <c r="A308" s="88" t="n"/>
      <c r="B308" s="120">
        <f t="array" ref="B308:B308">IF(A308="","",IFERROR(INDEX('3.員工名單'!$B:$B,MATCH(A308,'3.員工名單'!$A:$A,0)),"查無此員工"))</f>
        <v/>
      </c>
      <c r="C308" s="120">
        <f t="array" ref="C308:C308">IF(A308="","",IFERROR(INDEX('3.員工名單'!$C:$C,MATCH(A308,'3.員工名單'!$A:$A,0)),""))</f>
        <v/>
      </c>
      <c r="D308" s="120">
        <f t="array" ref="D308:D308">IF(A308="","",IFERROR(INDEX('3.員工名單'!$D:$D,MATCH(A308,'3.員工名單'!$A:$A,0)),""))</f>
        <v/>
      </c>
      <c r="E308" s="120">
        <f t="array" ref="E308:E308">IF(F308="","",IFERROR(INDEX('1.職能辭典'!$A:$A,MATCH(F308,'1.職能辭典'!$C:$C,0)),""))</f>
        <v/>
      </c>
      <c r="F308" s="94" t="n"/>
      <c r="G308" s="120">
        <f t="array" ref="G308:G308">IF(OR(D308="",F308=""),"",IFERROR(IF(AND(OR(INDEX('1.職能辭典'!$J:$J,MATCH(F308,'1.職能辭典'!$C:$C,0))="全部",INDEX('3.員工名單'!$H:$H,MATCH(A308,'3.員工名單'!$A:$A,0))="兩款共用",INDEX('3.員工名單'!$H:$H,MATCH(A308,'3.員工名單'!$A:$A,0))=INDEX('1.職能辭典'!$J:$J,MATCH(F308,'1.職能辭典'!$C:$C,0))),OR(INDEX('1.職能辭典'!$K:$K,MATCH(F308,'1.職能辭典'!$C:$C,0))="全部",SUMPRODUCT(ISNUMBER(SEARCH({"經營","管理","財務","企劃","營運","技術","數據","美術","測試","客服"},INDEX('3.員工名單'!$I:$I,MATCH(A308,'3.員工名單'!$A:$A,0))))*ISNUMBER(SEARCH({"經營","管理","財務","企劃","營運","技術","數據","美術","測試","客服"},INDEX('1.職能辭典'!$K:$K,MATCH(F308,'1.職能辭典'!$C:$C,0)))))&gt;0)),INDEX('2.職務職能需求'!$B$2:$F$28,MATCH(F308,'2.職務職能需求'!$A$2:$A$28,0),MATCH(D308,'2.職務職能需求'!$B$1:$F$1,0)),0),""))</f>
        <v/>
      </c>
      <c r="H308" s="94" t="n"/>
      <c r="I308" s="94" t="n"/>
      <c r="J308" s="120">
        <f>IF(OR(G308="",I308="",G308=0),"",I308-G308)</f>
        <v/>
      </c>
      <c r="K308" s="120">
        <f>IF(G308="","",IF(G308=0,"不適用",IF(I308="","待評核",IF(I308&gt;=G308,IF(I308&gt;G308,"超越","達標"),"待發展"))))</f>
        <v/>
      </c>
      <c r="L308" s="91" t="n"/>
      <c r="M308" s="91" t="n"/>
      <c r="N308" s="88" t="n"/>
    </row>
    <row r="309" ht="15.75" customHeight="1" s="64">
      <c r="A309" s="88" t="n"/>
      <c r="B309" s="120">
        <f t="array" ref="B309:B309">IF(A309="","",IFERROR(INDEX('3.員工名單'!$B:$B,MATCH(A309,'3.員工名單'!$A:$A,0)),"查無此員工"))</f>
        <v/>
      </c>
      <c r="C309" s="120">
        <f t="array" ref="C309:C309">IF(A309="","",IFERROR(INDEX('3.員工名單'!$C:$C,MATCH(A309,'3.員工名單'!$A:$A,0)),""))</f>
        <v/>
      </c>
      <c r="D309" s="120">
        <f t="array" ref="D309:D309">IF(A309="","",IFERROR(INDEX('3.員工名單'!$D:$D,MATCH(A309,'3.員工名單'!$A:$A,0)),""))</f>
        <v/>
      </c>
      <c r="E309" s="120">
        <f t="array" ref="E309:E309">IF(F309="","",IFERROR(INDEX('1.職能辭典'!$A:$A,MATCH(F309,'1.職能辭典'!$C:$C,0)),""))</f>
        <v/>
      </c>
      <c r="F309" s="94" t="n"/>
      <c r="G309" s="120">
        <f t="array" ref="G309:G309">IF(OR(D309="",F309=""),"",IFERROR(IF(AND(OR(INDEX('1.職能辭典'!$J:$J,MATCH(F309,'1.職能辭典'!$C:$C,0))="全部",INDEX('3.員工名單'!$H:$H,MATCH(A309,'3.員工名單'!$A:$A,0))="兩款共用",INDEX('3.員工名單'!$H:$H,MATCH(A309,'3.員工名單'!$A:$A,0))=INDEX('1.職能辭典'!$J:$J,MATCH(F309,'1.職能辭典'!$C:$C,0))),OR(INDEX('1.職能辭典'!$K:$K,MATCH(F309,'1.職能辭典'!$C:$C,0))="全部",SUMPRODUCT(ISNUMBER(SEARCH({"經營","管理","財務","企劃","營運","技術","數據","美術","測試","客服"},INDEX('3.員工名單'!$I:$I,MATCH(A309,'3.員工名單'!$A:$A,0))))*ISNUMBER(SEARCH({"經營","管理","財務","企劃","營運","技術","數據","美術","測試","客服"},INDEX('1.職能辭典'!$K:$K,MATCH(F309,'1.職能辭典'!$C:$C,0)))))&gt;0)),INDEX('2.職務職能需求'!$B$2:$F$28,MATCH(F309,'2.職務職能需求'!$A$2:$A$28,0),MATCH(D309,'2.職務職能需求'!$B$1:$F$1,0)),0),""))</f>
        <v/>
      </c>
      <c r="H309" s="94" t="n"/>
      <c r="I309" s="94" t="n"/>
      <c r="J309" s="120">
        <f>IF(OR(G309="",I309="",G309=0),"",I309-G309)</f>
        <v/>
      </c>
      <c r="K309" s="120">
        <f>IF(G309="","",IF(G309=0,"不適用",IF(I309="","待評核",IF(I309&gt;=G309,IF(I309&gt;G309,"超越","達標"),"待發展"))))</f>
        <v/>
      </c>
      <c r="L309" s="91" t="n"/>
      <c r="M309" s="91" t="n"/>
      <c r="N309" s="88" t="n"/>
    </row>
    <row r="310" ht="15.75" customHeight="1" s="64">
      <c r="A310" s="88" t="n"/>
      <c r="B310" s="120">
        <f t="array" ref="B310:B310">IF(A310="","",IFERROR(INDEX('3.員工名單'!$B:$B,MATCH(A310,'3.員工名單'!$A:$A,0)),"查無此員工"))</f>
        <v/>
      </c>
      <c r="C310" s="120">
        <f t="array" ref="C310:C310">IF(A310="","",IFERROR(INDEX('3.員工名單'!$C:$C,MATCH(A310,'3.員工名單'!$A:$A,0)),""))</f>
        <v/>
      </c>
      <c r="D310" s="120">
        <f t="array" ref="D310:D310">IF(A310="","",IFERROR(INDEX('3.員工名單'!$D:$D,MATCH(A310,'3.員工名單'!$A:$A,0)),""))</f>
        <v/>
      </c>
      <c r="E310" s="120">
        <f t="array" ref="E310:E310">IF(F310="","",IFERROR(INDEX('1.職能辭典'!$A:$A,MATCH(F310,'1.職能辭典'!$C:$C,0)),""))</f>
        <v/>
      </c>
      <c r="F310" s="94" t="n"/>
      <c r="G310" s="120">
        <f t="array" ref="G310:G310">IF(OR(D310="",F310=""),"",IFERROR(IF(AND(OR(INDEX('1.職能辭典'!$J:$J,MATCH(F310,'1.職能辭典'!$C:$C,0))="全部",INDEX('3.員工名單'!$H:$H,MATCH(A310,'3.員工名單'!$A:$A,0))="兩款共用",INDEX('3.員工名單'!$H:$H,MATCH(A310,'3.員工名單'!$A:$A,0))=INDEX('1.職能辭典'!$J:$J,MATCH(F310,'1.職能辭典'!$C:$C,0))),OR(INDEX('1.職能辭典'!$K:$K,MATCH(F310,'1.職能辭典'!$C:$C,0))="全部",SUMPRODUCT(ISNUMBER(SEARCH({"經營","管理","財務","企劃","營運","技術","數據","美術","測試","客服"},INDEX('3.員工名單'!$I:$I,MATCH(A310,'3.員工名單'!$A:$A,0))))*ISNUMBER(SEARCH({"經營","管理","財務","企劃","營運","技術","數據","美術","測試","客服"},INDEX('1.職能辭典'!$K:$K,MATCH(F310,'1.職能辭典'!$C:$C,0)))))&gt;0)),INDEX('2.職務職能需求'!$B$2:$F$28,MATCH(F310,'2.職務職能需求'!$A$2:$A$28,0),MATCH(D310,'2.職務職能需求'!$B$1:$F$1,0)),0),""))</f>
        <v/>
      </c>
      <c r="H310" s="94" t="n"/>
      <c r="I310" s="94" t="n"/>
      <c r="J310" s="120">
        <f>IF(OR(G310="",I310="",G310=0),"",I310-G310)</f>
        <v/>
      </c>
      <c r="K310" s="120">
        <f>IF(G310="","",IF(G310=0,"不適用",IF(I310="","待評核",IF(I310&gt;=G310,IF(I310&gt;G310,"超越","達標"),"待發展"))))</f>
        <v/>
      </c>
      <c r="L310" s="91" t="n"/>
      <c r="M310" s="91" t="n"/>
      <c r="N310" s="88" t="n"/>
    </row>
    <row r="311" ht="15.75" customHeight="1" s="64">
      <c r="A311" s="88" t="n"/>
      <c r="B311" s="120">
        <f t="array" ref="B311:B311">IF(A311="","",IFERROR(INDEX('3.員工名單'!$B:$B,MATCH(A311,'3.員工名單'!$A:$A,0)),"查無此員工"))</f>
        <v/>
      </c>
      <c r="C311" s="120">
        <f t="array" ref="C311:C311">IF(A311="","",IFERROR(INDEX('3.員工名單'!$C:$C,MATCH(A311,'3.員工名單'!$A:$A,0)),""))</f>
        <v/>
      </c>
      <c r="D311" s="120">
        <f t="array" ref="D311:D311">IF(A311="","",IFERROR(INDEX('3.員工名單'!$D:$D,MATCH(A311,'3.員工名單'!$A:$A,0)),""))</f>
        <v/>
      </c>
      <c r="E311" s="120">
        <f t="array" ref="E311:E311">IF(F311="","",IFERROR(INDEX('1.職能辭典'!$A:$A,MATCH(F311,'1.職能辭典'!$C:$C,0)),""))</f>
        <v/>
      </c>
      <c r="F311" s="94" t="n"/>
      <c r="G311" s="120">
        <f t="array" ref="G311:G311">IF(OR(D311="",F311=""),"",IFERROR(IF(AND(OR(INDEX('1.職能辭典'!$J:$J,MATCH(F311,'1.職能辭典'!$C:$C,0))="全部",INDEX('3.員工名單'!$H:$H,MATCH(A311,'3.員工名單'!$A:$A,0))="兩款共用",INDEX('3.員工名單'!$H:$H,MATCH(A311,'3.員工名單'!$A:$A,0))=INDEX('1.職能辭典'!$J:$J,MATCH(F311,'1.職能辭典'!$C:$C,0))),OR(INDEX('1.職能辭典'!$K:$K,MATCH(F311,'1.職能辭典'!$C:$C,0))="全部",SUMPRODUCT(ISNUMBER(SEARCH({"經營","管理","財務","企劃","營運","技術","數據","美術","測試","客服"},INDEX('3.員工名單'!$I:$I,MATCH(A311,'3.員工名單'!$A:$A,0))))*ISNUMBER(SEARCH({"經營","管理","財務","企劃","營運","技術","數據","美術","測試","客服"},INDEX('1.職能辭典'!$K:$K,MATCH(F311,'1.職能辭典'!$C:$C,0)))))&gt;0)),INDEX('2.職務職能需求'!$B$2:$F$28,MATCH(F311,'2.職務職能需求'!$A$2:$A$28,0),MATCH(D311,'2.職務職能需求'!$B$1:$F$1,0)),0),""))</f>
        <v/>
      </c>
      <c r="H311" s="94" t="n"/>
      <c r="I311" s="94" t="n"/>
      <c r="J311" s="120">
        <f>IF(OR(G311="",I311="",G311=0),"",I311-G311)</f>
        <v/>
      </c>
      <c r="K311" s="120">
        <f>IF(G311="","",IF(G311=0,"不適用",IF(I311="","待評核",IF(I311&gt;=G311,IF(I311&gt;G311,"超越","達標"),"待發展"))))</f>
        <v/>
      </c>
      <c r="L311" s="91" t="n"/>
      <c r="M311" s="91" t="n"/>
      <c r="N311" s="88" t="n"/>
    </row>
    <row r="312" ht="15.75" customHeight="1" s="64">
      <c r="A312" s="88" t="n"/>
      <c r="B312" s="120">
        <f t="array" ref="B312:B312">IF(A312="","",IFERROR(INDEX('3.員工名單'!$B:$B,MATCH(A312,'3.員工名單'!$A:$A,0)),"查無此員工"))</f>
        <v/>
      </c>
      <c r="C312" s="120">
        <f t="array" ref="C312:C312">IF(A312="","",IFERROR(INDEX('3.員工名單'!$C:$C,MATCH(A312,'3.員工名單'!$A:$A,0)),""))</f>
        <v/>
      </c>
      <c r="D312" s="120">
        <f t="array" ref="D312:D312">IF(A312="","",IFERROR(INDEX('3.員工名單'!$D:$D,MATCH(A312,'3.員工名單'!$A:$A,0)),""))</f>
        <v/>
      </c>
      <c r="E312" s="120">
        <f t="array" ref="E312:E312">IF(F312="","",IFERROR(INDEX('1.職能辭典'!$A:$A,MATCH(F312,'1.職能辭典'!$C:$C,0)),""))</f>
        <v/>
      </c>
      <c r="F312" s="94" t="n"/>
      <c r="G312" s="120">
        <f t="array" ref="G312:G312">IF(OR(D312="",F312=""),"",IFERROR(IF(AND(OR(INDEX('1.職能辭典'!$J:$J,MATCH(F312,'1.職能辭典'!$C:$C,0))="全部",INDEX('3.員工名單'!$H:$H,MATCH(A312,'3.員工名單'!$A:$A,0))="兩款共用",INDEX('3.員工名單'!$H:$H,MATCH(A312,'3.員工名單'!$A:$A,0))=INDEX('1.職能辭典'!$J:$J,MATCH(F312,'1.職能辭典'!$C:$C,0))),OR(INDEX('1.職能辭典'!$K:$K,MATCH(F312,'1.職能辭典'!$C:$C,0))="全部",SUMPRODUCT(ISNUMBER(SEARCH({"經營","管理","財務","企劃","營運","技術","數據","美術","測試","客服"},INDEX('3.員工名單'!$I:$I,MATCH(A312,'3.員工名單'!$A:$A,0))))*ISNUMBER(SEARCH({"經營","管理","財務","企劃","營運","技術","數據","美術","測試","客服"},INDEX('1.職能辭典'!$K:$K,MATCH(F312,'1.職能辭典'!$C:$C,0)))))&gt;0)),INDEX('2.職務職能需求'!$B$2:$F$28,MATCH(F312,'2.職務職能需求'!$A$2:$A$28,0),MATCH(D312,'2.職務職能需求'!$B$1:$F$1,0)),0),""))</f>
        <v/>
      </c>
      <c r="H312" s="94" t="n"/>
      <c r="I312" s="94" t="n"/>
      <c r="J312" s="120">
        <f>IF(OR(G312="",I312="",G312=0),"",I312-G312)</f>
        <v/>
      </c>
      <c r="K312" s="120">
        <f>IF(G312="","",IF(G312=0,"不適用",IF(I312="","待評核",IF(I312&gt;=G312,IF(I312&gt;G312,"超越","達標"),"待發展"))))</f>
        <v/>
      </c>
      <c r="L312" s="91" t="n"/>
      <c r="M312" s="91" t="n"/>
      <c r="N312" s="88" t="n"/>
    </row>
    <row r="313" ht="15.75" customHeight="1" s="64">
      <c r="A313" s="88" t="n"/>
      <c r="B313" s="120">
        <f t="array" ref="B313:B313">IF(A313="","",IFERROR(INDEX('3.員工名單'!$B:$B,MATCH(A313,'3.員工名單'!$A:$A,0)),"查無此員工"))</f>
        <v/>
      </c>
      <c r="C313" s="120">
        <f t="array" ref="C313:C313">IF(A313="","",IFERROR(INDEX('3.員工名單'!$C:$C,MATCH(A313,'3.員工名單'!$A:$A,0)),""))</f>
        <v/>
      </c>
      <c r="D313" s="120">
        <f t="array" ref="D313:D313">IF(A313="","",IFERROR(INDEX('3.員工名單'!$D:$D,MATCH(A313,'3.員工名單'!$A:$A,0)),""))</f>
        <v/>
      </c>
      <c r="E313" s="120">
        <f t="array" ref="E313:E313">IF(F313="","",IFERROR(INDEX('1.職能辭典'!$A:$A,MATCH(F313,'1.職能辭典'!$C:$C,0)),""))</f>
        <v/>
      </c>
      <c r="F313" s="94" t="n"/>
      <c r="G313" s="120">
        <f t="array" ref="G313:G313">IF(OR(D313="",F313=""),"",IFERROR(IF(AND(OR(INDEX('1.職能辭典'!$J:$J,MATCH(F313,'1.職能辭典'!$C:$C,0))="全部",INDEX('3.員工名單'!$H:$H,MATCH(A313,'3.員工名單'!$A:$A,0))="兩款共用",INDEX('3.員工名單'!$H:$H,MATCH(A313,'3.員工名單'!$A:$A,0))=INDEX('1.職能辭典'!$J:$J,MATCH(F313,'1.職能辭典'!$C:$C,0))),OR(INDEX('1.職能辭典'!$K:$K,MATCH(F313,'1.職能辭典'!$C:$C,0))="全部",SUMPRODUCT(ISNUMBER(SEARCH({"經營","管理","財務","企劃","營運","技術","數據","美術","測試","客服"},INDEX('3.員工名單'!$I:$I,MATCH(A313,'3.員工名單'!$A:$A,0))))*ISNUMBER(SEARCH({"經營","管理","財務","企劃","營運","技術","數據","美術","測試","客服"},INDEX('1.職能辭典'!$K:$K,MATCH(F313,'1.職能辭典'!$C:$C,0)))))&gt;0)),INDEX('2.職務職能需求'!$B$2:$F$28,MATCH(F313,'2.職務職能需求'!$A$2:$A$28,0),MATCH(D313,'2.職務職能需求'!$B$1:$F$1,0)),0),""))</f>
        <v/>
      </c>
      <c r="H313" s="94" t="n"/>
      <c r="I313" s="94" t="n"/>
      <c r="J313" s="120">
        <f>IF(OR(G313="",I313="",G313=0),"",I313-G313)</f>
        <v/>
      </c>
      <c r="K313" s="120">
        <f>IF(G313="","",IF(G313=0,"不適用",IF(I313="","待評核",IF(I313&gt;=G313,IF(I313&gt;G313,"超越","達標"),"待發展"))))</f>
        <v/>
      </c>
      <c r="L313" s="91" t="n"/>
      <c r="M313" s="91" t="n"/>
      <c r="N313" s="88" t="n"/>
    </row>
    <row r="314" ht="15.75" customHeight="1" s="64">
      <c r="A314" s="88" t="n"/>
      <c r="B314" s="120">
        <f t="array" ref="B314:B314">IF(A314="","",IFERROR(INDEX('3.員工名單'!$B:$B,MATCH(A314,'3.員工名單'!$A:$A,0)),"查無此員工"))</f>
        <v/>
      </c>
      <c r="C314" s="120">
        <f t="array" ref="C314:C314">IF(A314="","",IFERROR(INDEX('3.員工名單'!$C:$C,MATCH(A314,'3.員工名單'!$A:$A,0)),""))</f>
        <v/>
      </c>
      <c r="D314" s="120">
        <f t="array" ref="D314:D314">IF(A314="","",IFERROR(INDEX('3.員工名單'!$D:$D,MATCH(A314,'3.員工名單'!$A:$A,0)),""))</f>
        <v/>
      </c>
      <c r="E314" s="120">
        <f t="array" ref="E314:E314">IF(F314="","",IFERROR(INDEX('1.職能辭典'!$A:$A,MATCH(F314,'1.職能辭典'!$C:$C,0)),""))</f>
        <v/>
      </c>
      <c r="F314" s="94" t="n"/>
      <c r="G314" s="120">
        <f t="array" ref="G314:G314">IF(OR(D314="",F314=""),"",IFERROR(IF(AND(OR(INDEX('1.職能辭典'!$J:$J,MATCH(F314,'1.職能辭典'!$C:$C,0))="全部",INDEX('3.員工名單'!$H:$H,MATCH(A314,'3.員工名單'!$A:$A,0))="兩款共用",INDEX('3.員工名單'!$H:$H,MATCH(A314,'3.員工名單'!$A:$A,0))=INDEX('1.職能辭典'!$J:$J,MATCH(F314,'1.職能辭典'!$C:$C,0))),OR(INDEX('1.職能辭典'!$K:$K,MATCH(F314,'1.職能辭典'!$C:$C,0))="全部",SUMPRODUCT(ISNUMBER(SEARCH({"經營","管理","財務","企劃","營運","技術","數據","美術","測試","客服"},INDEX('3.員工名單'!$I:$I,MATCH(A314,'3.員工名單'!$A:$A,0))))*ISNUMBER(SEARCH({"經營","管理","財務","企劃","營運","技術","數據","美術","測試","客服"},INDEX('1.職能辭典'!$K:$K,MATCH(F314,'1.職能辭典'!$C:$C,0)))))&gt;0)),INDEX('2.職務職能需求'!$B$2:$F$28,MATCH(F314,'2.職務職能需求'!$A$2:$A$28,0),MATCH(D314,'2.職務職能需求'!$B$1:$F$1,0)),0),""))</f>
        <v/>
      </c>
      <c r="H314" s="94" t="n"/>
      <c r="I314" s="94" t="n"/>
      <c r="J314" s="120">
        <f>IF(OR(G314="",I314="",G314=0),"",I314-G314)</f>
        <v/>
      </c>
      <c r="K314" s="120">
        <f>IF(G314="","",IF(G314=0,"不適用",IF(I314="","待評核",IF(I314&gt;=G314,IF(I314&gt;G314,"超越","達標"),"待發展"))))</f>
        <v/>
      </c>
      <c r="L314" s="91" t="n"/>
      <c r="M314" s="91" t="n"/>
      <c r="N314" s="88" t="n"/>
    </row>
    <row r="315" ht="15.75" customHeight="1" s="64">
      <c r="A315" s="88" t="n"/>
      <c r="B315" s="120">
        <f t="array" ref="B315:B315">IF(A315="","",IFERROR(INDEX('3.員工名單'!$B:$B,MATCH(A315,'3.員工名單'!$A:$A,0)),"查無此員工"))</f>
        <v/>
      </c>
      <c r="C315" s="120">
        <f t="array" ref="C315:C315">IF(A315="","",IFERROR(INDEX('3.員工名單'!$C:$C,MATCH(A315,'3.員工名單'!$A:$A,0)),""))</f>
        <v/>
      </c>
      <c r="D315" s="120">
        <f t="array" ref="D315:D315">IF(A315="","",IFERROR(INDEX('3.員工名單'!$D:$D,MATCH(A315,'3.員工名單'!$A:$A,0)),""))</f>
        <v/>
      </c>
      <c r="E315" s="120">
        <f t="array" ref="E315:E315">IF(F315="","",IFERROR(INDEX('1.職能辭典'!$A:$A,MATCH(F315,'1.職能辭典'!$C:$C,0)),""))</f>
        <v/>
      </c>
      <c r="F315" s="94" t="n"/>
      <c r="G315" s="120">
        <f t="array" ref="G315:G315">IF(OR(D315="",F315=""),"",IFERROR(IF(AND(OR(INDEX('1.職能辭典'!$J:$J,MATCH(F315,'1.職能辭典'!$C:$C,0))="全部",INDEX('3.員工名單'!$H:$H,MATCH(A315,'3.員工名單'!$A:$A,0))="兩款共用",INDEX('3.員工名單'!$H:$H,MATCH(A315,'3.員工名單'!$A:$A,0))=INDEX('1.職能辭典'!$J:$J,MATCH(F315,'1.職能辭典'!$C:$C,0))),OR(INDEX('1.職能辭典'!$K:$K,MATCH(F315,'1.職能辭典'!$C:$C,0))="全部",SUMPRODUCT(ISNUMBER(SEARCH({"經營","管理","財務","企劃","營運","技術","數據","美術","測試","客服"},INDEX('3.員工名單'!$I:$I,MATCH(A315,'3.員工名單'!$A:$A,0))))*ISNUMBER(SEARCH({"經營","管理","財務","企劃","營運","技術","數據","美術","測試","客服"},INDEX('1.職能辭典'!$K:$K,MATCH(F315,'1.職能辭典'!$C:$C,0)))))&gt;0)),INDEX('2.職務職能需求'!$B$2:$F$28,MATCH(F315,'2.職務職能需求'!$A$2:$A$28,0),MATCH(D315,'2.職務職能需求'!$B$1:$F$1,0)),0),""))</f>
        <v/>
      </c>
      <c r="H315" s="94" t="n"/>
      <c r="I315" s="94" t="n"/>
      <c r="J315" s="120">
        <f>IF(OR(G315="",I315="",G315=0),"",I315-G315)</f>
        <v/>
      </c>
      <c r="K315" s="120">
        <f>IF(G315="","",IF(G315=0,"不適用",IF(I315="","待評核",IF(I315&gt;=G315,IF(I315&gt;G315,"超越","達標"),"待發展"))))</f>
        <v/>
      </c>
      <c r="L315" s="91" t="n"/>
      <c r="M315" s="91" t="n"/>
      <c r="N315" s="88" t="n"/>
    </row>
    <row r="316" ht="15.75" customHeight="1" s="64">
      <c r="A316" s="88" t="n"/>
      <c r="B316" s="120">
        <f t="array" ref="B316:B316">IF(A316="","",IFERROR(INDEX('3.員工名單'!$B:$B,MATCH(A316,'3.員工名單'!$A:$A,0)),"查無此員工"))</f>
        <v/>
      </c>
      <c r="C316" s="120">
        <f t="array" ref="C316:C316">IF(A316="","",IFERROR(INDEX('3.員工名單'!$C:$C,MATCH(A316,'3.員工名單'!$A:$A,0)),""))</f>
        <v/>
      </c>
      <c r="D316" s="120">
        <f t="array" ref="D316:D316">IF(A316="","",IFERROR(INDEX('3.員工名單'!$D:$D,MATCH(A316,'3.員工名單'!$A:$A,0)),""))</f>
        <v/>
      </c>
      <c r="E316" s="120">
        <f t="array" ref="E316:E316">IF(F316="","",IFERROR(INDEX('1.職能辭典'!$A:$A,MATCH(F316,'1.職能辭典'!$C:$C,0)),""))</f>
        <v/>
      </c>
      <c r="F316" s="94" t="n"/>
      <c r="G316" s="120">
        <f t="array" ref="G316:G316">IF(OR(D316="",F316=""),"",IFERROR(IF(AND(OR(INDEX('1.職能辭典'!$J:$J,MATCH(F316,'1.職能辭典'!$C:$C,0))="全部",INDEX('3.員工名單'!$H:$H,MATCH(A316,'3.員工名單'!$A:$A,0))="兩款共用",INDEX('3.員工名單'!$H:$H,MATCH(A316,'3.員工名單'!$A:$A,0))=INDEX('1.職能辭典'!$J:$J,MATCH(F316,'1.職能辭典'!$C:$C,0))),OR(INDEX('1.職能辭典'!$K:$K,MATCH(F316,'1.職能辭典'!$C:$C,0))="全部",SUMPRODUCT(ISNUMBER(SEARCH({"經營","管理","財務","企劃","營運","技術","數據","美術","測試","客服"},INDEX('3.員工名單'!$I:$I,MATCH(A316,'3.員工名單'!$A:$A,0))))*ISNUMBER(SEARCH({"經營","管理","財務","企劃","營運","技術","數據","美術","測試","客服"},INDEX('1.職能辭典'!$K:$K,MATCH(F316,'1.職能辭典'!$C:$C,0)))))&gt;0)),INDEX('2.職務職能需求'!$B$2:$F$28,MATCH(F316,'2.職務職能需求'!$A$2:$A$28,0),MATCH(D316,'2.職務職能需求'!$B$1:$F$1,0)),0),""))</f>
        <v/>
      </c>
      <c r="H316" s="94" t="n"/>
      <c r="I316" s="94" t="n"/>
      <c r="J316" s="120">
        <f>IF(OR(G316="",I316="",G316=0),"",I316-G316)</f>
        <v/>
      </c>
      <c r="K316" s="120">
        <f>IF(G316="","",IF(G316=0,"不適用",IF(I316="","待評核",IF(I316&gt;=G316,IF(I316&gt;G316,"超越","達標"),"待發展"))))</f>
        <v/>
      </c>
      <c r="L316" s="91" t="n"/>
      <c r="M316" s="91" t="n"/>
      <c r="N316" s="88" t="n"/>
    </row>
    <row r="317" ht="15.75" customHeight="1" s="64">
      <c r="A317" s="88" t="n"/>
      <c r="B317" s="120">
        <f t="array" ref="B317:B317">IF(A317="","",IFERROR(INDEX('3.員工名單'!$B:$B,MATCH(A317,'3.員工名單'!$A:$A,0)),"查無此員工"))</f>
        <v/>
      </c>
      <c r="C317" s="120">
        <f t="array" ref="C317:C317">IF(A317="","",IFERROR(INDEX('3.員工名單'!$C:$C,MATCH(A317,'3.員工名單'!$A:$A,0)),""))</f>
        <v/>
      </c>
      <c r="D317" s="120">
        <f t="array" ref="D317:D317">IF(A317="","",IFERROR(INDEX('3.員工名單'!$D:$D,MATCH(A317,'3.員工名單'!$A:$A,0)),""))</f>
        <v/>
      </c>
      <c r="E317" s="120">
        <f t="array" ref="E317:E317">IF(F317="","",IFERROR(INDEX('1.職能辭典'!$A:$A,MATCH(F317,'1.職能辭典'!$C:$C,0)),""))</f>
        <v/>
      </c>
      <c r="F317" s="94" t="n"/>
      <c r="G317" s="120">
        <f t="array" ref="G317:G317">IF(OR(D317="",F317=""),"",IFERROR(IF(AND(OR(INDEX('1.職能辭典'!$J:$J,MATCH(F317,'1.職能辭典'!$C:$C,0))="全部",INDEX('3.員工名單'!$H:$H,MATCH(A317,'3.員工名單'!$A:$A,0))="兩款共用",INDEX('3.員工名單'!$H:$H,MATCH(A317,'3.員工名單'!$A:$A,0))=INDEX('1.職能辭典'!$J:$J,MATCH(F317,'1.職能辭典'!$C:$C,0))),OR(INDEX('1.職能辭典'!$K:$K,MATCH(F317,'1.職能辭典'!$C:$C,0))="全部",SUMPRODUCT(ISNUMBER(SEARCH({"經營","管理","財務","企劃","營運","技術","數據","美術","測試","客服"},INDEX('3.員工名單'!$I:$I,MATCH(A317,'3.員工名單'!$A:$A,0))))*ISNUMBER(SEARCH({"經營","管理","財務","企劃","營運","技術","數據","美術","測試","客服"},INDEX('1.職能辭典'!$K:$K,MATCH(F317,'1.職能辭典'!$C:$C,0)))))&gt;0)),INDEX('2.職務職能需求'!$B$2:$F$28,MATCH(F317,'2.職務職能需求'!$A$2:$A$28,0),MATCH(D317,'2.職務職能需求'!$B$1:$F$1,0)),0),""))</f>
        <v/>
      </c>
      <c r="H317" s="94" t="n"/>
      <c r="I317" s="94" t="n"/>
      <c r="J317" s="120">
        <f>IF(OR(G317="",I317="",G317=0),"",I317-G317)</f>
        <v/>
      </c>
      <c r="K317" s="120">
        <f>IF(G317="","",IF(G317=0,"不適用",IF(I317="","待評核",IF(I317&gt;=G317,IF(I317&gt;G317,"超越","達標"),"待發展"))))</f>
        <v/>
      </c>
      <c r="L317" s="91" t="n"/>
      <c r="M317" s="91" t="n"/>
      <c r="N317" s="88" t="n"/>
    </row>
    <row r="318" ht="15.75" customHeight="1" s="64">
      <c r="A318" s="88" t="n"/>
      <c r="B318" s="120">
        <f t="array" ref="B318:B318">IF(A318="","",IFERROR(INDEX('3.員工名單'!$B:$B,MATCH(A318,'3.員工名單'!$A:$A,0)),"查無此員工"))</f>
        <v/>
      </c>
      <c r="C318" s="120">
        <f t="array" ref="C318:C318">IF(A318="","",IFERROR(INDEX('3.員工名單'!$C:$C,MATCH(A318,'3.員工名單'!$A:$A,0)),""))</f>
        <v/>
      </c>
      <c r="D318" s="120">
        <f t="array" ref="D318:D318">IF(A318="","",IFERROR(INDEX('3.員工名單'!$D:$D,MATCH(A318,'3.員工名單'!$A:$A,0)),""))</f>
        <v/>
      </c>
      <c r="E318" s="120">
        <f t="array" ref="E318:E318">IF(F318="","",IFERROR(INDEX('1.職能辭典'!$A:$A,MATCH(F318,'1.職能辭典'!$C:$C,0)),""))</f>
        <v/>
      </c>
      <c r="F318" s="94" t="n"/>
      <c r="G318" s="120">
        <f t="array" ref="G318:G318">IF(OR(D318="",F318=""),"",IFERROR(IF(AND(OR(INDEX('1.職能辭典'!$J:$J,MATCH(F318,'1.職能辭典'!$C:$C,0))="全部",INDEX('3.員工名單'!$H:$H,MATCH(A318,'3.員工名單'!$A:$A,0))="兩款共用",INDEX('3.員工名單'!$H:$H,MATCH(A318,'3.員工名單'!$A:$A,0))=INDEX('1.職能辭典'!$J:$J,MATCH(F318,'1.職能辭典'!$C:$C,0))),OR(INDEX('1.職能辭典'!$K:$K,MATCH(F318,'1.職能辭典'!$C:$C,0))="全部",SUMPRODUCT(ISNUMBER(SEARCH({"經營","管理","財務","企劃","營運","技術","數據","美術","測試","客服"},INDEX('3.員工名單'!$I:$I,MATCH(A318,'3.員工名單'!$A:$A,0))))*ISNUMBER(SEARCH({"經營","管理","財務","企劃","營運","技術","數據","美術","測試","客服"},INDEX('1.職能辭典'!$K:$K,MATCH(F318,'1.職能辭典'!$C:$C,0)))))&gt;0)),INDEX('2.職務職能需求'!$B$2:$F$28,MATCH(F318,'2.職務職能需求'!$A$2:$A$28,0),MATCH(D318,'2.職務職能需求'!$B$1:$F$1,0)),0),""))</f>
        <v/>
      </c>
      <c r="H318" s="94" t="n"/>
      <c r="I318" s="94" t="n"/>
      <c r="J318" s="120">
        <f>IF(OR(G318="",I318="",G318=0),"",I318-G318)</f>
        <v/>
      </c>
      <c r="K318" s="120">
        <f>IF(G318="","",IF(G318=0,"不適用",IF(I318="","待評核",IF(I318&gt;=G318,IF(I318&gt;G318,"超越","達標"),"待發展"))))</f>
        <v/>
      </c>
      <c r="L318" s="91" t="n"/>
      <c r="M318" s="91" t="n"/>
      <c r="N318" s="88" t="n"/>
    </row>
    <row r="319" ht="15.75" customHeight="1" s="64">
      <c r="A319" s="88" t="n"/>
      <c r="B319" s="120">
        <f t="array" ref="B319:B319">IF(A319="","",IFERROR(INDEX('3.員工名單'!$B:$B,MATCH(A319,'3.員工名單'!$A:$A,0)),"查無此員工"))</f>
        <v/>
      </c>
      <c r="C319" s="120">
        <f t="array" ref="C319:C319">IF(A319="","",IFERROR(INDEX('3.員工名單'!$C:$C,MATCH(A319,'3.員工名單'!$A:$A,0)),""))</f>
        <v/>
      </c>
      <c r="D319" s="120">
        <f t="array" ref="D319:D319">IF(A319="","",IFERROR(INDEX('3.員工名單'!$D:$D,MATCH(A319,'3.員工名單'!$A:$A,0)),""))</f>
        <v/>
      </c>
      <c r="E319" s="120">
        <f t="array" ref="E319:E319">IF(F319="","",IFERROR(INDEX('1.職能辭典'!$A:$A,MATCH(F319,'1.職能辭典'!$C:$C,0)),""))</f>
        <v/>
      </c>
      <c r="F319" s="94" t="n"/>
      <c r="G319" s="120">
        <f t="array" ref="G319:G319">IF(OR(D319="",F319=""),"",IFERROR(IF(AND(OR(INDEX('1.職能辭典'!$J:$J,MATCH(F319,'1.職能辭典'!$C:$C,0))="全部",INDEX('3.員工名單'!$H:$H,MATCH(A319,'3.員工名單'!$A:$A,0))="兩款共用",INDEX('3.員工名單'!$H:$H,MATCH(A319,'3.員工名單'!$A:$A,0))=INDEX('1.職能辭典'!$J:$J,MATCH(F319,'1.職能辭典'!$C:$C,0))),OR(INDEX('1.職能辭典'!$K:$K,MATCH(F319,'1.職能辭典'!$C:$C,0))="全部",SUMPRODUCT(ISNUMBER(SEARCH({"經營","管理","財務","企劃","營運","技術","數據","美術","測試","客服"},INDEX('3.員工名單'!$I:$I,MATCH(A319,'3.員工名單'!$A:$A,0))))*ISNUMBER(SEARCH({"經營","管理","財務","企劃","營運","技術","數據","美術","測試","客服"},INDEX('1.職能辭典'!$K:$K,MATCH(F319,'1.職能辭典'!$C:$C,0)))))&gt;0)),INDEX('2.職務職能需求'!$B$2:$F$28,MATCH(F319,'2.職務職能需求'!$A$2:$A$28,0),MATCH(D319,'2.職務職能需求'!$B$1:$F$1,0)),0),""))</f>
        <v/>
      </c>
      <c r="H319" s="94" t="n"/>
      <c r="I319" s="94" t="n"/>
      <c r="J319" s="120">
        <f>IF(OR(G319="",I319="",G319=0),"",I319-G319)</f>
        <v/>
      </c>
      <c r="K319" s="120">
        <f>IF(G319="","",IF(G319=0,"不適用",IF(I319="","待評核",IF(I319&gt;=G319,IF(I319&gt;G319,"超越","達標"),"待發展"))))</f>
        <v/>
      </c>
      <c r="L319" s="91" t="n"/>
      <c r="M319" s="91" t="n"/>
      <c r="N319" s="88" t="n"/>
    </row>
    <row r="320" ht="15.75" customHeight="1" s="64">
      <c r="A320" s="88" t="n"/>
      <c r="B320" s="120">
        <f t="array" ref="B320:B320">IF(A320="","",IFERROR(INDEX('3.員工名單'!$B:$B,MATCH(A320,'3.員工名單'!$A:$A,0)),"查無此員工"))</f>
        <v/>
      </c>
      <c r="C320" s="120">
        <f t="array" ref="C320:C320">IF(A320="","",IFERROR(INDEX('3.員工名單'!$C:$C,MATCH(A320,'3.員工名單'!$A:$A,0)),""))</f>
        <v/>
      </c>
      <c r="D320" s="120">
        <f t="array" ref="D320:D320">IF(A320="","",IFERROR(INDEX('3.員工名單'!$D:$D,MATCH(A320,'3.員工名單'!$A:$A,0)),""))</f>
        <v/>
      </c>
      <c r="E320" s="120">
        <f t="array" ref="E320:E320">IF(F320="","",IFERROR(INDEX('1.職能辭典'!$A:$A,MATCH(F320,'1.職能辭典'!$C:$C,0)),""))</f>
        <v/>
      </c>
      <c r="F320" s="94" t="n"/>
      <c r="G320" s="120">
        <f t="array" ref="G320:G320">IF(OR(D320="",F320=""),"",IFERROR(IF(AND(OR(INDEX('1.職能辭典'!$J:$J,MATCH(F320,'1.職能辭典'!$C:$C,0))="全部",INDEX('3.員工名單'!$H:$H,MATCH(A320,'3.員工名單'!$A:$A,0))="兩款共用",INDEX('3.員工名單'!$H:$H,MATCH(A320,'3.員工名單'!$A:$A,0))=INDEX('1.職能辭典'!$J:$J,MATCH(F320,'1.職能辭典'!$C:$C,0))),OR(INDEX('1.職能辭典'!$K:$K,MATCH(F320,'1.職能辭典'!$C:$C,0))="全部",SUMPRODUCT(ISNUMBER(SEARCH({"經營","管理","財務","企劃","營運","技術","數據","美術","測試","客服"},INDEX('3.員工名單'!$I:$I,MATCH(A320,'3.員工名單'!$A:$A,0))))*ISNUMBER(SEARCH({"經營","管理","財務","企劃","營運","技術","數據","美術","測試","客服"},INDEX('1.職能辭典'!$K:$K,MATCH(F320,'1.職能辭典'!$C:$C,0)))))&gt;0)),INDEX('2.職務職能需求'!$B$2:$F$28,MATCH(F320,'2.職務職能需求'!$A$2:$A$28,0),MATCH(D320,'2.職務職能需求'!$B$1:$F$1,0)),0),""))</f>
        <v/>
      </c>
      <c r="H320" s="94" t="n"/>
      <c r="I320" s="94" t="n"/>
      <c r="J320" s="120">
        <f>IF(OR(G320="",I320="",G320=0),"",I320-G320)</f>
        <v/>
      </c>
      <c r="K320" s="120">
        <f>IF(G320="","",IF(G320=0,"不適用",IF(I320="","待評核",IF(I320&gt;=G320,IF(I320&gt;G320,"超越","達標"),"待發展"))))</f>
        <v/>
      </c>
      <c r="L320" s="91" t="n"/>
      <c r="M320" s="91" t="n"/>
      <c r="N320" s="88" t="n"/>
    </row>
    <row r="321" ht="15.75" customHeight="1" s="64">
      <c r="A321" s="88" t="n"/>
      <c r="B321" s="120">
        <f t="array" ref="B321:B321">IF(A321="","",IFERROR(INDEX('3.員工名單'!$B:$B,MATCH(A321,'3.員工名單'!$A:$A,0)),"查無此員工"))</f>
        <v/>
      </c>
      <c r="C321" s="120">
        <f t="array" ref="C321:C321">IF(A321="","",IFERROR(INDEX('3.員工名單'!$C:$C,MATCH(A321,'3.員工名單'!$A:$A,0)),""))</f>
        <v/>
      </c>
      <c r="D321" s="120">
        <f t="array" ref="D321:D321">IF(A321="","",IFERROR(INDEX('3.員工名單'!$D:$D,MATCH(A321,'3.員工名單'!$A:$A,0)),""))</f>
        <v/>
      </c>
      <c r="E321" s="120">
        <f t="array" ref="E321:E321">IF(F321="","",IFERROR(INDEX('1.職能辭典'!$A:$A,MATCH(F321,'1.職能辭典'!$C:$C,0)),""))</f>
        <v/>
      </c>
      <c r="F321" s="94" t="n"/>
      <c r="G321" s="120">
        <f t="array" ref="G321:G321">IF(OR(D321="",F321=""),"",IFERROR(IF(AND(OR(INDEX('1.職能辭典'!$J:$J,MATCH(F321,'1.職能辭典'!$C:$C,0))="全部",INDEX('3.員工名單'!$H:$H,MATCH(A321,'3.員工名單'!$A:$A,0))="兩款共用",INDEX('3.員工名單'!$H:$H,MATCH(A321,'3.員工名單'!$A:$A,0))=INDEX('1.職能辭典'!$J:$J,MATCH(F321,'1.職能辭典'!$C:$C,0))),OR(INDEX('1.職能辭典'!$K:$K,MATCH(F321,'1.職能辭典'!$C:$C,0))="全部",SUMPRODUCT(ISNUMBER(SEARCH({"經營","管理","財務","企劃","營運","技術","數據","美術","測試","客服"},INDEX('3.員工名單'!$I:$I,MATCH(A321,'3.員工名單'!$A:$A,0))))*ISNUMBER(SEARCH({"經營","管理","財務","企劃","營運","技術","數據","美術","測試","客服"},INDEX('1.職能辭典'!$K:$K,MATCH(F321,'1.職能辭典'!$C:$C,0)))))&gt;0)),INDEX('2.職務職能需求'!$B$2:$F$28,MATCH(F321,'2.職務職能需求'!$A$2:$A$28,0),MATCH(D321,'2.職務職能需求'!$B$1:$F$1,0)),0),""))</f>
        <v/>
      </c>
      <c r="H321" s="94" t="n"/>
      <c r="I321" s="94" t="n"/>
      <c r="J321" s="120">
        <f>IF(OR(G321="",I321="",G321=0),"",I321-G321)</f>
        <v/>
      </c>
      <c r="K321" s="120">
        <f>IF(G321="","",IF(G321=0,"不適用",IF(I321="","待評核",IF(I321&gt;=G321,IF(I321&gt;G321,"超越","達標"),"待發展"))))</f>
        <v/>
      </c>
      <c r="L321" s="91" t="n"/>
      <c r="M321" s="91" t="n"/>
      <c r="N321" s="88" t="n"/>
    </row>
    <row r="322" ht="15.75" customHeight="1" s="64">
      <c r="A322" s="88" t="n"/>
      <c r="B322" s="120">
        <f t="array" ref="B322:B322">IF(A322="","",IFERROR(INDEX('3.員工名單'!$B:$B,MATCH(A322,'3.員工名單'!$A:$A,0)),"查無此員工"))</f>
        <v/>
      </c>
      <c r="C322" s="120">
        <f t="array" ref="C322:C322">IF(A322="","",IFERROR(INDEX('3.員工名單'!$C:$C,MATCH(A322,'3.員工名單'!$A:$A,0)),""))</f>
        <v/>
      </c>
      <c r="D322" s="120">
        <f t="array" ref="D322:D322">IF(A322="","",IFERROR(INDEX('3.員工名單'!$D:$D,MATCH(A322,'3.員工名單'!$A:$A,0)),""))</f>
        <v/>
      </c>
      <c r="E322" s="120">
        <f t="array" ref="E322:E322">IF(F322="","",IFERROR(INDEX('1.職能辭典'!$A:$A,MATCH(F322,'1.職能辭典'!$C:$C,0)),""))</f>
        <v/>
      </c>
      <c r="F322" s="94" t="n"/>
      <c r="G322" s="120">
        <f t="array" ref="G322:G322">IF(OR(D322="",F322=""),"",IFERROR(IF(AND(OR(INDEX('1.職能辭典'!$J:$J,MATCH(F322,'1.職能辭典'!$C:$C,0))="全部",INDEX('3.員工名單'!$H:$H,MATCH(A322,'3.員工名單'!$A:$A,0))="兩款共用",INDEX('3.員工名單'!$H:$H,MATCH(A322,'3.員工名單'!$A:$A,0))=INDEX('1.職能辭典'!$J:$J,MATCH(F322,'1.職能辭典'!$C:$C,0))),OR(INDEX('1.職能辭典'!$K:$K,MATCH(F322,'1.職能辭典'!$C:$C,0))="全部",SUMPRODUCT(ISNUMBER(SEARCH({"經營","管理","財務","企劃","營運","技術","數據","美術","測試","客服"},INDEX('3.員工名單'!$I:$I,MATCH(A322,'3.員工名單'!$A:$A,0))))*ISNUMBER(SEARCH({"經營","管理","財務","企劃","營運","技術","數據","美術","測試","客服"},INDEX('1.職能辭典'!$K:$K,MATCH(F322,'1.職能辭典'!$C:$C,0)))))&gt;0)),INDEX('2.職務職能需求'!$B$2:$F$28,MATCH(F322,'2.職務職能需求'!$A$2:$A$28,0),MATCH(D322,'2.職務職能需求'!$B$1:$F$1,0)),0),""))</f>
        <v/>
      </c>
      <c r="H322" s="94" t="n"/>
      <c r="I322" s="94" t="n"/>
      <c r="J322" s="120">
        <f>IF(OR(G322="",I322="",G322=0),"",I322-G322)</f>
        <v/>
      </c>
      <c r="K322" s="120">
        <f>IF(G322="","",IF(G322=0,"不適用",IF(I322="","待評核",IF(I322&gt;=G322,IF(I322&gt;G322,"超越","達標"),"待發展"))))</f>
        <v/>
      </c>
      <c r="L322" s="91" t="n"/>
      <c r="M322" s="91" t="n"/>
      <c r="N322" s="88" t="n"/>
    </row>
    <row r="323" ht="15.75" customHeight="1" s="64">
      <c r="A323" s="88" t="n"/>
      <c r="B323" s="120">
        <f t="array" ref="B323:B323">IF(A323="","",IFERROR(INDEX('3.員工名單'!$B:$B,MATCH(A323,'3.員工名單'!$A:$A,0)),"查無此員工"))</f>
        <v/>
      </c>
      <c r="C323" s="120">
        <f t="array" ref="C323:C323">IF(A323="","",IFERROR(INDEX('3.員工名單'!$C:$C,MATCH(A323,'3.員工名單'!$A:$A,0)),""))</f>
        <v/>
      </c>
      <c r="D323" s="120">
        <f t="array" ref="D323:D323">IF(A323="","",IFERROR(INDEX('3.員工名單'!$D:$D,MATCH(A323,'3.員工名單'!$A:$A,0)),""))</f>
        <v/>
      </c>
      <c r="E323" s="120">
        <f t="array" ref="E323:E323">IF(F323="","",IFERROR(INDEX('1.職能辭典'!$A:$A,MATCH(F323,'1.職能辭典'!$C:$C,0)),""))</f>
        <v/>
      </c>
      <c r="F323" s="94" t="n"/>
      <c r="G323" s="120">
        <f t="array" ref="G323:G323">IF(OR(D323="",F323=""),"",IFERROR(IF(AND(OR(INDEX('1.職能辭典'!$J:$J,MATCH(F323,'1.職能辭典'!$C:$C,0))="全部",INDEX('3.員工名單'!$H:$H,MATCH(A323,'3.員工名單'!$A:$A,0))="兩款共用",INDEX('3.員工名單'!$H:$H,MATCH(A323,'3.員工名單'!$A:$A,0))=INDEX('1.職能辭典'!$J:$J,MATCH(F323,'1.職能辭典'!$C:$C,0))),OR(INDEX('1.職能辭典'!$K:$K,MATCH(F323,'1.職能辭典'!$C:$C,0))="全部",SUMPRODUCT(ISNUMBER(SEARCH({"經營","管理","財務","企劃","營運","技術","數據","美術","測試","客服"},INDEX('3.員工名單'!$I:$I,MATCH(A323,'3.員工名單'!$A:$A,0))))*ISNUMBER(SEARCH({"經營","管理","財務","企劃","營運","技術","數據","美術","測試","客服"},INDEX('1.職能辭典'!$K:$K,MATCH(F323,'1.職能辭典'!$C:$C,0)))))&gt;0)),INDEX('2.職務職能需求'!$B$2:$F$28,MATCH(F323,'2.職務職能需求'!$A$2:$A$28,0),MATCH(D323,'2.職務職能需求'!$B$1:$F$1,0)),0),""))</f>
        <v/>
      </c>
      <c r="H323" s="94" t="n"/>
      <c r="I323" s="94" t="n"/>
      <c r="J323" s="120">
        <f>IF(OR(G323="",I323="",G323=0),"",I323-G323)</f>
        <v/>
      </c>
      <c r="K323" s="120">
        <f>IF(G323="","",IF(G323=0,"不適用",IF(I323="","待評核",IF(I323&gt;=G323,IF(I323&gt;G323,"超越","達標"),"待發展"))))</f>
        <v/>
      </c>
      <c r="L323" s="91" t="n"/>
      <c r="M323" s="91" t="n"/>
      <c r="N323" s="88" t="n"/>
    </row>
    <row r="324" ht="15.75" customHeight="1" s="64">
      <c r="A324" s="88" t="n"/>
      <c r="B324" s="120">
        <f t="array" ref="B324:B324">IF(A324="","",IFERROR(INDEX('3.員工名單'!$B:$B,MATCH(A324,'3.員工名單'!$A:$A,0)),"查無此員工"))</f>
        <v/>
      </c>
      <c r="C324" s="120">
        <f t="array" ref="C324:C324">IF(A324="","",IFERROR(INDEX('3.員工名單'!$C:$C,MATCH(A324,'3.員工名單'!$A:$A,0)),""))</f>
        <v/>
      </c>
      <c r="D324" s="120">
        <f t="array" ref="D324:D324">IF(A324="","",IFERROR(INDEX('3.員工名單'!$D:$D,MATCH(A324,'3.員工名單'!$A:$A,0)),""))</f>
        <v/>
      </c>
      <c r="E324" s="120">
        <f t="array" ref="E324:E324">IF(F324="","",IFERROR(INDEX('1.職能辭典'!$A:$A,MATCH(F324,'1.職能辭典'!$C:$C,0)),""))</f>
        <v/>
      </c>
      <c r="F324" s="94" t="n"/>
      <c r="G324" s="120">
        <f t="array" ref="G324:G324">IF(OR(D324="",F324=""),"",IFERROR(IF(AND(OR(INDEX('1.職能辭典'!$J:$J,MATCH(F324,'1.職能辭典'!$C:$C,0))="全部",INDEX('3.員工名單'!$H:$H,MATCH(A324,'3.員工名單'!$A:$A,0))="兩款共用",INDEX('3.員工名單'!$H:$H,MATCH(A324,'3.員工名單'!$A:$A,0))=INDEX('1.職能辭典'!$J:$J,MATCH(F324,'1.職能辭典'!$C:$C,0))),OR(INDEX('1.職能辭典'!$K:$K,MATCH(F324,'1.職能辭典'!$C:$C,0))="全部",SUMPRODUCT(ISNUMBER(SEARCH({"經營","管理","財務","企劃","營運","技術","數據","美術","測試","客服"},INDEX('3.員工名單'!$I:$I,MATCH(A324,'3.員工名單'!$A:$A,0))))*ISNUMBER(SEARCH({"經營","管理","財務","企劃","營運","技術","數據","美術","測試","客服"},INDEX('1.職能辭典'!$K:$K,MATCH(F324,'1.職能辭典'!$C:$C,0)))))&gt;0)),INDEX('2.職務職能需求'!$B$2:$F$28,MATCH(F324,'2.職務職能需求'!$A$2:$A$28,0),MATCH(D324,'2.職務職能需求'!$B$1:$F$1,0)),0),""))</f>
        <v/>
      </c>
      <c r="H324" s="94" t="n"/>
      <c r="I324" s="94" t="n"/>
      <c r="J324" s="120">
        <f>IF(OR(G324="",I324="",G324=0),"",I324-G324)</f>
        <v/>
      </c>
      <c r="K324" s="120">
        <f>IF(G324="","",IF(G324=0,"不適用",IF(I324="","待評核",IF(I324&gt;=G324,IF(I324&gt;G324,"超越","達標"),"待發展"))))</f>
        <v/>
      </c>
      <c r="L324" s="91" t="n"/>
      <c r="M324" s="91" t="n"/>
      <c r="N324" s="88" t="n"/>
    </row>
    <row r="325" ht="15.75" customHeight="1" s="64">
      <c r="A325" s="88" t="n"/>
      <c r="B325" s="120">
        <f t="array" ref="B325:B325">IF(A325="","",IFERROR(INDEX('3.員工名單'!$B:$B,MATCH(A325,'3.員工名單'!$A:$A,0)),"查無此員工"))</f>
        <v/>
      </c>
      <c r="C325" s="120">
        <f t="array" ref="C325:C325">IF(A325="","",IFERROR(INDEX('3.員工名單'!$C:$C,MATCH(A325,'3.員工名單'!$A:$A,0)),""))</f>
        <v/>
      </c>
      <c r="D325" s="120">
        <f t="array" ref="D325:D325">IF(A325="","",IFERROR(INDEX('3.員工名單'!$D:$D,MATCH(A325,'3.員工名單'!$A:$A,0)),""))</f>
        <v/>
      </c>
      <c r="E325" s="120">
        <f t="array" ref="E325:E325">IF(F325="","",IFERROR(INDEX('1.職能辭典'!$A:$A,MATCH(F325,'1.職能辭典'!$C:$C,0)),""))</f>
        <v/>
      </c>
      <c r="F325" s="94" t="n"/>
      <c r="G325" s="120">
        <f t="array" ref="G325:G325">IF(OR(D325="",F325=""),"",IFERROR(IF(AND(OR(INDEX('1.職能辭典'!$J:$J,MATCH(F325,'1.職能辭典'!$C:$C,0))="全部",INDEX('3.員工名單'!$H:$H,MATCH(A325,'3.員工名單'!$A:$A,0))="兩款共用",INDEX('3.員工名單'!$H:$H,MATCH(A325,'3.員工名單'!$A:$A,0))=INDEX('1.職能辭典'!$J:$J,MATCH(F325,'1.職能辭典'!$C:$C,0))),OR(INDEX('1.職能辭典'!$K:$K,MATCH(F325,'1.職能辭典'!$C:$C,0))="全部",SUMPRODUCT(ISNUMBER(SEARCH({"經營","管理","財務","企劃","營運","技術","數據","美術","測試","客服"},INDEX('3.員工名單'!$I:$I,MATCH(A325,'3.員工名單'!$A:$A,0))))*ISNUMBER(SEARCH({"經營","管理","財務","企劃","營運","技術","數據","美術","測試","客服"},INDEX('1.職能辭典'!$K:$K,MATCH(F325,'1.職能辭典'!$C:$C,0)))))&gt;0)),INDEX('2.職務職能需求'!$B$2:$F$28,MATCH(F325,'2.職務職能需求'!$A$2:$A$28,0),MATCH(D325,'2.職務職能需求'!$B$1:$F$1,0)),0),""))</f>
        <v/>
      </c>
      <c r="H325" s="94" t="n"/>
      <c r="I325" s="94" t="n"/>
      <c r="J325" s="120">
        <f>IF(OR(G325="",I325="",G325=0),"",I325-G325)</f>
        <v/>
      </c>
      <c r="K325" s="120">
        <f>IF(G325="","",IF(G325=0,"不適用",IF(I325="","待評核",IF(I325&gt;=G325,IF(I325&gt;G325,"超越","達標"),"待發展"))))</f>
        <v/>
      </c>
      <c r="L325" s="91" t="n"/>
      <c r="M325" s="91" t="n"/>
      <c r="N325" s="88" t="n"/>
    </row>
    <row r="326" ht="15.75" customHeight="1" s="64">
      <c r="A326" s="88" t="n"/>
      <c r="B326" s="120">
        <f t="array" ref="B326:B326">IF(A326="","",IFERROR(INDEX('3.員工名單'!$B:$B,MATCH(A326,'3.員工名單'!$A:$A,0)),"查無此員工"))</f>
        <v/>
      </c>
      <c r="C326" s="120">
        <f t="array" ref="C326:C326">IF(A326="","",IFERROR(INDEX('3.員工名單'!$C:$C,MATCH(A326,'3.員工名單'!$A:$A,0)),""))</f>
        <v/>
      </c>
      <c r="D326" s="120">
        <f t="array" ref="D326:D326">IF(A326="","",IFERROR(INDEX('3.員工名單'!$D:$D,MATCH(A326,'3.員工名單'!$A:$A,0)),""))</f>
        <v/>
      </c>
      <c r="E326" s="120">
        <f t="array" ref="E326:E326">IF(F326="","",IFERROR(INDEX('1.職能辭典'!$A:$A,MATCH(F326,'1.職能辭典'!$C:$C,0)),""))</f>
        <v/>
      </c>
      <c r="F326" s="94" t="n"/>
      <c r="G326" s="120">
        <f t="array" ref="G326:G326">IF(OR(D326="",F326=""),"",IFERROR(IF(AND(OR(INDEX('1.職能辭典'!$J:$J,MATCH(F326,'1.職能辭典'!$C:$C,0))="全部",INDEX('3.員工名單'!$H:$H,MATCH(A326,'3.員工名單'!$A:$A,0))="兩款共用",INDEX('3.員工名單'!$H:$H,MATCH(A326,'3.員工名單'!$A:$A,0))=INDEX('1.職能辭典'!$J:$J,MATCH(F326,'1.職能辭典'!$C:$C,0))),OR(INDEX('1.職能辭典'!$K:$K,MATCH(F326,'1.職能辭典'!$C:$C,0))="全部",SUMPRODUCT(ISNUMBER(SEARCH({"經營","管理","財務","企劃","營運","技術","數據","美術","測試","客服"},INDEX('3.員工名單'!$I:$I,MATCH(A326,'3.員工名單'!$A:$A,0))))*ISNUMBER(SEARCH({"經營","管理","財務","企劃","營運","技術","數據","美術","測試","客服"},INDEX('1.職能辭典'!$K:$K,MATCH(F326,'1.職能辭典'!$C:$C,0)))))&gt;0)),INDEX('2.職務職能需求'!$B$2:$F$28,MATCH(F326,'2.職務職能需求'!$A$2:$A$28,0),MATCH(D326,'2.職務職能需求'!$B$1:$F$1,0)),0),""))</f>
        <v/>
      </c>
      <c r="H326" s="94" t="n"/>
      <c r="I326" s="94" t="n"/>
      <c r="J326" s="120">
        <f>IF(OR(G326="",I326="",G326=0),"",I326-G326)</f>
        <v/>
      </c>
      <c r="K326" s="120">
        <f>IF(G326="","",IF(G326=0,"不適用",IF(I326="","待評核",IF(I326&gt;=G326,IF(I326&gt;G326,"超越","達標"),"待發展"))))</f>
        <v/>
      </c>
      <c r="L326" s="91" t="n"/>
      <c r="M326" s="91" t="n"/>
      <c r="N326" s="88" t="n"/>
    </row>
    <row r="327" ht="15.75" customHeight="1" s="64">
      <c r="A327" s="88" t="n"/>
      <c r="B327" s="120">
        <f t="array" ref="B327:B327">IF(A327="","",IFERROR(INDEX('3.員工名單'!$B:$B,MATCH(A327,'3.員工名單'!$A:$A,0)),"查無此員工"))</f>
        <v/>
      </c>
      <c r="C327" s="120">
        <f t="array" ref="C327:C327">IF(A327="","",IFERROR(INDEX('3.員工名單'!$C:$C,MATCH(A327,'3.員工名單'!$A:$A,0)),""))</f>
        <v/>
      </c>
      <c r="D327" s="120">
        <f t="array" ref="D327:D327">IF(A327="","",IFERROR(INDEX('3.員工名單'!$D:$D,MATCH(A327,'3.員工名單'!$A:$A,0)),""))</f>
        <v/>
      </c>
      <c r="E327" s="120">
        <f t="array" ref="E327:E327">IF(F327="","",IFERROR(INDEX('1.職能辭典'!$A:$A,MATCH(F327,'1.職能辭典'!$C:$C,0)),""))</f>
        <v/>
      </c>
      <c r="F327" s="94" t="n"/>
      <c r="G327" s="120">
        <f t="array" ref="G327:G327">IF(OR(D327="",F327=""),"",IFERROR(IF(AND(OR(INDEX('1.職能辭典'!$J:$J,MATCH(F327,'1.職能辭典'!$C:$C,0))="全部",INDEX('3.員工名單'!$H:$H,MATCH(A327,'3.員工名單'!$A:$A,0))="兩款共用",INDEX('3.員工名單'!$H:$H,MATCH(A327,'3.員工名單'!$A:$A,0))=INDEX('1.職能辭典'!$J:$J,MATCH(F327,'1.職能辭典'!$C:$C,0))),OR(INDEX('1.職能辭典'!$K:$K,MATCH(F327,'1.職能辭典'!$C:$C,0))="全部",SUMPRODUCT(ISNUMBER(SEARCH({"經營","管理","財務","企劃","營運","技術","數據","美術","測試","客服"},INDEX('3.員工名單'!$I:$I,MATCH(A327,'3.員工名單'!$A:$A,0))))*ISNUMBER(SEARCH({"經營","管理","財務","企劃","營運","技術","數據","美術","測試","客服"},INDEX('1.職能辭典'!$K:$K,MATCH(F327,'1.職能辭典'!$C:$C,0)))))&gt;0)),INDEX('2.職務職能需求'!$B$2:$F$28,MATCH(F327,'2.職務職能需求'!$A$2:$A$28,0),MATCH(D327,'2.職務職能需求'!$B$1:$F$1,0)),0),""))</f>
        <v/>
      </c>
      <c r="H327" s="94" t="n"/>
      <c r="I327" s="94" t="n"/>
      <c r="J327" s="120">
        <f>IF(OR(G327="",I327="",G327=0),"",I327-G327)</f>
        <v/>
      </c>
      <c r="K327" s="120">
        <f>IF(G327="","",IF(G327=0,"不適用",IF(I327="","待評核",IF(I327&gt;=G327,IF(I327&gt;G327,"超越","達標"),"待發展"))))</f>
        <v/>
      </c>
      <c r="L327" s="91" t="n"/>
      <c r="M327" s="91" t="n"/>
      <c r="N327" s="88" t="n"/>
    </row>
    <row r="328" ht="15.75" customHeight="1" s="64">
      <c r="A328" s="88" t="n"/>
      <c r="B328" s="120">
        <f t="array" ref="B328:B328">IF(A328="","",IFERROR(INDEX('3.員工名單'!$B:$B,MATCH(A328,'3.員工名單'!$A:$A,0)),"查無此員工"))</f>
        <v/>
      </c>
      <c r="C328" s="120">
        <f t="array" ref="C328:C328">IF(A328="","",IFERROR(INDEX('3.員工名單'!$C:$C,MATCH(A328,'3.員工名單'!$A:$A,0)),""))</f>
        <v/>
      </c>
      <c r="D328" s="120">
        <f t="array" ref="D328:D328">IF(A328="","",IFERROR(INDEX('3.員工名單'!$D:$D,MATCH(A328,'3.員工名單'!$A:$A,0)),""))</f>
        <v/>
      </c>
      <c r="E328" s="120">
        <f t="array" ref="E328:E328">IF(F328="","",IFERROR(INDEX('1.職能辭典'!$A:$A,MATCH(F328,'1.職能辭典'!$C:$C,0)),""))</f>
        <v/>
      </c>
      <c r="F328" s="94" t="n"/>
      <c r="G328" s="120">
        <f t="array" ref="G328:G328">IF(OR(D328="",F328=""),"",IFERROR(IF(AND(OR(INDEX('1.職能辭典'!$J:$J,MATCH(F328,'1.職能辭典'!$C:$C,0))="全部",INDEX('3.員工名單'!$H:$H,MATCH(A328,'3.員工名單'!$A:$A,0))="兩款共用",INDEX('3.員工名單'!$H:$H,MATCH(A328,'3.員工名單'!$A:$A,0))=INDEX('1.職能辭典'!$J:$J,MATCH(F328,'1.職能辭典'!$C:$C,0))),OR(INDEX('1.職能辭典'!$K:$K,MATCH(F328,'1.職能辭典'!$C:$C,0))="全部",SUMPRODUCT(ISNUMBER(SEARCH({"經營","管理","財務","企劃","營運","技術","數據","美術","測試","客服"},INDEX('3.員工名單'!$I:$I,MATCH(A328,'3.員工名單'!$A:$A,0))))*ISNUMBER(SEARCH({"經營","管理","財務","企劃","營運","技術","數據","美術","測試","客服"},INDEX('1.職能辭典'!$K:$K,MATCH(F328,'1.職能辭典'!$C:$C,0)))))&gt;0)),INDEX('2.職務職能需求'!$B$2:$F$28,MATCH(F328,'2.職務職能需求'!$A$2:$A$28,0),MATCH(D328,'2.職務職能需求'!$B$1:$F$1,0)),0),""))</f>
        <v/>
      </c>
      <c r="H328" s="94" t="n"/>
      <c r="I328" s="94" t="n"/>
      <c r="J328" s="120">
        <f>IF(OR(G328="",I328="",G328=0),"",I328-G328)</f>
        <v/>
      </c>
      <c r="K328" s="120">
        <f>IF(G328="","",IF(G328=0,"不適用",IF(I328="","待評核",IF(I328&gt;=G328,IF(I328&gt;G328,"超越","達標"),"待發展"))))</f>
        <v/>
      </c>
      <c r="L328" s="91" t="n"/>
      <c r="M328" s="91" t="n"/>
      <c r="N328" s="88" t="n"/>
    </row>
    <row r="329" ht="15.75" customHeight="1" s="64">
      <c r="A329" s="88" t="n"/>
      <c r="B329" s="120">
        <f t="array" ref="B329:B329">IF(A329="","",IFERROR(INDEX('3.員工名單'!$B:$B,MATCH(A329,'3.員工名單'!$A:$A,0)),"查無此員工"))</f>
        <v/>
      </c>
      <c r="C329" s="120">
        <f t="array" ref="C329:C329">IF(A329="","",IFERROR(INDEX('3.員工名單'!$C:$C,MATCH(A329,'3.員工名單'!$A:$A,0)),""))</f>
        <v/>
      </c>
      <c r="D329" s="120">
        <f t="array" ref="D329:D329">IF(A329="","",IFERROR(INDEX('3.員工名單'!$D:$D,MATCH(A329,'3.員工名單'!$A:$A,0)),""))</f>
        <v/>
      </c>
      <c r="E329" s="120">
        <f t="array" ref="E329:E329">IF(F329="","",IFERROR(INDEX('1.職能辭典'!$A:$A,MATCH(F329,'1.職能辭典'!$C:$C,0)),""))</f>
        <v/>
      </c>
      <c r="F329" s="94" t="n"/>
      <c r="G329" s="120">
        <f t="array" ref="G329:G329">IF(OR(D329="",F329=""),"",IFERROR(IF(AND(OR(INDEX('1.職能辭典'!$J:$J,MATCH(F329,'1.職能辭典'!$C:$C,0))="全部",INDEX('3.員工名單'!$H:$H,MATCH(A329,'3.員工名單'!$A:$A,0))="兩款共用",INDEX('3.員工名單'!$H:$H,MATCH(A329,'3.員工名單'!$A:$A,0))=INDEX('1.職能辭典'!$J:$J,MATCH(F329,'1.職能辭典'!$C:$C,0))),OR(INDEX('1.職能辭典'!$K:$K,MATCH(F329,'1.職能辭典'!$C:$C,0))="全部",SUMPRODUCT(ISNUMBER(SEARCH({"經營","管理","財務","企劃","營運","技術","數據","美術","測試","客服"},INDEX('3.員工名單'!$I:$I,MATCH(A329,'3.員工名單'!$A:$A,0))))*ISNUMBER(SEARCH({"經營","管理","財務","企劃","營運","技術","數據","美術","測試","客服"},INDEX('1.職能辭典'!$K:$K,MATCH(F329,'1.職能辭典'!$C:$C,0)))))&gt;0)),INDEX('2.職務職能需求'!$B$2:$F$28,MATCH(F329,'2.職務職能需求'!$A$2:$A$28,0),MATCH(D329,'2.職務職能需求'!$B$1:$F$1,0)),0),""))</f>
        <v/>
      </c>
      <c r="H329" s="94" t="n"/>
      <c r="I329" s="94" t="n"/>
      <c r="J329" s="120">
        <f>IF(OR(G329="",I329="",G329=0),"",I329-G329)</f>
        <v/>
      </c>
      <c r="K329" s="120">
        <f>IF(G329="","",IF(G329=0,"不適用",IF(I329="","待評核",IF(I329&gt;=G329,IF(I329&gt;G329,"超越","達標"),"待發展"))))</f>
        <v/>
      </c>
      <c r="L329" s="91" t="n"/>
      <c r="M329" s="91" t="n"/>
      <c r="N329" s="88" t="n"/>
    </row>
    <row r="330" ht="15.75" customHeight="1" s="64">
      <c r="A330" s="88" t="n"/>
      <c r="B330" s="120">
        <f t="array" ref="B330:B330">IF(A330="","",IFERROR(INDEX('3.員工名單'!$B:$B,MATCH(A330,'3.員工名單'!$A:$A,0)),"查無此員工"))</f>
        <v/>
      </c>
      <c r="C330" s="120">
        <f t="array" ref="C330:C330">IF(A330="","",IFERROR(INDEX('3.員工名單'!$C:$C,MATCH(A330,'3.員工名單'!$A:$A,0)),""))</f>
        <v/>
      </c>
      <c r="D330" s="120">
        <f t="array" ref="D330:D330">IF(A330="","",IFERROR(INDEX('3.員工名單'!$D:$D,MATCH(A330,'3.員工名單'!$A:$A,0)),""))</f>
        <v/>
      </c>
      <c r="E330" s="120">
        <f t="array" ref="E330:E330">IF(F330="","",IFERROR(INDEX('1.職能辭典'!$A:$A,MATCH(F330,'1.職能辭典'!$C:$C,0)),""))</f>
        <v/>
      </c>
      <c r="F330" s="94" t="n"/>
      <c r="G330" s="120">
        <f t="array" ref="G330:G330">IF(OR(D330="",F330=""),"",IFERROR(IF(AND(OR(INDEX('1.職能辭典'!$J:$J,MATCH(F330,'1.職能辭典'!$C:$C,0))="全部",INDEX('3.員工名單'!$H:$H,MATCH(A330,'3.員工名單'!$A:$A,0))="兩款共用",INDEX('3.員工名單'!$H:$H,MATCH(A330,'3.員工名單'!$A:$A,0))=INDEX('1.職能辭典'!$J:$J,MATCH(F330,'1.職能辭典'!$C:$C,0))),OR(INDEX('1.職能辭典'!$K:$K,MATCH(F330,'1.職能辭典'!$C:$C,0))="全部",SUMPRODUCT(ISNUMBER(SEARCH({"經營","管理","財務","企劃","營運","技術","數據","美術","測試","客服"},INDEX('3.員工名單'!$I:$I,MATCH(A330,'3.員工名單'!$A:$A,0))))*ISNUMBER(SEARCH({"經營","管理","財務","企劃","營運","技術","數據","美術","測試","客服"},INDEX('1.職能辭典'!$K:$K,MATCH(F330,'1.職能辭典'!$C:$C,0)))))&gt;0)),INDEX('2.職務職能需求'!$B$2:$F$28,MATCH(F330,'2.職務職能需求'!$A$2:$A$28,0),MATCH(D330,'2.職務職能需求'!$B$1:$F$1,0)),0),""))</f>
        <v/>
      </c>
      <c r="H330" s="94" t="n"/>
      <c r="I330" s="94" t="n"/>
      <c r="J330" s="120">
        <f>IF(OR(G330="",I330="",G330=0),"",I330-G330)</f>
        <v/>
      </c>
      <c r="K330" s="120">
        <f>IF(G330="","",IF(G330=0,"不適用",IF(I330="","待評核",IF(I330&gt;=G330,IF(I330&gt;G330,"超越","達標"),"待發展"))))</f>
        <v/>
      </c>
      <c r="L330" s="91" t="n"/>
      <c r="M330" s="91" t="n"/>
      <c r="N330" s="88" t="n"/>
    </row>
    <row r="331" ht="15.75" customHeight="1" s="64">
      <c r="A331" s="88" t="n"/>
      <c r="B331" s="120">
        <f t="array" ref="B331:B331">IF(A331="","",IFERROR(INDEX('3.員工名單'!$B:$B,MATCH(A331,'3.員工名單'!$A:$A,0)),"查無此員工"))</f>
        <v/>
      </c>
      <c r="C331" s="120">
        <f t="array" ref="C331:C331">IF(A331="","",IFERROR(INDEX('3.員工名單'!$C:$C,MATCH(A331,'3.員工名單'!$A:$A,0)),""))</f>
        <v/>
      </c>
      <c r="D331" s="120">
        <f t="array" ref="D331:D331">IF(A331="","",IFERROR(INDEX('3.員工名單'!$D:$D,MATCH(A331,'3.員工名單'!$A:$A,0)),""))</f>
        <v/>
      </c>
      <c r="E331" s="120">
        <f t="array" ref="E331:E331">IF(F331="","",IFERROR(INDEX('1.職能辭典'!$A:$A,MATCH(F331,'1.職能辭典'!$C:$C,0)),""))</f>
        <v/>
      </c>
      <c r="F331" s="94" t="n"/>
      <c r="G331" s="120">
        <f t="array" ref="G331:G331">IF(OR(D331="",F331=""),"",IFERROR(IF(AND(OR(INDEX('1.職能辭典'!$J:$J,MATCH(F331,'1.職能辭典'!$C:$C,0))="全部",INDEX('3.員工名單'!$H:$H,MATCH(A331,'3.員工名單'!$A:$A,0))="兩款共用",INDEX('3.員工名單'!$H:$H,MATCH(A331,'3.員工名單'!$A:$A,0))=INDEX('1.職能辭典'!$J:$J,MATCH(F331,'1.職能辭典'!$C:$C,0))),OR(INDEX('1.職能辭典'!$K:$K,MATCH(F331,'1.職能辭典'!$C:$C,0))="全部",SUMPRODUCT(ISNUMBER(SEARCH({"經營","管理","財務","企劃","營運","技術","數據","美術","測試","客服"},INDEX('3.員工名單'!$I:$I,MATCH(A331,'3.員工名單'!$A:$A,0))))*ISNUMBER(SEARCH({"經營","管理","財務","企劃","營運","技術","數據","美術","測試","客服"},INDEX('1.職能辭典'!$K:$K,MATCH(F331,'1.職能辭典'!$C:$C,0)))))&gt;0)),INDEX('2.職務職能需求'!$B$2:$F$28,MATCH(F331,'2.職務職能需求'!$A$2:$A$28,0),MATCH(D331,'2.職務職能需求'!$B$1:$F$1,0)),0),""))</f>
        <v/>
      </c>
      <c r="H331" s="94" t="n"/>
      <c r="I331" s="94" t="n"/>
      <c r="J331" s="120">
        <f>IF(OR(G331="",I331="",G331=0),"",I331-G331)</f>
        <v/>
      </c>
      <c r="K331" s="120">
        <f>IF(G331="","",IF(G331=0,"不適用",IF(I331="","待評核",IF(I331&gt;=G331,IF(I331&gt;G331,"超越","達標"),"待發展"))))</f>
        <v/>
      </c>
      <c r="L331" s="91" t="n"/>
      <c r="M331" s="91" t="n"/>
      <c r="N331" s="88" t="n"/>
    </row>
    <row r="332" ht="15.75" customHeight="1" s="64">
      <c r="A332" s="88" t="n"/>
      <c r="B332" s="120">
        <f t="array" ref="B332:B332">IF(A332="","",IFERROR(INDEX('3.員工名單'!$B:$B,MATCH(A332,'3.員工名單'!$A:$A,0)),"查無此員工"))</f>
        <v/>
      </c>
      <c r="C332" s="120">
        <f t="array" ref="C332:C332">IF(A332="","",IFERROR(INDEX('3.員工名單'!$C:$C,MATCH(A332,'3.員工名單'!$A:$A,0)),""))</f>
        <v/>
      </c>
      <c r="D332" s="120">
        <f t="array" ref="D332:D332">IF(A332="","",IFERROR(INDEX('3.員工名單'!$D:$D,MATCH(A332,'3.員工名單'!$A:$A,0)),""))</f>
        <v/>
      </c>
      <c r="E332" s="120">
        <f t="array" ref="E332:E332">IF(F332="","",IFERROR(INDEX('1.職能辭典'!$A:$A,MATCH(F332,'1.職能辭典'!$C:$C,0)),""))</f>
        <v/>
      </c>
      <c r="F332" s="94" t="n"/>
      <c r="G332" s="120">
        <f t="array" ref="G332:G332">IF(OR(D332="",F332=""),"",IFERROR(IF(AND(OR(INDEX('1.職能辭典'!$J:$J,MATCH(F332,'1.職能辭典'!$C:$C,0))="全部",INDEX('3.員工名單'!$H:$H,MATCH(A332,'3.員工名單'!$A:$A,0))="兩款共用",INDEX('3.員工名單'!$H:$H,MATCH(A332,'3.員工名單'!$A:$A,0))=INDEX('1.職能辭典'!$J:$J,MATCH(F332,'1.職能辭典'!$C:$C,0))),OR(INDEX('1.職能辭典'!$K:$K,MATCH(F332,'1.職能辭典'!$C:$C,0))="全部",SUMPRODUCT(ISNUMBER(SEARCH({"經營","管理","財務","企劃","營運","技術","數據","美術","測試","客服"},INDEX('3.員工名單'!$I:$I,MATCH(A332,'3.員工名單'!$A:$A,0))))*ISNUMBER(SEARCH({"經營","管理","財務","企劃","營運","技術","數據","美術","測試","客服"},INDEX('1.職能辭典'!$K:$K,MATCH(F332,'1.職能辭典'!$C:$C,0)))))&gt;0)),INDEX('2.職務職能需求'!$B$2:$F$28,MATCH(F332,'2.職務職能需求'!$A$2:$A$28,0),MATCH(D332,'2.職務職能需求'!$B$1:$F$1,0)),0),""))</f>
        <v/>
      </c>
      <c r="H332" s="94" t="n"/>
      <c r="I332" s="94" t="n"/>
      <c r="J332" s="120">
        <f>IF(OR(G332="",I332="",G332=0),"",I332-G332)</f>
        <v/>
      </c>
      <c r="K332" s="120">
        <f>IF(G332="","",IF(G332=0,"不適用",IF(I332="","待評核",IF(I332&gt;=G332,IF(I332&gt;G332,"超越","達標"),"待發展"))))</f>
        <v/>
      </c>
      <c r="L332" s="91" t="n"/>
      <c r="M332" s="91" t="n"/>
      <c r="N332" s="88" t="n"/>
    </row>
    <row r="333" ht="15.75" customHeight="1" s="64">
      <c r="A333" s="88" t="n"/>
      <c r="B333" s="120">
        <f t="array" ref="B333:B333">IF(A333="","",IFERROR(INDEX('3.員工名單'!$B:$B,MATCH(A333,'3.員工名單'!$A:$A,0)),"查無此員工"))</f>
        <v/>
      </c>
      <c r="C333" s="120">
        <f t="array" ref="C333:C333">IF(A333="","",IFERROR(INDEX('3.員工名單'!$C:$C,MATCH(A333,'3.員工名單'!$A:$A,0)),""))</f>
        <v/>
      </c>
      <c r="D333" s="120">
        <f t="array" ref="D333:D333">IF(A333="","",IFERROR(INDEX('3.員工名單'!$D:$D,MATCH(A333,'3.員工名單'!$A:$A,0)),""))</f>
        <v/>
      </c>
      <c r="E333" s="120">
        <f t="array" ref="E333:E333">IF(F333="","",IFERROR(INDEX('1.職能辭典'!$A:$A,MATCH(F333,'1.職能辭典'!$C:$C,0)),""))</f>
        <v/>
      </c>
      <c r="F333" s="94" t="n"/>
      <c r="G333" s="120">
        <f t="array" ref="G333:G333">IF(OR(D333="",F333=""),"",IFERROR(IF(AND(OR(INDEX('1.職能辭典'!$J:$J,MATCH(F333,'1.職能辭典'!$C:$C,0))="全部",INDEX('3.員工名單'!$H:$H,MATCH(A333,'3.員工名單'!$A:$A,0))="兩款共用",INDEX('3.員工名單'!$H:$H,MATCH(A333,'3.員工名單'!$A:$A,0))=INDEX('1.職能辭典'!$J:$J,MATCH(F333,'1.職能辭典'!$C:$C,0))),OR(INDEX('1.職能辭典'!$K:$K,MATCH(F333,'1.職能辭典'!$C:$C,0))="全部",SUMPRODUCT(ISNUMBER(SEARCH({"經營","管理","財務","企劃","營運","技術","數據","美術","測試","客服"},INDEX('3.員工名單'!$I:$I,MATCH(A333,'3.員工名單'!$A:$A,0))))*ISNUMBER(SEARCH({"經營","管理","財務","企劃","營運","技術","數據","美術","測試","客服"},INDEX('1.職能辭典'!$K:$K,MATCH(F333,'1.職能辭典'!$C:$C,0)))))&gt;0)),INDEX('2.職務職能需求'!$B$2:$F$28,MATCH(F333,'2.職務職能需求'!$A$2:$A$28,0),MATCH(D333,'2.職務職能需求'!$B$1:$F$1,0)),0),""))</f>
        <v/>
      </c>
      <c r="H333" s="94" t="n"/>
      <c r="I333" s="94" t="n"/>
      <c r="J333" s="120">
        <f>IF(OR(G333="",I333="",G333=0),"",I333-G333)</f>
        <v/>
      </c>
      <c r="K333" s="120">
        <f>IF(G333="","",IF(G333=0,"不適用",IF(I333="","待評核",IF(I333&gt;=G333,IF(I333&gt;G333,"超越","達標"),"待發展"))))</f>
        <v/>
      </c>
      <c r="L333" s="91" t="n"/>
      <c r="M333" s="91" t="n"/>
      <c r="N333" s="88" t="n"/>
    </row>
    <row r="334" ht="15.75" customHeight="1" s="64">
      <c r="A334" s="88" t="n"/>
      <c r="B334" s="120">
        <f t="array" ref="B334:B334">IF(A334="","",IFERROR(INDEX('3.員工名單'!$B:$B,MATCH(A334,'3.員工名單'!$A:$A,0)),"查無此員工"))</f>
        <v/>
      </c>
      <c r="C334" s="120">
        <f t="array" ref="C334:C334">IF(A334="","",IFERROR(INDEX('3.員工名單'!$C:$C,MATCH(A334,'3.員工名單'!$A:$A,0)),""))</f>
        <v/>
      </c>
      <c r="D334" s="120">
        <f t="array" ref="D334:D334">IF(A334="","",IFERROR(INDEX('3.員工名單'!$D:$D,MATCH(A334,'3.員工名單'!$A:$A,0)),""))</f>
        <v/>
      </c>
      <c r="E334" s="120">
        <f t="array" ref="E334:E334">IF(F334="","",IFERROR(INDEX('1.職能辭典'!$A:$A,MATCH(F334,'1.職能辭典'!$C:$C,0)),""))</f>
        <v/>
      </c>
      <c r="F334" s="94" t="n"/>
      <c r="G334" s="120">
        <f t="array" ref="G334:G334">IF(OR(D334="",F334=""),"",IFERROR(IF(AND(OR(INDEX('1.職能辭典'!$J:$J,MATCH(F334,'1.職能辭典'!$C:$C,0))="全部",INDEX('3.員工名單'!$H:$H,MATCH(A334,'3.員工名單'!$A:$A,0))="兩款共用",INDEX('3.員工名單'!$H:$H,MATCH(A334,'3.員工名單'!$A:$A,0))=INDEX('1.職能辭典'!$J:$J,MATCH(F334,'1.職能辭典'!$C:$C,0))),OR(INDEX('1.職能辭典'!$K:$K,MATCH(F334,'1.職能辭典'!$C:$C,0))="全部",SUMPRODUCT(ISNUMBER(SEARCH({"經營","管理","財務","企劃","營運","技術","數據","美術","測試","客服"},INDEX('3.員工名單'!$I:$I,MATCH(A334,'3.員工名單'!$A:$A,0))))*ISNUMBER(SEARCH({"經營","管理","財務","企劃","營運","技術","數據","美術","測試","客服"},INDEX('1.職能辭典'!$K:$K,MATCH(F334,'1.職能辭典'!$C:$C,0)))))&gt;0)),INDEX('2.職務職能需求'!$B$2:$F$28,MATCH(F334,'2.職務職能需求'!$A$2:$A$28,0),MATCH(D334,'2.職務職能需求'!$B$1:$F$1,0)),0),""))</f>
        <v/>
      </c>
      <c r="H334" s="94" t="n"/>
      <c r="I334" s="94" t="n"/>
      <c r="J334" s="120">
        <f>IF(OR(G334="",I334="",G334=0),"",I334-G334)</f>
        <v/>
      </c>
      <c r="K334" s="120">
        <f>IF(G334="","",IF(G334=0,"不適用",IF(I334="","待評核",IF(I334&gt;=G334,IF(I334&gt;G334,"超越","達標"),"待發展"))))</f>
        <v/>
      </c>
      <c r="L334" s="91" t="n"/>
      <c r="M334" s="91" t="n"/>
      <c r="N334" s="88" t="n"/>
    </row>
    <row r="335" ht="15.75" customHeight="1" s="64">
      <c r="A335" s="88" t="n"/>
      <c r="B335" s="120">
        <f t="array" ref="B335:B335">IF(A335="","",IFERROR(INDEX('3.員工名單'!$B:$B,MATCH(A335,'3.員工名單'!$A:$A,0)),"查無此員工"))</f>
        <v/>
      </c>
      <c r="C335" s="120">
        <f t="array" ref="C335:C335">IF(A335="","",IFERROR(INDEX('3.員工名單'!$C:$C,MATCH(A335,'3.員工名單'!$A:$A,0)),""))</f>
        <v/>
      </c>
      <c r="D335" s="120">
        <f t="array" ref="D335:D335">IF(A335="","",IFERROR(INDEX('3.員工名單'!$D:$D,MATCH(A335,'3.員工名單'!$A:$A,0)),""))</f>
        <v/>
      </c>
      <c r="E335" s="120">
        <f t="array" ref="E335:E335">IF(F335="","",IFERROR(INDEX('1.職能辭典'!$A:$A,MATCH(F335,'1.職能辭典'!$C:$C,0)),""))</f>
        <v/>
      </c>
      <c r="F335" s="94" t="n"/>
      <c r="G335" s="120">
        <f t="array" ref="G335:G335">IF(OR(D335="",F335=""),"",IFERROR(IF(AND(OR(INDEX('1.職能辭典'!$J:$J,MATCH(F335,'1.職能辭典'!$C:$C,0))="全部",INDEX('3.員工名單'!$H:$H,MATCH(A335,'3.員工名單'!$A:$A,0))="兩款共用",INDEX('3.員工名單'!$H:$H,MATCH(A335,'3.員工名單'!$A:$A,0))=INDEX('1.職能辭典'!$J:$J,MATCH(F335,'1.職能辭典'!$C:$C,0))),OR(INDEX('1.職能辭典'!$K:$K,MATCH(F335,'1.職能辭典'!$C:$C,0))="全部",SUMPRODUCT(ISNUMBER(SEARCH({"經營","管理","財務","企劃","營運","技術","數據","美術","測試","客服"},INDEX('3.員工名單'!$I:$I,MATCH(A335,'3.員工名單'!$A:$A,0))))*ISNUMBER(SEARCH({"經營","管理","財務","企劃","營運","技術","數據","美術","測試","客服"},INDEX('1.職能辭典'!$K:$K,MATCH(F335,'1.職能辭典'!$C:$C,0)))))&gt;0)),INDEX('2.職務職能需求'!$B$2:$F$28,MATCH(F335,'2.職務職能需求'!$A$2:$A$28,0),MATCH(D335,'2.職務職能需求'!$B$1:$F$1,0)),0),""))</f>
        <v/>
      </c>
      <c r="H335" s="94" t="n"/>
      <c r="I335" s="94" t="n"/>
      <c r="J335" s="120">
        <f>IF(OR(G335="",I335="",G335=0),"",I335-G335)</f>
        <v/>
      </c>
      <c r="K335" s="120">
        <f>IF(G335="","",IF(G335=0,"不適用",IF(I335="","待評核",IF(I335&gt;=G335,IF(I335&gt;G335,"超越","達標"),"待發展"))))</f>
        <v/>
      </c>
      <c r="L335" s="91" t="n"/>
      <c r="M335" s="91" t="n"/>
      <c r="N335" s="88" t="n"/>
    </row>
    <row r="336" ht="15.75" customHeight="1" s="64">
      <c r="A336" s="88" t="n"/>
      <c r="B336" s="120">
        <f t="array" ref="B336:B336">IF(A336="","",IFERROR(INDEX('3.員工名單'!$B:$B,MATCH(A336,'3.員工名單'!$A:$A,0)),"查無此員工"))</f>
        <v/>
      </c>
      <c r="C336" s="120">
        <f t="array" ref="C336:C336">IF(A336="","",IFERROR(INDEX('3.員工名單'!$C:$C,MATCH(A336,'3.員工名單'!$A:$A,0)),""))</f>
        <v/>
      </c>
      <c r="D336" s="120">
        <f t="array" ref="D336:D336">IF(A336="","",IFERROR(INDEX('3.員工名單'!$D:$D,MATCH(A336,'3.員工名單'!$A:$A,0)),""))</f>
        <v/>
      </c>
      <c r="E336" s="120">
        <f t="array" ref="E336:E336">IF(F336="","",IFERROR(INDEX('1.職能辭典'!$A:$A,MATCH(F336,'1.職能辭典'!$C:$C,0)),""))</f>
        <v/>
      </c>
      <c r="F336" s="94" t="n"/>
      <c r="G336" s="120">
        <f t="array" ref="G336:G336">IF(OR(D336="",F336=""),"",IFERROR(IF(AND(OR(INDEX('1.職能辭典'!$J:$J,MATCH(F336,'1.職能辭典'!$C:$C,0))="全部",INDEX('3.員工名單'!$H:$H,MATCH(A336,'3.員工名單'!$A:$A,0))="兩款共用",INDEX('3.員工名單'!$H:$H,MATCH(A336,'3.員工名單'!$A:$A,0))=INDEX('1.職能辭典'!$J:$J,MATCH(F336,'1.職能辭典'!$C:$C,0))),OR(INDEX('1.職能辭典'!$K:$K,MATCH(F336,'1.職能辭典'!$C:$C,0))="全部",SUMPRODUCT(ISNUMBER(SEARCH({"經營","管理","財務","企劃","營運","技術","數據","美術","測試","客服"},INDEX('3.員工名單'!$I:$I,MATCH(A336,'3.員工名單'!$A:$A,0))))*ISNUMBER(SEARCH({"經營","管理","財務","企劃","營運","技術","數據","美術","測試","客服"},INDEX('1.職能辭典'!$K:$K,MATCH(F336,'1.職能辭典'!$C:$C,0)))))&gt;0)),INDEX('2.職務職能需求'!$B$2:$F$28,MATCH(F336,'2.職務職能需求'!$A$2:$A$28,0),MATCH(D336,'2.職務職能需求'!$B$1:$F$1,0)),0),""))</f>
        <v/>
      </c>
      <c r="H336" s="94" t="n"/>
      <c r="I336" s="94" t="n"/>
      <c r="J336" s="120">
        <f>IF(OR(G336="",I336="",G336=0),"",I336-G336)</f>
        <v/>
      </c>
      <c r="K336" s="120">
        <f>IF(G336="","",IF(G336=0,"不適用",IF(I336="","待評核",IF(I336&gt;=G336,IF(I336&gt;G336,"超越","達標"),"待發展"))))</f>
        <v/>
      </c>
      <c r="L336" s="91" t="n"/>
      <c r="M336" s="91" t="n"/>
      <c r="N336" s="88" t="n"/>
    </row>
    <row r="337" ht="15.75" customHeight="1" s="64">
      <c r="A337" s="88" t="n"/>
      <c r="B337" s="120">
        <f t="array" ref="B337:B337">IF(A337="","",IFERROR(INDEX('3.員工名單'!$B:$B,MATCH(A337,'3.員工名單'!$A:$A,0)),"查無此員工"))</f>
        <v/>
      </c>
      <c r="C337" s="120">
        <f t="array" ref="C337:C337">IF(A337="","",IFERROR(INDEX('3.員工名單'!$C:$C,MATCH(A337,'3.員工名單'!$A:$A,0)),""))</f>
        <v/>
      </c>
      <c r="D337" s="120">
        <f t="array" ref="D337:D337">IF(A337="","",IFERROR(INDEX('3.員工名單'!$D:$D,MATCH(A337,'3.員工名單'!$A:$A,0)),""))</f>
        <v/>
      </c>
      <c r="E337" s="120">
        <f t="array" ref="E337:E337">IF(F337="","",IFERROR(INDEX('1.職能辭典'!$A:$A,MATCH(F337,'1.職能辭典'!$C:$C,0)),""))</f>
        <v/>
      </c>
      <c r="F337" s="94" t="n"/>
      <c r="G337" s="120">
        <f t="array" ref="G337:G337">IF(OR(D337="",F337=""),"",IFERROR(IF(AND(OR(INDEX('1.職能辭典'!$J:$J,MATCH(F337,'1.職能辭典'!$C:$C,0))="全部",INDEX('3.員工名單'!$H:$H,MATCH(A337,'3.員工名單'!$A:$A,0))="兩款共用",INDEX('3.員工名單'!$H:$H,MATCH(A337,'3.員工名單'!$A:$A,0))=INDEX('1.職能辭典'!$J:$J,MATCH(F337,'1.職能辭典'!$C:$C,0))),OR(INDEX('1.職能辭典'!$K:$K,MATCH(F337,'1.職能辭典'!$C:$C,0))="全部",SUMPRODUCT(ISNUMBER(SEARCH({"經營","管理","財務","企劃","營運","技術","數據","美術","測試","客服"},INDEX('3.員工名單'!$I:$I,MATCH(A337,'3.員工名單'!$A:$A,0))))*ISNUMBER(SEARCH({"經營","管理","財務","企劃","營運","技術","數據","美術","測試","客服"},INDEX('1.職能辭典'!$K:$K,MATCH(F337,'1.職能辭典'!$C:$C,0)))))&gt;0)),INDEX('2.職務職能需求'!$B$2:$F$28,MATCH(F337,'2.職務職能需求'!$A$2:$A$28,0),MATCH(D337,'2.職務職能需求'!$B$1:$F$1,0)),0),""))</f>
        <v/>
      </c>
      <c r="H337" s="94" t="n"/>
      <c r="I337" s="94" t="n"/>
      <c r="J337" s="120">
        <f>IF(OR(G337="",I337="",G337=0),"",I337-G337)</f>
        <v/>
      </c>
      <c r="K337" s="120">
        <f>IF(G337="","",IF(G337=0,"不適用",IF(I337="","待評核",IF(I337&gt;=G337,IF(I337&gt;G337,"超越","達標"),"待發展"))))</f>
        <v/>
      </c>
      <c r="L337" s="91" t="n"/>
      <c r="M337" s="91" t="n"/>
      <c r="N337" s="88" t="n"/>
    </row>
    <row r="338" ht="15.75" customHeight="1" s="64">
      <c r="A338" s="88" t="n"/>
      <c r="B338" s="120">
        <f t="array" ref="B338:B338">IF(A338="","",IFERROR(INDEX('3.員工名單'!$B:$B,MATCH(A338,'3.員工名單'!$A:$A,0)),"查無此員工"))</f>
        <v/>
      </c>
      <c r="C338" s="120">
        <f t="array" ref="C338:C338">IF(A338="","",IFERROR(INDEX('3.員工名單'!$C:$C,MATCH(A338,'3.員工名單'!$A:$A,0)),""))</f>
        <v/>
      </c>
      <c r="D338" s="120">
        <f t="array" ref="D338:D338">IF(A338="","",IFERROR(INDEX('3.員工名單'!$D:$D,MATCH(A338,'3.員工名單'!$A:$A,0)),""))</f>
        <v/>
      </c>
      <c r="E338" s="120">
        <f t="array" ref="E338:E338">IF(F338="","",IFERROR(INDEX('1.職能辭典'!$A:$A,MATCH(F338,'1.職能辭典'!$C:$C,0)),""))</f>
        <v/>
      </c>
      <c r="F338" s="94" t="n"/>
      <c r="G338" s="120">
        <f t="array" ref="G338:G338">IF(OR(D338="",F338=""),"",IFERROR(IF(AND(OR(INDEX('1.職能辭典'!$J:$J,MATCH(F338,'1.職能辭典'!$C:$C,0))="全部",INDEX('3.員工名單'!$H:$H,MATCH(A338,'3.員工名單'!$A:$A,0))="兩款共用",INDEX('3.員工名單'!$H:$H,MATCH(A338,'3.員工名單'!$A:$A,0))=INDEX('1.職能辭典'!$J:$J,MATCH(F338,'1.職能辭典'!$C:$C,0))),OR(INDEX('1.職能辭典'!$K:$K,MATCH(F338,'1.職能辭典'!$C:$C,0))="全部",SUMPRODUCT(ISNUMBER(SEARCH({"經營","管理","財務","企劃","營運","技術","數據","美術","測試","客服"},INDEX('3.員工名單'!$I:$I,MATCH(A338,'3.員工名單'!$A:$A,0))))*ISNUMBER(SEARCH({"經營","管理","財務","企劃","營運","技術","數據","美術","測試","客服"},INDEX('1.職能辭典'!$K:$K,MATCH(F338,'1.職能辭典'!$C:$C,0)))))&gt;0)),INDEX('2.職務職能需求'!$B$2:$F$28,MATCH(F338,'2.職務職能需求'!$A$2:$A$28,0),MATCH(D338,'2.職務職能需求'!$B$1:$F$1,0)),0),""))</f>
        <v/>
      </c>
      <c r="H338" s="94" t="n"/>
      <c r="I338" s="94" t="n"/>
      <c r="J338" s="120">
        <f>IF(OR(G338="",I338="",G338=0),"",I338-G338)</f>
        <v/>
      </c>
      <c r="K338" s="120">
        <f>IF(G338="","",IF(G338=0,"不適用",IF(I338="","待評核",IF(I338&gt;=G338,IF(I338&gt;G338,"超越","達標"),"待發展"))))</f>
        <v/>
      </c>
      <c r="L338" s="91" t="n"/>
      <c r="M338" s="91" t="n"/>
      <c r="N338" s="88" t="n"/>
    </row>
    <row r="339" ht="15.75" customHeight="1" s="64">
      <c r="A339" s="88" t="n"/>
      <c r="B339" s="120">
        <f t="array" ref="B339:B339">IF(A339="","",IFERROR(INDEX('3.員工名單'!$B:$B,MATCH(A339,'3.員工名單'!$A:$A,0)),"查無此員工"))</f>
        <v/>
      </c>
      <c r="C339" s="120">
        <f t="array" ref="C339:C339">IF(A339="","",IFERROR(INDEX('3.員工名單'!$C:$C,MATCH(A339,'3.員工名單'!$A:$A,0)),""))</f>
        <v/>
      </c>
      <c r="D339" s="120">
        <f t="array" ref="D339:D339">IF(A339="","",IFERROR(INDEX('3.員工名單'!$D:$D,MATCH(A339,'3.員工名單'!$A:$A,0)),""))</f>
        <v/>
      </c>
      <c r="E339" s="120">
        <f t="array" ref="E339:E339">IF(F339="","",IFERROR(INDEX('1.職能辭典'!$A:$A,MATCH(F339,'1.職能辭典'!$C:$C,0)),""))</f>
        <v/>
      </c>
      <c r="F339" s="94" t="n"/>
      <c r="G339" s="120">
        <f t="array" ref="G339:G339">IF(OR(D339="",F339=""),"",IFERROR(IF(AND(OR(INDEX('1.職能辭典'!$J:$J,MATCH(F339,'1.職能辭典'!$C:$C,0))="全部",INDEX('3.員工名單'!$H:$H,MATCH(A339,'3.員工名單'!$A:$A,0))="兩款共用",INDEX('3.員工名單'!$H:$H,MATCH(A339,'3.員工名單'!$A:$A,0))=INDEX('1.職能辭典'!$J:$J,MATCH(F339,'1.職能辭典'!$C:$C,0))),OR(INDEX('1.職能辭典'!$K:$K,MATCH(F339,'1.職能辭典'!$C:$C,0))="全部",SUMPRODUCT(ISNUMBER(SEARCH({"經營","管理","財務","企劃","營運","技術","數據","美術","測試","客服"},INDEX('3.員工名單'!$I:$I,MATCH(A339,'3.員工名單'!$A:$A,0))))*ISNUMBER(SEARCH({"經營","管理","財務","企劃","營運","技術","數據","美術","測試","客服"},INDEX('1.職能辭典'!$K:$K,MATCH(F339,'1.職能辭典'!$C:$C,0)))))&gt;0)),INDEX('2.職務職能需求'!$B$2:$F$28,MATCH(F339,'2.職務職能需求'!$A$2:$A$28,0),MATCH(D339,'2.職務職能需求'!$B$1:$F$1,0)),0),""))</f>
        <v/>
      </c>
      <c r="H339" s="94" t="n"/>
      <c r="I339" s="94" t="n"/>
      <c r="J339" s="120">
        <f>IF(OR(G339="",I339="",G339=0),"",I339-G339)</f>
        <v/>
      </c>
      <c r="K339" s="120">
        <f>IF(G339="","",IF(G339=0,"不適用",IF(I339="","待評核",IF(I339&gt;=G339,IF(I339&gt;G339,"超越","達標"),"待發展"))))</f>
        <v/>
      </c>
      <c r="L339" s="91" t="n"/>
      <c r="M339" s="91" t="n"/>
      <c r="N339" s="88" t="n"/>
    </row>
    <row r="340" ht="15.75" customHeight="1" s="64">
      <c r="A340" s="88" t="n"/>
      <c r="B340" s="120">
        <f t="array" ref="B340:B340">IF(A340="","",IFERROR(INDEX('3.員工名單'!$B:$B,MATCH(A340,'3.員工名單'!$A:$A,0)),"查無此員工"))</f>
        <v/>
      </c>
      <c r="C340" s="120">
        <f t="array" ref="C340:C340">IF(A340="","",IFERROR(INDEX('3.員工名單'!$C:$C,MATCH(A340,'3.員工名單'!$A:$A,0)),""))</f>
        <v/>
      </c>
      <c r="D340" s="120">
        <f t="array" ref="D340:D340">IF(A340="","",IFERROR(INDEX('3.員工名單'!$D:$D,MATCH(A340,'3.員工名單'!$A:$A,0)),""))</f>
        <v/>
      </c>
      <c r="E340" s="120">
        <f t="array" ref="E340:E340">IF(F340="","",IFERROR(INDEX('1.職能辭典'!$A:$A,MATCH(F340,'1.職能辭典'!$C:$C,0)),""))</f>
        <v/>
      </c>
      <c r="F340" s="94" t="n"/>
      <c r="G340" s="120">
        <f t="array" ref="G340:G340">IF(OR(D340="",F340=""),"",IFERROR(IF(AND(OR(INDEX('1.職能辭典'!$J:$J,MATCH(F340,'1.職能辭典'!$C:$C,0))="全部",INDEX('3.員工名單'!$H:$H,MATCH(A340,'3.員工名單'!$A:$A,0))="兩款共用",INDEX('3.員工名單'!$H:$H,MATCH(A340,'3.員工名單'!$A:$A,0))=INDEX('1.職能辭典'!$J:$J,MATCH(F340,'1.職能辭典'!$C:$C,0))),OR(INDEX('1.職能辭典'!$K:$K,MATCH(F340,'1.職能辭典'!$C:$C,0))="全部",SUMPRODUCT(ISNUMBER(SEARCH({"經營","管理","財務","企劃","營運","技術","數據","美術","測試","客服"},INDEX('3.員工名單'!$I:$I,MATCH(A340,'3.員工名單'!$A:$A,0))))*ISNUMBER(SEARCH({"經營","管理","財務","企劃","營運","技術","數據","美術","測試","客服"},INDEX('1.職能辭典'!$K:$K,MATCH(F340,'1.職能辭典'!$C:$C,0)))))&gt;0)),INDEX('2.職務職能需求'!$B$2:$F$28,MATCH(F340,'2.職務職能需求'!$A$2:$A$28,0),MATCH(D340,'2.職務職能需求'!$B$1:$F$1,0)),0),""))</f>
        <v/>
      </c>
      <c r="H340" s="94" t="n"/>
      <c r="I340" s="94" t="n"/>
      <c r="J340" s="120">
        <f>IF(OR(G340="",I340="",G340=0),"",I340-G340)</f>
        <v/>
      </c>
      <c r="K340" s="120">
        <f>IF(G340="","",IF(G340=0,"不適用",IF(I340="","待評核",IF(I340&gt;=G340,IF(I340&gt;G340,"超越","達標"),"待發展"))))</f>
        <v/>
      </c>
      <c r="L340" s="91" t="n"/>
      <c r="M340" s="91" t="n"/>
      <c r="N340" s="88" t="n"/>
    </row>
    <row r="341" ht="15.75" customHeight="1" s="64">
      <c r="A341" s="88" t="n"/>
      <c r="B341" s="120">
        <f t="array" ref="B341:B341">IF(A341="","",IFERROR(INDEX('3.員工名單'!$B:$B,MATCH(A341,'3.員工名單'!$A:$A,0)),"查無此員工"))</f>
        <v/>
      </c>
      <c r="C341" s="120">
        <f t="array" ref="C341:C341">IF(A341="","",IFERROR(INDEX('3.員工名單'!$C:$C,MATCH(A341,'3.員工名單'!$A:$A,0)),""))</f>
        <v/>
      </c>
      <c r="D341" s="120">
        <f t="array" ref="D341:D341">IF(A341="","",IFERROR(INDEX('3.員工名單'!$D:$D,MATCH(A341,'3.員工名單'!$A:$A,0)),""))</f>
        <v/>
      </c>
      <c r="E341" s="120">
        <f t="array" ref="E341:E341">IF(F341="","",IFERROR(INDEX('1.職能辭典'!$A:$A,MATCH(F341,'1.職能辭典'!$C:$C,0)),""))</f>
        <v/>
      </c>
      <c r="F341" s="94" t="n"/>
      <c r="G341" s="120">
        <f t="array" ref="G341:G341">IF(OR(D341="",F341=""),"",IFERROR(IF(AND(OR(INDEX('1.職能辭典'!$J:$J,MATCH(F341,'1.職能辭典'!$C:$C,0))="全部",INDEX('3.員工名單'!$H:$H,MATCH(A341,'3.員工名單'!$A:$A,0))="兩款共用",INDEX('3.員工名單'!$H:$H,MATCH(A341,'3.員工名單'!$A:$A,0))=INDEX('1.職能辭典'!$J:$J,MATCH(F341,'1.職能辭典'!$C:$C,0))),OR(INDEX('1.職能辭典'!$K:$K,MATCH(F341,'1.職能辭典'!$C:$C,0))="全部",SUMPRODUCT(ISNUMBER(SEARCH({"經營","管理","財務","企劃","營運","技術","數據","美術","測試","客服"},INDEX('3.員工名單'!$I:$I,MATCH(A341,'3.員工名單'!$A:$A,0))))*ISNUMBER(SEARCH({"經營","管理","財務","企劃","營運","技術","數據","美術","測試","客服"},INDEX('1.職能辭典'!$K:$K,MATCH(F341,'1.職能辭典'!$C:$C,0)))))&gt;0)),INDEX('2.職務職能需求'!$B$2:$F$28,MATCH(F341,'2.職務職能需求'!$A$2:$A$28,0),MATCH(D341,'2.職務職能需求'!$B$1:$F$1,0)),0),""))</f>
        <v/>
      </c>
      <c r="H341" s="94" t="n"/>
      <c r="I341" s="94" t="n"/>
      <c r="J341" s="120">
        <f>IF(OR(G341="",I341="",G341=0),"",I341-G341)</f>
        <v/>
      </c>
      <c r="K341" s="120">
        <f>IF(G341="","",IF(G341=0,"不適用",IF(I341="","待評核",IF(I341&gt;=G341,IF(I341&gt;G341,"超越","達標"),"待發展"))))</f>
        <v/>
      </c>
      <c r="L341" s="91" t="n"/>
      <c r="M341" s="91" t="n"/>
      <c r="N341" s="88" t="n"/>
    </row>
    <row r="342" ht="15.75" customHeight="1" s="64">
      <c r="A342" s="88" t="n"/>
      <c r="B342" s="120">
        <f t="array" ref="B342:B342">IF(A342="","",IFERROR(INDEX('3.員工名單'!$B:$B,MATCH(A342,'3.員工名單'!$A:$A,0)),"查無此員工"))</f>
        <v/>
      </c>
      <c r="C342" s="120">
        <f t="array" ref="C342:C342">IF(A342="","",IFERROR(INDEX('3.員工名單'!$C:$C,MATCH(A342,'3.員工名單'!$A:$A,0)),""))</f>
        <v/>
      </c>
      <c r="D342" s="120">
        <f t="array" ref="D342:D342">IF(A342="","",IFERROR(INDEX('3.員工名單'!$D:$D,MATCH(A342,'3.員工名單'!$A:$A,0)),""))</f>
        <v/>
      </c>
      <c r="E342" s="120">
        <f t="array" ref="E342:E342">IF(F342="","",IFERROR(INDEX('1.職能辭典'!$A:$A,MATCH(F342,'1.職能辭典'!$C:$C,0)),""))</f>
        <v/>
      </c>
      <c r="F342" s="94" t="n"/>
      <c r="G342" s="120">
        <f t="array" ref="G342:G342">IF(OR(D342="",F342=""),"",IFERROR(IF(AND(OR(INDEX('1.職能辭典'!$J:$J,MATCH(F342,'1.職能辭典'!$C:$C,0))="全部",INDEX('3.員工名單'!$H:$H,MATCH(A342,'3.員工名單'!$A:$A,0))="兩款共用",INDEX('3.員工名單'!$H:$H,MATCH(A342,'3.員工名單'!$A:$A,0))=INDEX('1.職能辭典'!$J:$J,MATCH(F342,'1.職能辭典'!$C:$C,0))),OR(INDEX('1.職能辭典'!$K:$K,MATCH(F342,'1.職能辭典'!$C:$C,0))="全部",SUMPRODUCT(ISNUMBER(SEARCH({"經營","管理","財務","企劃","營運","技術","數據","美術","測試","客服"},INDEX('3.員工名單'!$I:$I,MATCH(A342,'3.員工名單'!$A:$A,0))))*ISNUMBER(SEARCH({"經營","管理","財務","企劃","營運","技術","數據","美術","測試","客服"},INDEX('1.職能辭典'!$K:$K,MATCH(F342,'1.職能辭典'!$C:$C,0)))))&gt;0)),INDEX('2.職務職能需求'!$B$2:$F$28,MATCH(F342,'2.職務職能需求'!$A$2:$A$28,0),MATCH(D342,'2.職務職能需求'!$B$1:$F$1,0)),0),""))</f>
        <v/>
      </c>
      <c r="H342" s="94" t="n"/>
      <c r="I342" s="94" t="n"/>
      <c r="J342" s="120">
        <f>IF(OR(G342="",I342="",G342=0),"",I342-G342)</f>
        <v/>
      </c>
      <c r="K342" s="120">
        <f>IF(G342="","",IF(G342=0,"不適用",IF(I342="","待評核",IF(I342&gt;=G342,IF(I342&gt;G342,"超越","達標"),"待發展"))))</f>
        <v/>
      </c>
      <c r="L342" s="91" t="n"/>
      <c r="M342" s="91" t="n"/>
      <c r="N342" s="88" t="n"/>
    </row>
    <row r="343" ht="15.75" customHeight="1" s="64">
      <c r="A343" s="88" t="n"/>
      <c r="B343" s="120">
        <f t="array" ref="B343:B343">IF(A343="","",IFERROR(INDEX('3.員工名單'!$B:$B,MATCH(A343,'3.員工名單'!$A:$A,0)),"查無此員工"))</f>
        <v/>
      </c>
      <c r="C343" s="120">
        <f t="array" ref="C343:C343">IF(A343="","",IFERROR(INDEX('3.員工名單'!$C:$C,MATCH(A343,'3.員工名單'!$A:$A,0)),""))</f>
        <v/>
      </c>
      <c r="D343" s="120">
        <f t="array" ref="D343:D343">IF(A343="","",IFERROR(INDEX('3.員工名單'!$D:$D,MATCH(A343,'3.員工名單'!$A:$A,0)),""))</f>
        <v/>
      </c>
      <c r="E343" s="120">
        <f t="array" ref="E343:E343">IF(F343="","",IFERROR(INDEX('1.職能辭典'!$A:$A,MATCH(F343,'1.職能辭典'!$C:$C,0)),""))</f>
        <v/>
      </c>
      <c r="F343" s="94" t="n"/>
      <c r="G343" s="120">
        <f t="array" ref="G343:G343">IF(OR(D343="",F343=""),"",IFERROR(IF(AND(OR(INDEX('1.職能辭典'!$J:$J,MATCH(F343,'1.職能辭典'!$C:$C,0))="全部",INDEX('3.員工名單'!$H:$H,MATCH(A343,'3.員工名單'!$A:$A,0))="兩款共用",INDEX('3.員工名單'!$H:$H,MATCH(A343,'3.員工名單'!$A:$A,0))=INDEX('1.職能辭典'!$J:$J,MATCH(F343,'1.職能辭典'!$C:$C,0))),OR(INDEX('1.職能辭典'!$K:$K,MATCH(F343,'1.職能辭典'!$C:$C,0))="全部",SUMPRODUCT(ISNUMBER(SEARCH({"經營","管理","財務","企劃","營運","技術","數據","美術","測試","客服"},INDEX('3.員工名單'!$I:$I,MATCH(A343,'3.員工名單'!$A:$A,0))))*ISNUMBER(SEARCH({"經營","管理","財務","企劃","營運","技術","數據","美術","測試","客服"},INDEX('1.職能辭典'!$K:$K,MATCH(F343,'1.職能辭典'!$C:$C,0)))))&gt;0)),INDEX('2.職務職能需求'!$B$2:$F$28,MATCH(F343,'2.職務職能需求'!$A$2:$A$28,0),MATCH(D343,'2.職務職能需求'!$B$1:$F$1,0)),0),""))</f>
        <v/>
      </c>
      <c r="H343" s="94" t="n"/>
      <c r="I343" s="94" t="n"/>
      <c r="J343" s="120">
        <f>IF(OR(G343="",I343="",G343=0),"",I343-G343)</f>
        <v/>
      </c>
      <c r="K343" s="120">
        <f>IF(G343="","",IF(G343=0,"不適用",IF(I343="","待評核",IF(I343&gt;=G343,IF(I343&gt;G343,"超越","達標"),"待發展"))))</f>
        <v/>
      </c>
      <c r="L343" s="91" t="n"/>
      <c r="M343" s="91" t="n"/>
      <c r="N343" s="88" t="n"/>
    </row>
    <row r="344" ht="15.75" customHeight="1" s="64">
      <c r="A344" s="88" t="n"/>
      <c r="B344" s="120">
        <f t="array" ref="B344:B344">IF(A344="","",IFERROR(INDEX('3.員工名單'!$B:$B,MATCH(A344,'3.員工名單'!$A:$A,0)),"查無此員工"))</f>
        <v/>
      </c>
      <c r="C344" s="120">
        <f t="array" ref="C344:C344">IF(A344="","",IFERROR(INDEX('3.員工名單'!$C:$C,MATCH(A344,'3.員工名單'!$A:$A,0)),""))</f>
        <v/>
      </c>
      <c r="D344" s="120">
        <f t="array" ref="D344:D344">IF(A344="","",IFERROR(INDEX('3.員工名單'!$D:$D,MATCH(A344,'3.員工名單'!$A:$A,0)),""))</f>
        <v/>
      </c>
      <c r="E344" s="120">
        <f t="array" ref="E344:E344">IF(F344="","",IFERROR(INDEX('1.職能辭典'!$A:$A,MATCH(F344,'1.職能辭典'!$C:$C,0)),""))</f>
        <v/>
      </c>
      <c r="F344" s="94" t="n"/>
      <c r="G344" s="120">
        <f t="array" ref="G344:G344">IF(OR(D344="",F344=""),"",IFERROR(IF(AND(OR(INDEX('1.職能辭典'!$J:$J,MATCH(F344,'1.職能辭典'!$C:$C,0))="全部",INDEX('3.員工名單'!$H:$H,MATCH(A344,'3.員工名單'!$A:$A,0))="兩款共用",INDEX('3.員工名單'!$H:$H,MATCH(A344,'3.員工名單'!$A:$A,0))=INDEX('1.職能辭典'!$J:$J,MATCH(F344,'1.職能辭典'!$C:$C,0))),OR(INDEX('1.職能辭典'!$K:$K,MATCH(F344,'1.職能辭典'!$C:$C,0))="全部",SUMPRODUCT(ISNUMBER(SEARCH({"經營","管理","財務","企劃","營運","技術","數據","美術","測試","客服"},INDEX('3.員工名單'!$I:$I,MATCH(A344,'3.員工名單'!$A:$A,0))))*ISNUMBER(SEARCH({"經營","管理","財務","企劃","營運","技術","數據","美術","測試","客服"},INDEX('1.職能辭典'!$K:$K,MATCH(F344,'1.職能辭典'!$C:$C,0)))))&gt;0)),INDEX('2.職務職能需求'!$B$2:$F$28,MATCH(F344,'2.職務職能需求'!$A$2:$A$28,0),MATCH(D344,'2.職務職能需求'!$B$1:$F$1,0)),0),""))</f>
        <v/>
      </c>
      <c r="H344" s="94" t="n"/>
      <c r="I344" s="94" t="n"/>
      <c r="J344" s="120">
        <f>IF(OR(G344="",I344="",G344=0),"",I344-G344)</f>
        <v/>
      </c>
      <c r="K344" s="120">
        <f>IF(G344="","",IF(G344=0,"不適用",IF(I344="","待評核",IF(I344&gt;=G344,IF(I344&gt;G344,"超越","達標"),"待發展"))))</f>
        <v/>
      </c>
      <c r="L344" s="91" t="n"/>
      <c r="M344" s="91" t="n"/>
      <c r="N344" s="88" t="n"/>
    </row>
    <row r="345" ht="15.75" customHeight="1" s="64">
      <c r="A345" s="88" t="n"/>
      <c r="B345" s="120">
        <f t="array" ref="B345:B345">IF(A345="","",IFERROR(INDEX('3.員工名單'!$B:$B,MATCH(A345,'3.員工名單'!$A:$A,0)),"查無此員工"))</f>
        <v/>
      </c>
      <c r="C345" s="120">
        <f t="array" ref="C345:C345">IF(A345="","",IFERROR(INDEX('3.員工名單'!$C:$C,MATCH(A345,'3.員工名單'!$A:$A,0)),""))</f>
        <v/>
      </c>
      <c r="D345" s="120">
        <f t="array" ref="D345:D345">IF(A345="","",IFERROR(INDEX('3.員工名單'!$D:$D,MATCH(A345,'3.員工名單'!$A:$A,0)),""))</f>
        <v/>
      </c>
      <c r="E345" s="120">
        <f t="array" ref="E345:E345">IF(F345="","",IFERROR(INDEX('1.職能辭典'!$A:$A,MATCH(F345,'1.職能辭典'!$C:$C,0)),""))</f>
        <v/>
      </c>
      <c r="F345" s="94" t="n"/>
      <c r="G345" s="120">
        <f t="array" ref="G345:G345">IF(OR(D345="",F345=""),"",IFERROR(IF(AND(OR(INDEX('1.職能辭典'!$J:$J,MATCH(F345,'1.職能辭典'!$C:$C,0))="全部",INDEX('3.員工名單'!$H:$H,MATCH(A345,'3.員工名單'!$A:$A,0))="兩款共用",INDEX('3.員工名單'!$H:$H,MATCH(A345,'3.員工名單'!$A:$A,0))=INDEX('1.職能辭典'!$J:$J,MATCH(F345,'1.職能辭典'!$C:$C,0))),OR(INDEX('1.職能辭典'!$K:$K,MATCH(F345,'1.職能辭典'!$C:$C,0))="全部",SUMPRODUCT(ISNUMBER(SEARCH({"經營","管理","財務","企劃","營運","技術","數據","美術","測試","客服"},INDEX('3.員工名單'!$I:$I,MATCH(A345,'3.員工名單'!$A:$A,0))))*ISNUMBER(SEARCH({"經營","管理","財務","企劃","營運","技術","數據","美術","測試","客服"},INDEX('1.職能辭典'!$K:$K,MATCH(F345,'1.職能辭典'!$C:$C,0)))))&gt;0)),INDEX('2.職務職能需求'!$B$2:$F$28,MATCH(F345,'2.職務職能需求'!$A$2:$A$28,0),MATCH(D345,'2.職務職能需求'!$B$1:$F$1,0)),0),""))</f>
        <v/>
      </c>
      <c r="H345" s="94" t="n"/>
      <c r="I345" s="94" t="n"/>
      <c r="J345" s="120">
        <f>IF(OR(G345="",I345="",G345=0),"",I345-G345)</f>
        <v/>
      </c>
      <c r="K345" s="120">
        <f>IF(G345="","",IF(G345=0,"不適用",IF(I345="","待評核",IF(I345&gt;=G345,IF(I345&gt;G345,"超越","達標"),"待發展"))))</f>
        <v/>
      </c>
      <c r="L345" s="91" t="n"/>
      <c r="M345" s="91" t="n"/>
      <c r="N345" s="88" t="n"/>
    </row>
    <row r="346" ht="15.75" customHeight="1" s="64">
      <c r="A346" s="88" t="n"/>
      <c r="B346" s="120">
        <f t="array" ref="B346:B346">IF(A346="","",IFERROR(INDEX('3.員工名單'!$B:$B,MATCH(A346,'3.員工名單'!$A:$A,0)),"查無此員工"))</f>
        <v/>
      </c>
      <c r="C346" s="120">
        <f t="array" ref="C346:C346">IF(A346="","",IFERROR(INDEX('3.員工名單'!$C:$C,MATCH(A346,'3.員工名單'!$A:$A,0)),""))</f>
        <v/>
      </c>
      <c r="D346" s="120">
        <f t="array" ref="D346:D346">IF(A346="","",IFERROR(INDEX('3.員工名單'!$D:$D,MATCH(A346,'3.員工名單'!$A:$A,0)),""))</f>
        <v/>
      </c>
      <c r="E346" s="120">
        <f t="array" ref="E346:E346">IF(F346="","",IFERROR(INDEX('1.職能辭典'!$A:$A,MATCH(F346,'1.職能辭典'!$C:$C,0)),""))</f>
        <v/>
      </c>
      <c r="F346" s="94" t="n"/>
      <c r="G346" s="120">
        <f t="array" ref="G346:G346">IF(OR(D346="",F346=""),"",IFERROR(IF(AND(OR(INDEX('1.職能辭典'!$J:$J,MATCH(F346,'1.職能辭典'!$C:$C,0))="全部",INDEX('3.員工名單'!$H:$H,MATCH(A346,'3.員工名單'!$A:$A,0))="兩款共用",INDEX('3.員工名單'!$H:$H,MATCH(A346,'3.員工名單'!$A:$A,0))=INDEX('1.職能辭典'!$J:$J,MATCH(F346,'1.職能辭典'!$C:$C,0))),OR(INDEX('1.職能辭典'!$K:$K,MATCH(F346,'1.職能辭典'!$C:$C,0))="全部",SUMPRODUCT(ISNUMBER(SEARCH({"經營","管理","財務","企劃","營運","技術","數據","美術","測試","客服"},INDEX('3.員工名單'!$I:$I,MATCH(A346,'3.員工名單'!$A:$A,0))))*ISNUMBER(SEARCH({"經營","管理","財務","企劃","營運","技術","數據","美術","測試","客服"},INDEX('1.職能辭典'!$K:$K,MATCH(F346,'1.職能辭典'!$C:$C,0)))))&gt;0)),INDEX('2.職務職能需求'!$B$2:$F$28,MATCH(F346,'2.職務職能需求'!$A$2:$A$28,0),MATCH(D346,'2.職務職能需求'!$B$1:$F$1,0)),0),""))</f>
        <v/>
      </c>
      <c r="H346" s="94" t="n"/>
      <c r="I346" s="94" t="n"/>
      <c r="J346" s="120">
        <f>IF(OR(G346="",I346="",G346=0),"",I346-G346)</f>
        <v/>
      </c>
      <c r="K346" s="120">
        <f>IF(G346="","",IF(G346=0,"不適用",IF(I346="","待評核",IF(I346&gt;=G346,IF(I346&gt;G346,"超越","達標"),"待發展"))))</f>
        <v/>
      </c>
      <c r="L346" s="91" t="n"/>
      <c r="M346" s="91" t="n"/>
      <c r="N346" s="88" t="n"/>
    </row>
    <row r="347" ht="15.75" customHeight="1" s="64">
      <c r="A347" s="88" t="n"/>
      <c r="B347" s="120">
        <f t="array" ref="B347:B347">IF(A347="","",IFERROR(INDEX('3.員工名單'!$B:$B,MATCH(A347,'3.員工名單'!$A:$A,0)),"查無此員工"))</f>
        <v/>
      </c>
      <c r="C347" s="120">
        <f t="array" ref="C347:C347">IF(A347="","",IFERROR(INDEX('3.員工名單'!$C:$C,MATCH(A347,'3.員工名單'!$A:$A,0)),""))</f>
        <v/>
      </c>
      <c r="D347" s="120">
        <f t="array" ref="D347:D347">IF(A347="","",IFERROR(INDEX('3.員工名單'!$D:$D,MATCH(A347,'3.員工名單'!$A:$A,0)),""))</f>
        <v/>
      </c>
      <c r="E347" s="120">
        <f t="array" ref="E347:E347">IF(F347="","",IFERROR(INDEX('1.職能辭典'!$A:$A,MATCH(F347,'1.職能辭典'!$C:$C,0)),""))</f>
        <v/>
      </c>
      <c r="F347" s="94" t="n"/>
      <c r="G347" s="120">
        <f t="array" ref="G347:G347">IF(OR(D347="",F347=""),"",IFERROR(IF(AND(OR(INDEX('1.職能辭典'!$J:$J,MATCH(F347,'1.職能辭典'!$C:$C,0))="全部",INDEX('3.員工名單'!$H:$H,MATCH(A347,'3.員工名單'!$A:$A,0))="兩款共用",INDEX('3.員工名單'!$H:$H,MATCH(A347,'3.員工名單'!$A:$A,0))=INDEX('1.職能辭典'!$J:$J,MATCH(F347,'1.職能辭典'!$C:$C,0))),OR(INDEX('1.職能辭典'!$K:$K,MATCH(F347,'1.職能辭典'!$C:$C,0))="全部",SUMPRODUCT(ISNUMBER(SEARCH({"經營","管理","財務","企劃","營運","技術","數據","美術","測試","客服"},INDEX('3.員工名單'!$I:$I,MATCH(A347,'3.員工名單'!$A:$A,0))))*ISNUMBER(SEARCH({"經營","管理","財務","企劃","營運","技術","數據","美術","測試","客服"},INDEX('1.職能辭典'!$K:$K,MATCH(F347,'1.職能辭典'!$C:$C,0)))))&gt;0)),INDEX('2.職務職能需求'!$B$2:$F$28,MATCH(F347,'2.職務職能需求'!$A$2:$A$28,0),MATCH(D347,'2.職務職能需求'!$B$1:$F$1,0)),0),""))</f>
        <v/>
      </c>
      <c r="H347" s="94" t="n"/>
      <c r="I347" s="94" t="n"/>
      <c r="J347" s="120">
        <f>IF(OR(G347="",I347="",G347=0),"",I347-G347)</f>
        <v/>
      </c>
      <c r="K347" s="120">
        <f>IF(G347="","",IF(G347=0,"不適用",IF(I347="","待評核",IF(I347&gt;=G347,IF(I347&gt;G347,"超越","達標"),"待發展"))))</f>
        <v/>
      </c>
      <c r="L347" s="91" t="n"/>
      <c r="M347" s="91" t="n"/>
      <c r="N347" s="88" t="n"/>
    </row>
    <row r="348" ht="15.75" customHeight="1" s="64">
      <c r="A348" s="88" t="n"/>
      <c r="B348" s="120">
        <f t="array" ref="B348:B348">IF(A348="","",IFERROR(INDEX('3.員工名單'!$B:$B,MATCH(A348,'3.員工名單'!$A:$A,0)),"查無此員工"))</f>
        <v/>
      </c>
      <c r="C348" s="120">
        <f t="array" ref="C348:C348">IF(A348="","",IFERROR(INDEX('3.員工名單'!$C:$C,MATCH(A348,'3.員工名單'!$A:$A,0)),""))</f>
        <v/>
      </c>
      <c r="D348" s="120">
        <f t="array" ref="D348:D348">IF(A348="","",IFERROR(INDEX('3.員工名單'!$D:$D,MATCH(A348,'3.員工名單'!$A:$A,0)),""))</f>
        <v/>
      </c>
      <c r="E348" s="120">
        <f t="array" ref="E348:E348">IF(F348="","",IFERROR(INDEX('1.職能辭典'!$A:$A,MATCH(F348,'1.職能辭典'!$C:$C,0)),""))</f>
        <v/>
      </c>
      <c r="F348" s="94" t="n"/>
      <c r="G348" s="120">
        <f t="array" ref="G348:G348">IF(OR(D348="",F348=""),"",IFERROR(IF(AND(OR(INDEX('1.職能辭典'!$J:$J,MATCH(F348,'1.職能辭典'!$C:$C,0))="全部",INDEX('3.員工名單'!$H:$H,MATCH(A348,'3.員工名單'!$A:$A,0))="兩款共用",INDEX('3.員工名單'!$H:$H,MATCH(A348,'3.員工名單'!$A:$A,0))=INDEX('1.職能辭典'!$J:$J,MATCH(F348,'1.職能辭典'!$C:$C,0))),OR(INDEX('1.職能辭典'!$K:$K,MATCH(F348,'1.職能辭典'!$C:$C,0))="全部",SUMPRODUCT(ISNUMBER(SEARCH({"經營","管理","財務","企劃","營運","技術","數據","美術","測試","客服"},INDEX('3.員工名單'!$I:$I,MATCH(A348,'3.員工名單'!$A:$A,0))))*ISNUMBER(SEARCH({"經營","管理","財務","企劃","營運","技術","數據","美術","測試","客服"},INDEX('1.職能辭典'!$K:$K,MATCH(F348,'1.職能辭典'!$C:$C,0)))))&gt;0)),INDEX('2.職務職能需求'!$B$2:$F$28,MATCH(F348,'2.職務職能需求'!$A$2:$A$28,0),MATCH(D348,'2.職務職能需求'!$B$1:$F$1,0)),0),""))</f>
        <v/>
      </c>
      <c r="H348" s="94" t="n"/>
      <c r="I348" s="94" t="n"/>
      <c r="J348" s="120">
        <f>IF(OR(G348="",I348="",G348=0),"",I348-G348)</f>
        <v/>
      </c>
      <c r="K348" s="120">
        <f>IF(G348="","",IF(G348=0,"不適用",IF(I348="","待評核",IF(I348&gt;=G348,IF(I348&gt;G348,"超越","達標"),"待發展"))))</f>
        <v/>
      </c>
      <c r="L348" s="91" t="n"/>
      <c r="M348" s="91" t="n"/>
      <c r="N348" s="88" t="n"/>
    </row>
    <row r="349" ht="15.75" customHeight="1" s="64">
      <c r="A349" s="88" t="n"/>
      <c r="B349" s="120">
        <f t="array" ref="B349:B349">IF(A349="","",IFERROR(INDEX('3.員工名單'!$B:$B,MATCH(A349,'3.員工名單'!$A:$A,0)),"查無此員工"))</f>
        <v/>
      </c>
      <c r="C349" s="120">
        <f t="array" ref="C349:C349">IF(A349="","",IFERROR(INDEX('3.員工名單'!$C:$C,MATCH(A349,'3.員工名單'!$A:$A,0)),""))</f>
        <v/>
      </c>
      <c r="D349" s="120">
        <f t="array" ref="D349:D349">IF(A349="","",IFERROR(INDEX('3.員工名單'!$D:$D,MATCH(A349,'3.員工名單'!$A:$A,0)),""))</f>
        <v/>
      </c>
      <c r="E349" s="120">
        <f t="array" ref="E349:E349">IF(F349="","",IFERROR(INDEX('1.職能辭典'!$A:$A,MATCH(F349,'1.職能辭典'!$C:$C,0)),""))</f>
        <v/>
      </c>
      <c r="F349" s="94" t="n"/>
      <c r="G349" s="120">
        <f t="array" ref="G349:G349">IF(OR(D349="",F349=""),"",IFERROR(IF(AND(OR(INDEX('1.職能辭典'!$J:$J,MATCH(F349,'1.職能辭典'!$C:$C,0))="全部",INDEX('3.員工名單'!$H:$H,MATCH(A349,'3.員工名單'!$A:$A,0))="兩款共用",INDEX('3.員工名單'!$H:$H,MATCH(A349,'3.員工名單'!$A:$A,0))=INDEX('1.職能辭典'!$J:$J,MATCH(F349,'1.職能辭典'!$C:$C,0))),OR(INDEX('1.職能辭典'!$K:$K,MATCH(F349,'1.職能辭典'!$C:$C,0))="全部",SUMPRODUCT(ISNUMBER(SEARCH({"經營","管理","財務","企劃","營運","技術","數據","美術","測試","客服"},INDEX('3.員工名單'!$I:$I,MATCH(A349,'3.員工名單'!$A:$A,0))))*ISNUMBER(SEARCH({"經營","管理","財務","企劃","營運","技術","數據","美術","測試","客服"},INDEX('1.職能辭典'!$K:$K,MATCH(F349,'1.職能辭典'!$C:$C,0)))))&gt;0)),INDEX('2.職務職能需求'!$B$2:$F$28,MATCH(F349,'2.職務職能需求'!$A$2:$A$28,0),MATCH(D349,'2.職務職能需求'!$B$1:$F$1,0)),0),""))</f>
        <v/>
      </c>
      <c r="H349" s="94" t="n"/>
      <c r="I349" s="94" t="n"/>
      <c r="J349" s="120">
        <f>IF(OR(G349="",I349="",G349=0),"",I349-G349)</f>
        <v/>
      </c>
      <c r="K349" s="120">
        <f>IF(G349="","",IF(G349=0,"不適用",IF(I349="","待評核",IF(I349&gt;=G349,IF(I349&gt;G349,"超越","達標"),"待發展"))))</f>
        <v/>
      </c>
      <c r="L349" s="91" t="n"/>
      <c r="M349" s="91" t="n"/>
      <c r="N349" s="88" t="n"/>
    </row>
    <row r="350" ht="15.75" customHeight="1" s="64">
      <c r="A350" s="88" t="n"/>
      <c r="B350" s="120">
        <f t="array" ref="B350:B350">IF(A350="","",IFERROR(INDEX('3.員工名單'!$B:$B,MATCH(A350,'3.員工名單'!$A:$A,0)),"查無此員工"))</f>
        <v/>
      </c>
      <c r="C350" s="120">
        <f t="array" ref="C350:C350">IF(A350="","",IFERROR(INDEX('3.員工名單'!$C:$C,MATCH(A350,'3.員工名單'!$A:$A,0)),""))</f>
        <v/>
      </c>
      <c r="D350" s="120">
        <f t="array" ref="D350:D350">IF(A350="","",IFERROR(INDEX('3.員工名單'!$D:$D,MATCH(A350,'3.員工名單'!$A:$A,0)),""))</f>
        <v/>
      </c>
      <c r="E350" s="120">
        <f t="array" ref="E350:E350">IF(F350="","",IFERROR(INDEX('1.職能辭典'!$A:$A,MATCH(F350,'1.職能辭典'!$C:$C,0)),""))</f>
        <v/>
      </c>
      <c r="F350" s="94" t="n"/>
      <c r="G350" s="120">
        <f t="array" ref="G350:G350">IF(OR(D350="",F350=""),"",IFERROR(IF(AND(OR(INDEX('1.職能辭典'!$J:$J,MATCH(F350,'1.職能辭典'!$C:$C,0))="全部",INDEX('3.員工名單'!$H:$H,MATCH(A350,'3.員工名單'!$A:$A,0))="兩款共用",INDEX('3.員工名單'!$H:$H,MATCH(A350,'3.員工名單'!$A:$A,0))=INDEX('1.職能辭典'!$J:$J,MATCH(F350,'1.職能辭典'!$C:$C,0))),OR(INDEX('1.職能辭典'!$K:$K,MATCH(F350,'1.職能辭典'!$C:$C,0))="全部",SUMPRODUCT(ISNUMBER(SEARCH({"經營","管理","財務","企劃","營運","技術","數據","美術","測試","客服"},INDEX('3.員工名單'!$I:$I,MATCH(A350,'3.員工名單'!$A:$A,0))))*ISNUMBER(SEARCH({"經營","管理","財務","企劃","營運","技術","數據","美術","測試","客服"},INDEX('1.職能辭典'!$K:$K,MATCH(F350,'1.職能辭典'!$C:$C,0)))))&gt;0)),INDEX('2.職務職能需求'!$B$2:$F$28,MATCH(F350,'2.職務職能需求'!$A$2:$A$28,0),MATCH(D350,'2.職務職能需求'!$B$1:$F$1,0)),0),""))</f>
        <v/>
      </c>
      <c r="H350" s="94" t="n"/>
      <c r="I350" s="94" t="n"/>
      <c r="J350" s="120">
        <f>IF(OR(G350="",I350="",G350=0),"",I350-G350)</f>
        <v/>
      </c>
      <c r="K350" s="120">
        <f>IF(G350="","",IF(G350=0,"不適用",IF(I350="","待評核",IF(I350&gt;=G350,IF(I350&gt;G350,"超越","達標"),"待發展"))))</f>
        <v/>
      </c>
      <c r="L350" s="91" t="n"/>
      <c r="M350" s="91" t="n"/>
      <c r="N350" s="88" t="n"/>
    </row>
    <row r="351" ht="15.75" customHeight="1" s="64">
      <c r="A351" s="88" t="n"/>
      <c r="B351" s="120">
        <f t="array" ref="B351:B351">IF(A351="","",IFERROR(INDEX('3.員工名單'!$B:$B,MATCH(A351,'3.員工名單'!$A:$A,0)),"查無此員工"))</f>
        <v/>
      </c>
      <c r="C351" s="120">
        <f t="array" ref="C351:C351">IF(A351="","",IFERROR(INDEX('3.員工名單'!$C:$C,MATCH(A351,'3.員工名單'!$A:$A,0)),""))</f>
        <v/>
      </c>
      <c r="D351" s="120">
        <f t="array" ref="D351:D351">IF(A351="","",IFERROR(INDEX('3.員工名單'!$D:$D,MATCH(A351,'3.員工名單'!$A:$A,0)),""))</f>
        <v/>
      </c>
      <c r="E351" s="120">
        <f t="array" ref="E351:E351">IF(F351="","",IFERROR(INDEX('1.職能辭典'!$A:$A,MATCH(F351,'1.職能辭典'!$C:$C,0)),""))</f>
        <v/>
      </c>
      <c r="F351" s="94" t="n"/>
      <c r="G351" s="120">
        <f t="array" ref="G351:G351">IF(OR(D351="",F351=""),"",IFERROR(IF(AND(OR(INDEX('1.職能辭典'!$J:$J,MATCH(F351,'1.職能辭典'!$C:$C,0))="全部",INDEX('3.員工名單'!$H:$H,MATCH(A351,'3.員工名單'!$A:$A,0))="兩款共用",INDEX('3.員工名單'!$H:$H,MATCH(A351,'3.員工名單'!$A:$A,0))=INDEX('1.職能辭典'!$J:$J,MATCH(F351,'1.職能辭典'!$C:$C,0))),OR(INDEX('1.職能辭典'!$K:$K,MATCH(F351,'1.職能辭典'!$C:$C,0))="全部",SUMPRODUCT(ISNUMBER(SEARCH({"經營","管理","財務","企劃","營運","技術","數據","美術","測試","客服"},INDEX('3.員工名單'!$I:$I,MATCH(A351,'3.員工名單'!$A:$A,0))))*ISNUMBER(SEARCH({"經營","管理","財務","企劃","營運","技術","數據","美術","測試","客服"},INDEX('1.職能辭典'!$K:$K,MATCH(F351,'1.職能辭典'!$C:$C,0)))))&gt;0)),INDEX('2.職務職能需求'!$B$2:$F$28,MATCH(F351,'2.職務職能需求'!$A$2:$A$28,0),MATCH(D351,'2.職務職能需求'!$B$1:$F$1,0)),0),""))</f>
        <v/>
      </c>
      <c r="H351" s="94" t="n"/>
      <c r="I351" s="94" t="n"/>
      <c r="J351" s="120">
        <f>IF(OR(G351="",I351="",G351=0),"",I351-G351)</f>
        <v/>
      </c>
      <c r="K351" s="120">
        <f>IF(G351="","",IF(G351=0,"不適用",IF(I351="","待評核",IF(I351&gt;=G351,IF(I351&gt;G351,"超越","達標"),"待發展"))))</f>
        <v/>
      </c>
      <c r="L351" s="91" t="n"/>
      <c r="M351" s="91" t="n"/>
      <c r="N351" s="88" t="n"/>
    </row>
    <row r="352" ht="15.75" customHeight="1" s="64">
      <c r="A352" s="88" t="n"/>
      <c r="B352" s="120">
        <f t="array" ref="B352:B352">IF(A352="","",IFERROR(INDEX('3.員工名單'!$B:$B,MATCH(A352,'3.員工名單'!$A:$A,0)),"查無此員工"))</f>
        <v/>
      </c>
      <c r="C352" s="120">
        <f t="array" ref="C352:C352">IF(A352="","",IFERROR(INDEX('3.員工名單'!$C:$C,MATCH(A352,'3.員工名單'!$A:$A,0)),""))</f>
        <v/>
      </c>
      <c r="D352" s="120">
        <f t="array" ref="D352:D352">IF(A352="","",IFERROR(INDEX('3.員工名單'!$D:$D,MATCH(A352,'3.員工名單'!$A:$A,0)),""))</f>
        <v/>
      </c>
      <c r="E352" s="120">
        <f t="array" ref="E352:E352">IF(F352="","",IFERROR(INDEX('1.職能辭典'!$A:$A,MATCH(F352,'1.職能辭典'!$C:$C,0)),""))</f>
        <v/>
      </c>
      <c r="F352" s="94" t="n"/>
      <c r="G352" s="120">
        <f t="array" ref="G352:G352">IF(OR(D352="",F352=""),"",IFERROR(IF(AND(OR(INDEX('1.職能辭典'!$J:$J,MATCH(F352,'1.職能辭典'!$C:$C,0))="全部",INDEX('3.員工名單'!$H:$H,MATCH(A352,'3.員工名單'!$A:$A,0))="兩款共用",INDEX('3.員工名單'!$H:$H,MATCH(A352,'3.員工名單'!$A:$A,0))=INDEX('1.職能辭典'!$J:$J,MATCH(F352,'1.職能辭典'!$C:$C,0))),OR(INDEX('1.職能辭典'!$K:$K,MATCH(F352,'1.職能辭典'!$C:$C,0))="全部",SUMPRODUCT(ISNUMBER(SEARCH({"經營","管理","財務","企劃","營運","技術","數據","美術","測試","客服"},INDEX('3.員工名單'!$I:$I,MATCH(A352,'3.員工名單'!$A:$A,0))))*ISNUMBER(SEARCH({"經營","管理","財務","企劃","營運","技術","數據","美術","測試","客服"},INDEX('1.職能辭典'!$K:$K,MATCH(F352,'1.職能辭典'!$C:$C,0)))))&gt;0)),INDEX('2.職務職能需求'!$B$2:$F$28,MATCH(F352,'2.職務職能需求'!$A$2:$A$28,0),MATCH(D352,'2.職務職能需求'!$B$1:$F$1,0)),0),""))</f>
        <v/>
      </c>
      <c r="H352" s="94" t="n"/>
      <c r="I352" s="94" t="n"/>
      <c r="J352" s="120">
        <f>IF(OR(G352="",I352="",G352=0),"",I352-G352)</f>
        <v/>
      </c>
      <c r="K352" s="120">
        <f>IF(G352="","",IF(G352=0,"不適用",IF(I352="","待評核",IF(I352&gt;=G352,IF(I352&gt;G352,"超越","達標"),"待發展"))))</f>
        <v/>
      </c>
      <c r="L352" s="91" t="n"/>
      <c r="M352" s="91" t="n"/>
      <c r="N352" s="88" t="n"/>
    </row>
    <row r="353" ht="15.75" customHeight="1" s="64">
      <c r="A353" s="88" t="n"/>
      <c r="B353" s="120">
        <f t="array" ref="B353:B353">IF(A353="","",IFERROR(INDEX('3.員工名單'!$B:$B,MATCH(A353,'3.員工名單'!$A:$A,0)),"查無此員工"))</f>
        <v/>
      </c>
      <c r="C353" s="120">
        <f t="array" ref="C353:C353">IF(A353="","",IFERROR(INDEX('3.員工名單'!$C:$C,MATCH(A353,'3.員工名單'!$A:$A,0)),""))</f>
        <v/>
      </c>
      <c r="D353" s="120">
        <f t="array" ref="D353:D353">IF(A353="","",IFERROR(INDEX('3.員工名單'!$D:$D,MATCH(A353,'3.員工名單'!$A:$A,0)),""))</f>
        <v/>
      </c>
      <c r="E353" s="120">
        <f t="array" ref="E353:E353">IF(F353="","",IFERROR(INDEX('1.職能辭典'!$A:$A,MATCH(F353,'1.職能辭典'!$C:$C,0)),""))</f>
        <v/>
      </c>
      <c r="F353" s="94" t="n"/>
      <c r="G353" s="120">
        <f t="array" ref="G353:G353">IF(OR(D353="",F353=""),"",IFERROR(IF(AND(OR(INDEX('1.職能辭典'!$J:$J,MATCH(F353,'1.職能辭典'!$C:$C,0))="全部",INDEX('3.員工名單'!$H:$H,MATCH(A353,'3.員工名單'!$A:$A,0))="兩款共用",INDEX('3.員工名單'!$H:$H,MATCH(A353,'3.員工名單'!$A:$A,0))=INDEX('1.職能辭典'!$J:$J,MATCH(F353,'1.職能辭典'!$C:$C,0))),OR(INDEX('1.職能辭典'!$K:$K,MATCH(F353,'1.職能辭典'!$C:$C,0))="全部",SUMPRODUCT(ISNUMBER(SEARCH({"經營","管理","財務","企劃","營運","技術","數據","美術","測試","客服"},INDEX('3.員工名單'!$I:$I,MATCH(A353,'3.員工名單'!$A:$A,0))))*ISNUMBER(SEARCH({"經營","管理","財務","企劃","營運","技術","數據","美術","測試","客服"},INDEX('1.職能辭典'!$K:$K,MATCH(F353,'1.職能辭典'!$C:$C,0)))))&gt;0)),INDEX('2.職務職能需求'!$B$2:$F$28,MATCH(F353,'2.職務職能需求'!$A$2:$A$28,0),MATCH(D353,'2.職務職能需求'!$B$1:$F$1,0)),0),""))</f>
        <v/>
      </c>
      <c r="H353" s="94" t="n"/>
      <c r="I353" s="94" t="n"/>
      <c r="J353" s="120">
        <f>IF(OR(G353="",I353="",G353=0),"",I353-G353)</f>
        <v/>
      </c>
      <c r="K353" s="120">
        <f>IF(G353="","",IF(G353=0,"不適用",IF(I353="","待評核",IF(I353&gt;=G353,IF(I353&gt;G353,"超越","達標"),"待發展"))))</f>
        <v/>
      </c>
      <c r="L353" s="91" t="n"/>
      <c r="M353" s="91" t="n"/>
      <c r="N353" s="88" t="n"/>
    </row>
    <row r="354" ht="15.75" customHeight="1" s="64">
      <c r="A354" s="88" t="n"/>
      <c r="B354" s="120">
        <f t="array" ref="B354:B354">IF(A354="","",IFERROR(INDEX('3.員工名單'!$B:$B,MATCH(A354,'3.員工名單'!$A:$A,0)),"查無此員工"))</f>
        <v/>
      </c>
      <c r="C354" s="120">
        <f t="array" ref="C354:C354">IF(A354="","",IFERROR(INDEX('3.員工名單'!$C:$C,MATCH(A354,'3.員工名單'!$A:$A,0)),""))</f>
        <v/>
      </c>
      <c r="D354" s="120">
        <f t="array" ref="D354:D354">IF(A354="","",IFERROR(INDEX('3.員工名單'!$D:$D,MATCH(A354,'3.員工名單'!$A:$A,0)),""))</f>
        <v/>
      </c>
      <c r="E354" s="120">
        <f t="array" ref="E354:E354">IF(F354="","",IFERROR(INDEX('1.職能辭典'!$A:$A,MATCH(F354,'1.職能辭典'!$C:$C,0)),""))</f>
        <v/>
      </c>
      <c r="F354" s="94" t="n"/>
      <c r="G354" s="120">
        <f t="array" ref="G354:G354">IF(OR(D354="",F354=""),"",IFERROR(IF(AND(OR(INDEX('1.職能辭典'!$J:$J,MATCH(F354,'1.職能辭典'!$C:$C,0))="全部",INDEX('3.員工名單'!$H:$H,MATCH(A354,'3.員工名單'!$A:$A,0))="兩款共用",INDEX('3.員工名單'!$H:$H,MATCH(A354,'3.員工名單'!$A:$A,0))=INDEX('1.職能辭典'!$J:$J,MATCH(F354,'1.職能辭典'!$C:$C,0))),OR(INDEX('1.職能辭典'!$K:$K,MATCH(F354,'1.職能辭典'!$C:$C,0))="全部",SUMPRODUCT(ISNUMBER(SEARCH({"經營","管理","財務","企劃","營運","技術","數據","美術","測試","客服"},INDEX('3.員工名單'!$I:$I,MATCH(A354,'3.員工名單'!$A:$A,0))))*ISNUMBER(SEARCH({"經營","管理","財務","企劃","營運","技術","數據","美術","測試","客服"},INDEX('1.職能辭典'!$K:$K,MATCH(F354,'1.職能辭典'!$C:$C,0)))))&gt;0)),INDEX('2.職務職能需求'!$B$2:$F$28,MATCH(F354,'2.職務職能需求'!$A$2:$A$28,0),MATCH(D354,'2.職務職能需求'!$B$1:$F$1,0)),0),""))</f>
        <v/>
      </c>
      <c r="H354" s="94" t="n"/>
      <c r="I354" s="94" t="n"/>
      <c r="J354" s="120">
        <f>IF(OR(G354="",I354="",G354=0),"",I354-G354)</f>
        <v/>
      </c>
      <c r="K354" s="120">
        <f>IF(G354="","",IF(G354=0,"不適用",IF(I354="","待評核",IF(I354&gt;=G354,IF(I354&gt;G354,"超越","達標"),"待發展"))))</f>
        <v/>
      </c>
      <c r="L354" s="91" t="n"/>
      <c r="M354" s="91" t="n"/>
      <c r="N354" s="88" t="n"/>
    </row>
    <row r="355" ht="15.75" customHeight="1" s="64">
      <c r="A355" s="88" t="n"/>
      <c r="B355" s="120">
        <f t="array" ref="B355:B355">IF(A355="","",IFERROR(INDEX('3.員工名單'!$B:$B,MATCH(A355,'3.員工名單'!$A:$A,0)),"查無此員工"))</f>
        <v/>
      </c>
      <c r="C355" s="120">
        <f t="array" ref="C355:C355">IF(A355="","",IFERROR(INDEX('3.員工名單'!$C:$C,MATCH(A355,'3.員工名單'!$A:$A,0)),""))</f>
        <v/>
      </c>
      <c r="D355" s="120">
        <f t="array" ref="D355:D355">IF(A355="","",IFERROR(INDEX('3.員工名單'!$D:$D,MATCH(A355,'3.員工名單'!$A:$A,0)),""))</f>
        <v/>
      </c>
      <c r="E355" s="120">
        <f t="array" ref="E355:E355">IF(F355="","",IFERROR(INDEX('1.職能辭典'!$A:$A,MATCH(F355,'1.職能辭典'!$C:$C,0)),""))</f>
        <v/>
      </c>
      <c r="F355" s="94" t="n"/>
      <c r="G355" s="120">
        <f t="array" ref="G355:G355">IF(OR(D355="",F355=""),"",IFERROR(IF(AND(OR(INDEX('1.職能辭典'!$J:$J,MATCH(F355,'1.職能辭典'!$C:$C,0))="全部",INDEX('3.員工名單'!$H:$H,MATCH(A355,'3.員工名單'!$A:$A,0))="兩款共用",INDEX('3.員工名單'!$H:$H,MATCH(A355,'3.員工名單'!$A:$A,0))=INDEX('1.職能辭典'!$J:$J,MATCH(F355,'1.職能辭典'!$C:$C,0))),OR(INDEX('1.職能辭典'!$K:$K,MATCH(F355,'1.職能辭典'!$C:$C,0))="全部",SUMPRODUCT(ISNUMBER(SEARCH({"經營","管理","財務","企劃","營運","技術","數據","美術","測試","客服"},INDEX('3.員工名單'!$I:$I,MATCH(A355,'3.員工名單'!$A:$A,0))))*ISNUMBER(SEARCH({"經營","管理","財務","企劃","營運","技術","數據","美術","測試","客服"},INDEX('1.職能辭典'!$K:$K,MATCH(F355,'1.職能辭典'!$C:$C,0)))))&gt;0)),INDEX('2.職務職能需求'!$B$2:$F$28,MATCH(F355,'2.職務職能需求'!$A$2:$A$28,0),MATCH(D355,'2.職務職能需求'!$B$1:$F$1,0)),0),""))</f>
        <v/>
      </c>
      <c r="H355" s="94" t="n"/>
      <c r="I355" s="94" t="n"/>
      <c r="J355" s="120">
        <f>IF(OR(G355="",I355="",G355=0),"",I355-G355)</f>
        <v/>
      </c>
      <c r="K355" s="120">
        <f>IF(G355="","",IF(G355=0,"不適用",IF(I355="","待評核",IF(I355&gt;=G355,IF(I355&gt;G355,"超越","達標"),"待發展"))))</f>
        <v/>
      </c>
      <c r="L355" s="91" t="n"/>
      <c r="M355" s="91" t="n"/>
      <c r="N355" s="88" t="n"/>
    </row>
    <row r="356" ht="15.75" customHeight="1" s="64">
      <c r="A356" s="88" t="n"/>
      <c r="B356" s="120">
        <f t="array" ref="B356:B356">IF(A356="","",IFERROR(INDEX('3.員工名單'!$B:$B,MATCH(A356,'3.員工名單'!$A:$A,0)),"查無此員工"))</f>
        <v/>
      </c>
      <c r="C356" s="120">
        <f t="array" ref="C356:C356">IF(A356="","",IFERROR(INDEX('3.員工名單'!$C:$C,MATCH(A356,'3.員工名單'!$A:$A,0)),""))</f>
        <v/>
      </c>
      <c r="D356" s="120">
        <f t="array" ref="D356:D356">IF(A356="","",IFERROR(INDEX('3.員工名單'!$D:$D,MATCH(A356,'3.員工名單'!$A:$A,0)),""))</f>
        <v/>
      </c>
      <c r="E356" s="120">
        <f t="array" ref="E356:E356">IF(F356="","",IFERROR(INDEX('1.職能辭典'!$A:$A,MATCH(F356,'1.職能辭典'!$C:$C,0)),""))</f>
        <v/>
      </c>
      <c r="F356" s="94" t="n"/>
      <c r="G356" s="120">
        <f t="array" ref="G356:G356">IF(OR(D356="",F356=""),"",IFERROR(IF(AND(OR(INDEX('1.職能辭典'!$J:$J,MATCH(F356,'1.職能辭典'!$C:$C,0))="全部",INDEX('3.員工名單'!$H:$H,MATCH(A356,'3.員工名單'!$A:$A,0))="兩款共用",INDEX('3.員工名單'!$H:$H,MATCH(A356,'3.員工名單'!$A:$A,0))=INDEX('1.職能辭典'!$J:$J,MATCH(F356,'1.職能辭典'!$C:$C,0))),OR(INDEX('1.職能辭典'!$K:$K,MATCH(F356,'1.職能辭典'!$C:$C,0))="全部",SUMPRODUCT(ISNUMBER(SEARCH({"經營","管理","財務","企劃","營運","技術","數據","美術","測試","客服"},INDEX('3.員工名單'!$I:$I,MATCH(A356,'3.員工名單'!$A:$A,0))))*ISNUMBER(SEARCH({"經營","管理","財務","企劃","營運","技術","數據","美術","測試","客服"},INDEX('1.職能辭典'!$K:$K,MATCH(F356,'1.職能辭典'!$C:$C,0)))))&gt;0)),INDEX('2.職務職能需求'!$B$2:$F$28,MATCH(F356,'2.職務職能需求'!$A$2:$A$28,0),MATCH(D356,'2.職務職能需求'!$B$1:$F$1,0)),0),""))</f>
        <v/>
      </c>
      <c r="H356" s="94" t="n"/>
      <c r="I356" s="94" t="n"/>
      <c r="J356" s="120">
        <f>IF(OR(G356="",I356="",G356=0),"",I356-G356)</f>
        <v/>
      </c>
      <c r="K356" s="120">
        <f>IF(G356="","",IF(G356=0,"不適用",IF(I356="","待評核",IF(I356&gt;=G356,IF(I356&gt;G356,"超越","達標"),"待發展"))))</f>
        <v/>
      </c>
      <c r="L356" s="91" t="n"/>
      <c r="M356" s="91" t="n"/>
      <c r="N356" s="88" t="n"/>
    </row>
    <row r="357" ht="15.75" customHeight="1" s="64">
      <c r="A357" s="88" t="n"/>
      <c r="B357" s="120">
        <f t="array" ref="B357:B357">IF(A357="","",IFERROR(INDEX('3.員工名單'!$B:$B,MATCH(A357,'3.員工名單'!$A:$A,0)),"查無此員工"))</f>
        <v/>
      </c>
      <c r="C357" s="120">
        <f t="array" ref="C357:C357">IF(A357="","",IFERROR(INDEX('3.員工名單'!$C:$C,MATCH(A357,'3.員工名單'!$A:$A,0)),""))</f>
        <v/>
      </c>
      <c r="D357" s="120">
        <f t="array" ref="D357:D357">IF(A357="","",IFERROR(INDEX('3.員工名單'!$D:$D,MATCH(A357,'3.員工名單'!$A:$A,0)),""))</f>
        <v/>
      </c>
      <c r="E357" s="120">
        <f t="array" ref="E357:E357">IF(F357="","",IFERROR(INDEX('1.職能辭典'!$A:$A,MATCH(F357,'1.職能辭典'!$C:$C,0)),""))</f>
        <v/>
      </c>
      <c r="F357" s="94" t="n"/>
      <c r="G357" s="120">
        <f t="array" ref="G357:G357">IF(OR(D357="",F357=""),"",IFERROR(IF(AND(OR(INDEX('1.職能辭典'!$J:$J,MATCH(F357,'1.職能辭典'!$C:$C,0))="全部",INDEX('3.員工名單'!$H:$H,MATCH(A357,'3.員工名單'!$A:$A,0))="兩款共用",INDEX('3.員工名單'!$H:$H,MATCH(A357,'3.員工名單'!$A:$A,0))=INDEX('1.職能辭典'!$J:$J,MATCH(F357,'1.職能辭典'!$C:$C,0))),OR(INDEX('1.職能辭典'!$K:$K,MATCH(F357,'1.職能辭典'!$C:$C,0))="全部",SUMPRODUCT(ISNUMBER(SEARCH({"經營","管理","財務","企劃","營運","技術","數據","美術","測試","客服"},INDEX('3.員工名單'!$I:$I,MATCH(A357,'3.員工名單'!$A:$A,0))))*ISNUMBER(SEARCH({"經營","管理","財務","企劃","營運","技術","數據","美術","測試","客服"},INDEX('1.職能辭典'!$K:$K,MATCH(F357,'1.職能辭典'!$C:$C,0)))))&gt;0)),INDEX('2.職務職能需求'!$B$2:$F$28,MATCH(F357,'2.職務職能需求'!$A$2:$A$28,0),MATCH(D357,'2.職務職能需求'!$B$1:$F$1,0)),0),""))</f>
        <v/>
      </c>
      <c r="H357" s="94" t="n"/>
      <c r="I357" s="94" t="n"/>
      <c r="J357" s="120">
        <f>IF(OR(G357="",I357="",G357=0),"",I357-G357)</f>
        <v/>
      </c>
      <c r="K357" s="120">
        <f>IF(G357="","",IF(G357=0,"不適用",IF(I357="","待評核",IF(I357&gt;=G357,IF(I357&gt;G357,"超越","達標"),"待發展"))))</f>
        <v/>
      </c>
      <c r="L357" s="91" t="n"/>
      <c r="M357" s="91" t="n"/>
      <c r="N357" s="88" t="n"/>
    </row>
    <row r="358" ht="15.75" customHeight="1" s="64">
      <c r="A358" s="88" t="n"/>
      <c r="B358" s="120">
        <f t="array" ref="B358:B358">IF(A358="","",IFERROR(INDEX('3.員工名單'!$B:$B,MATCH(A358,'3.員工名單'!$A:$A,0)),"查無此員工"))</f>
        <v/>
      </c>
      <c r="C358" s="120">
        <f t="array" ref="C358:C358">IF(A358="","",IFERROR(INDEX('3.員工名單'!$C:$C,MATCH(A358,'3.員工名單'!$A:$A,0)),""))</f>
        <v/>
      </c>
      <c r="D358" s="120">
        <f t="array" ref="D358:D358">IF(A358="","",IFERROR(INDEX('3.員工名單'!$D:$D,MATCH(A358,'3.員工名單'!$A:$A,0)),""))</f>
        <v/>
      </c>
      <c r="E358" s="120">
        <f t="array" ref="E358:E358">IF(F358="","",IFERROR(INDEX('1.職能辭典'!$A:$A,MATCH(F358,'1.職能辭典'!$C:$C,0)),""))</f>
        <v/>
      </c>
      <c r="F358" s="94" t="n"/>
      <c r="G358" s="120">
        <f t="array" ref="G358:G358">IF(OR(D358="",F358=""),"",IFERROR(IF(AND(OR(INDEX('1.職能辭典'!$J:$J,MATCH(F358,'1.職能辭典'!$C:$C,0))="全部",INDEX('3.員工名單'!$H:$H,MATCH(A358,'3.員工名單'!$A:$A,0))="兩款共用",INDEX('3.員工名單'!$H:$H,MATCH(A358,'3.員工名單'!$A:$A,0))=INDEX('1.職能辭典'!$J:$J,MATCH(F358,'1.職能辭典'!$C:$C,0))),OR(INDEX('1.職能辭典'!$K:$K,MATCH(F358,'1.職能辭典'!$C:$C,0))="全部",SUMPRODUCT(ISNUMBER(SEARCH({"經營","管理","財務","企劃","營運","技術","數據","美術","測試","客服"},INDEX('3.員工名單'!$I:$I,MATCH(A358,'3.員工名單'!$A:$A,0))))*ISNUMBER(SEARCH({"經營","管理","財務","企劃","營運","技術","數據","美術","測試","客服"},INDEX('1.職能辭典'!$K:$K,MATCH(F358,'1.職能辭典'!$C:$C,0)))))&gt;0)),INDEX('2.職務職能需求'!$B$2:$F$28,MATCH(F358,'2.職務職能需求'!$A$2:$A$28,0),MATCH(D358,'2.職務職能需求'!$B$1:$F$1,0)),0),""))</f>
        <v/>
      </c>
      <c r="H358" s="94" t="n"/>
      <c r="I358" s="94" t="n"/>
      <c r="J358" s="120">
        <f>IF(OR(G358="",I358="",G358=0),"",I358-G358)</f>
        <v/>
      </c>
      <c r="K358" s="120">
        <f>IF(G358="","",IF(G358=0,"不適用",IF(I358="","待評核",IF(I358&gt;=G358,IF(I358&gt;G358,"超越","達標"),"待發展"))))</f>
        <v/>
      </c>
      <c r="L358" s="91" t="n"/>
      <c r="M358" s="91" t="n"/>
      <c r="N358" s="88" t="n"/>
    </row>
    <row r="359" ht="15.75" customHeight="1" s="64">
      <c r="A359" s="88" t="n"/>
      <c r="B359" s="120">
        <f t="array" ref="B359:B359">IF(A359="","",IFERROR(INDEX('3.員工名單'!$B:$B,MATCH(A359,'3.員工名單'!$A:$A,0)),"查無此員工"))</f>
        <v/>
      </c>
      <c r="C359" s="120">
        <f t="array" ref="C359:C359">IF(A359="","",IFERROR(INDEX('3.員工名單'!$C:$C,MATCH(A359,'3.員工名單'!$A:$A,0)),""))</f>
        <v/>
      </c>
      <c r="D359" s="120">
        <f t="array" ref="D359:D359">IF(A359="","",IFERROR(INDEX('3.員工名單'!$D:$D,MATCH(A359,'3.員工名單'!$A:$A,0)),""))</f>
        <v/>
      </c>
      <c r="E359" s="120">
        <f t="array" ref="E359:E359">IF(F359="","",IFERROR(INDEX('1.職能辭典'!$A:$A,MATCH(F359,'1.職能辭典'!$C:$C,0)),""))</f>
        <v/>
      </c>
      <c r="F359" s="94" t="n"/>
      <c r="G359" s="120">
        <f t="array" ref="G359:G359">IF(OR(D359="",F359=""),"",IFERROR(IF(AND(OR(INDEX('1.職能辭典'!$J:$J,MATCH(F359,'1.職能辭典'!$C:$C,0))="全部",INDEX('3.員工名單'!$H:$H,MATCH(A359,'3.員工名單'!$A:$A,0))="兩款共用",INDEX('3.員工名單'!$H:$H,MATCH(A359,'3.員工名單'!$A:$A,0))=INDEX('1.職能辭典'!$J:$J,MATCH(F359,'1.職能辭典'!$C:$C,0))),OR(INDEX('1.職能辭典'!$K:$K,MATCH(F359,'1.職能辭典'!$C:$C,0))="全部",SUMPRODUCT(ISNUMBER(SEARCH({"經營","管理","財務","企劃","營運","技術","數據","美術","測試","客服"},INDEX('3.員工名單'!$I:$I,MATCH(A359,'3.員工名單'!$A:$A,0))))*ISNUMBER(SEARCH({"經營","管理","財務","企劃","營運","技術","數據","美術","測試","客服"},INDEX('1.職能辭典'!$K:$K,MATCH(F359,'1.職能辭典'!$C:$C,0)))))&gt;0)),INDEX('2.職務職能需求'!$B$2:$F$28,MATCH(F359,'2.職務職能需求'!$A$2:$A$28,0),MATCH(D359,'2.職務職能需求'!$B$1:$F$1,0)),0),""))</f>
        <v/>
      </c>
      <c r="H359" s="94" t="n"/>
      <c r="I359" s="94" t="n"/>
      <c r="J359" s="120">
        <f>IF(OR(G359="",I359="",G359=0),"",I359-G359)</f>
        <v/>
      </c>
      <c r="K359" s="120">
        <f>IF(G359="","",IF(G359=0,"不適用",IF(I359="","待評核",IF(I359&gt;=G359,IF(I359&gt;G359,"超越","達標"),"待發展"))))</f>
        <v/>
      </c>
      <c r="L359" s="91" t="n"/>
      <c r="M359" s="91" t="n"/>
      <c r="N359" s="88" t="n"/>
    </row>
    <row r="360" ht="15.75" customHeight="1" s="64">
      <c r="A360" s="88" t="n"/>
      <c r="B360" s="120">
        <f t="array" ref="B360:B360">IF(A360="","",IFERROR(INDEX('3.員工名單'!$B:$B,MATCH(A360,'3.員工名單'!$A:$A,0)),"查無此員工"))</f>
        <v/>
      </c>
      <c r="C360" s="120">
        <f t="array" ref="C360:C360">IF(A360="","",IFERROR(INDEX('3.員工名單'!$C:$C,MATCH(A360,'3.員工名單'!$A:$A,0)),""))</f>
        <v/>
      </c>
      <c r="D360" s="120">
        <f t="array" ref="D360:D360">IF(A360="","",IFERROR(INDEX('3.員工名單'!$D:$D,MATCH(A360,'3.員工名單'!$A:$A,0)),""))</f>
        <v/>
      </c>
      <c r="E360" s="120">
        <f t="array" ref="E360:E360">IF(F360="","",IFERROR(INDEX('1.職能辭典'!$A:$A,MATCH(F360,'1.職能辭典'!$C:$C,0)),""))</f>
        <v/>
      </c>
      <c r="F360" s="94" t="n"/>
      <c r="G360" s="120">
        <f t="array" ref="G360:G360">IF(OR(D360="",F360=""),"",IFERROR(IF(AND(OR(INDEX('1.職能辭典'!$J:$J,MATCH(F360,'1.職能辭典'!$C:$C,0))="全部",INDEX('3.員工名單'!$H:$H,MATCH(A360,'3.員工名單'!$A:$A,0))="兩款共用",INDEX('3.員工名單'!$H:$H,MATCH(A360,'3.員工名單'!$A:$A,0))=INDEX('1.職能辭典'!$J:$J,MATCH(F360,'1.職能辭典'!$C:$C,0))),OR(INDEX('1.職能辭典'!$K:$K,MATCH(F360,'1.職能辭典'!$C:$C,0))="全部",SUMPRODUCT(ISNUMBER(SEARCH({"經營","管理","財務","企劃","營運","技術","數據","美術","測試","客服"},INDEX('3.員工名單'!$I:$I,MATCH(A360,'3.員工名單'!$A:$A,0))))*ISNUMBER(SEARCH({"經營","管理","財務","企劃","營運","技術","數據","美術","測試","客服"},INDEX('1.職能辭典'!$K:$K,MATCH(F360,'1.職能辭典'!$C:$C,0)))))&gt;0)),INDEX('2.職務職能需求'!$B$2:$F$28,MATCH(F360,'2.職務職能需求'!$A$2:$A$28,0),MATCH(D360,'2.職務職能需求'!$B$1:$F$1,0)),0),""))</f>
        <v/>
      </c>
      <c r="H360" s="94" t="n"/>
      <c r="I360" s="94" t="n"/>
      <c r="J360" s="120">
        <f>IF(OR(G360="",I360="",G360=0),"",I360-G360)</f>
        <v/>
      </c>
      <c r="K360" s="120">
        <f>IF(G360="","",IF(G360=0,"不適用",IF(I360="","待評核",IF(I360&gt;=G360,IF(I360&gt;G360,"超越","達標"),"待發展"))))</f>
        <v/>
      </c>
      <c r="L360" s="91" t="n"/>
      <c r="M360" s="91" t="n"/>
      <c r="N360" s="88" t="n"/>
    </row>
    <row r="361" ht="15.75" customHeight="1" s="64">
      <c r="A361" s="88" t="n"/>
      <c r="B361" s="120">
        <f t="array" ref="B361:B361">IF(A361="","",IFERROR(INDEX('3.員工名單'!$B:$B,MATCH(A361,'3.員工名單'!$A:$A,0)),"查無此員工"))</f>
        <v/>
      </c>
      <c r="C361" s="120">
        <f t="array" ref="C361:C361">IF(A361="","",IFERROR(INDEX('3.員工名單'!$C:$C,MATCH(A361,'3.員工名單'!$A:$A,0)),""))</f>
        <v/>
      </c>
      <c r="D361" s="120">
        <f t="array" ref="D361:D361">IF(A361="","",IFERROR(INDEX('3.員工名單'!$D:$D,MATCH(A361,'3.員工名單'!$A:$A,0)),""))</f>
        <v/>
      </c>
      <c r="E361" s="120">
        <f t="array" ref="E361:E361">IF(F361="","",IFERROR(INDEX('1.職能辭典'!$A:$A,MATCH(F361,'1.職能辭典'!$C:$C,0)),""))</f>
        <v/>
      </c>
      <c r="F361" s="94" t="n"/>
      <c r="G361" s="120">
        <f t="array" ref="G361:G361">IF(OR(D361="",F361=""),"",IFERROR(IF(AND(OR(INDEX('1.職能辭典'!$J:$J,MATCH(F361,'1.職能辭典'!$C:$C,0))="全部",INDEX('3.員工名單'!$H:$H,MATCH(A361,'3.員工名單'!$A:$A,0))="兩款共用",INDEX('3.員工名單'!$H:$H,MATCH(A361,'3.員工名單'!$A:$A,0))=INDEX('1.職能辭典'!$J:$J,MATCH(F361,'1.職能辭典'!$C:$C,0))),OR(INDEX('1.職能辭典'!$K:$K,MATCH(F361,'1.職能辭典'!$C:$C,0))="全部",SUMPRODUCT(ISNUMBER(SEARCH({"經營","管理","財務","企劃","營運","技術","數據","美術","測試","客服"},INDEX('3.員工名單'!$I:$I,MATCH(A361,'3.員工名單'!$A:$A,0))))*ISNUMBER(SEARCH({"經營","管理","財務","企劃","營運","技術","數據","美術","測試","客服"},INDEX('1.職能辭典'!$K:$K,MATCH(F361,'1.職能辭典'!$C:$C,0)))))&gt;0)),INDEX('2.職務職能需求'!$B$2:$F$28,MATCH(F361,'2.職務職能需求'!$A$2:$A$28,0),MATCH(D361,'2.職務職能需求'!$B$1:$F$1,0)),0),""))</f>
        <v/>
      </c>
      <c r="H361" s="94" t="n"/>
      <c r="I361" s="94" t="n"/>
      <c r="J361" s="120">
        <f>IF(OR(G361="",I361="",G361=0),"",I361-G361)</f>
        <v/>
      </c>
      <c r="K361" s="120">
        <f>IF(G361="","",IF(G361=0,"不適用",IF(I361="","待評核",IF(I361&gt;=G361,IF(I361&gt;G361,"超越","達標"),"待發展"))))</f>
        <v/>
      </c>
      <c r="L361" s="91" t="n"/>
      <c r="M361" s="91" t="n"/>
      <c r="N361" s="88" t="n"/>
    </row>
    <row r="362" ht="15.75" customHeight="1" s="64">
      <c r="A362" s="88" t="n"/>
      <c r="B362" s="120">
        <f t="array" ref="B362:B362">IF(A362="","",IFERROR(INDEX('3.員工名單'!$B:$B,MATCH(A362,'3.員工名單'!$A:$A,0)),"查無此員工"))</f>
        <v/>
      </c>
      <c r="C362" s="120">
        <f t="array" ref="C362:C362">IF(A362="","",IFERROR(INDEX('3.員工名單'!$C:$C,MATCH(A362,'3.員工名單'!$A:$A,0)),""))</f>
        <v/>
      </c>
      <c r="D362" s="120">
        <f t="array" ref="D362:D362">IF(A362="","",IFERROR(INDEX('3.員工名單'!$D:$D,MATCH(A362,'3.員工名單'!$A:$A,0)),""))</f>
        <v/>
      </c>
      <c r="E362" s="120">
        <f t="array" ref="E362:E362">IF(F362="","",IFERROR(INDEX('1.職能辭典'!$A:$A,MATCH(F362,'1.職能辭典'!$C:$C,0)),""))</f>
        <v/>
      </c>
      <c r="F362" s="94" t="n"/>
      <c r="G362" s="120">
        <f t="array" ref="G362:G362">IF(OR(D362="",F362=""),"",IFERROR(IF(AND(OR(INDEX('1.職能辭典'!$J:$J,MATCH(F362,'1.職能辭典'!$C:$C,0))="全部",INDEX('3.員工名單'!$H:$H,MATCH(A362,'3.員工名單'!$A:$A,0))="兩款共用",INDEX('3.員工名單'!$H:$H,MATCH(A362,'3.員工名單'!$A:$A,0))=INDEX('1.職能辭典'!$J:$J,MATCH(F362,'1.職能辭典'!$C:$C,0))),OR(INDEX('1.職能辭典'!$K:$K,MATCH(F362,'1.職能辭典'!$C:$C,0))="全部",SUMPRODUCT(ISNUMBER(SEARCH({"經營","管理","財務","企劃","營運","技術","數據","美術","測試","客服"},INDEX('3.員工名單'!$I:$I,MATCH(A362,'3.員工名單'!$A:$A,0))))*ISNUMBER(SEARCH({"經營","管理","財務","企劃","營運","技術","數據","美術","測試","客服"},INDEX('1.職能辭典'!$K:$K,MATCH(F362,'1.職能辭典'!$C:$C,0)))))&gt;0)),INDEX('2.職務職能需求'!$B$2:$F$28,MATCH(F362,'2.職務職能需求'!$A$2:$A$28,0),MATCH(D362,'2.職務職能需求'!$B$1:$F$1,0)),0),""))</f>
        <v/>
      </c>
      <c r="H362" s="94" t="n"/>
      <c r="I362" s="94" t="n"/>
      <c r="J362" s="120">
        <f>IF(OR(G362="",I362="",G362=0),"",I362-G362)</f>
        <v/>
      </c>
      <c r="K362" s="120">
        <f>IF(G362="","",IF(G362=0,"不適用",IF(I362="","待評核",IF(I362&gt;=G362,IF(I362&gt;G362,"超越","達標"),"待發展"))))</f>
        <v/>
      </c>
      <c r="L362" s="91" t="n"/>
      <c r="M362" s="91" t="n"/>
      <c r="N362" s="88" t="n"/>
    </row>
    <row r="363" ht="15.75" customHeight="1" s="64">
      <c r="A363" s="88" t="n"/>
      <c r="B363" s="120">
        <f t="array" ref="B363:B363">IF(A363="","",IFERROR(INDEX('3.員工名單'!$B:$B,MATCH(A363,'3.員工名單'!$A:$A,0)),"查無此員工"))</f>
        <v/>
      </c>
      <c r="C363" s="120">
        <f t="array" ref="C363:C363">IF(A363="","",IFERROR(INDEX('3.員工名單'!$C:$C,MATCH(A363,'3.員工名單'!$A:$A,0)),""))</f>
        <v/>
      </c>
      <c r="D363" s="120">
        <f t="array" ref="D363:D363">IF(A363="","",IFERROR(INDEX('3.員工名單'!$D:$D,MATCH(A363,'3.員工名單'!$A:$A,0)),""))</f>
        <v/>
      </c>
      <c r="E363" s="120">
        <f t="array" ref="E363:E363">IF(F363="","",IFERROR(INDEX('1.職能辭典'!$A:$A,MATCH(F363,'1.職能辭典'!$C:$C,0)),""))</f>
        <v/>
      </c>
      <c r="F363" s="94" t="n"/>
      <c r="G363" s="120">
        <f t="array" ref="G363:G363">IF(OR(D363="",F363=""),"",IFERROR(IF(AND(OR(INDEX('1.職能辭典'!$J:$J,MATCH(F363,'1.職能辭典'!$C:$C,0))="全部",INDEX('3.員工名單'!$H:$H,MATCH(A363,'3.員工名單'!$A:$A,0))="兩款共用",INDEX('3.員工名單'!$H:$H,MATCH(A363,'3.員工名單'!$A:$A,0))=INDEX('1.職能辭典'!$J:$J,MATCH(F363,'1.職能辭典'!$C:$C,0))),OR(INDEX('1.職能辭典'!$K:$K,MATCH(F363,'1.職能辭典'!$C:$C,0))="全部",SUMPRODUCT(ISNUMBER(SEARCH({"經營","管理","財務","企劃","營運","技術","數據","美術","測試","客服"},INDEX('3.員工名單'!$I:$I,MATCH(A363,'3.員工名單'!$A:$A,0))))*ISNUMBER(SEARCH({"經營","管理","財務","企劃","營運","技術","數據","美術","測試","客服"},INDEX('1.職能辭典'!$K:$K,MATCH(F363,'1.職能辭典'!$C:$C,0)))))&gt;0)),INDEX('2.職務職能需求'!$B$2:$F$28,MATCH(F363,'2.職務職能需求'!$A$2:$A$28,0),MATCH(D363,'2.職務職能需求'!$B$1:$F$1,0)),0),""))</f>
        <v/>
      </c>
      <c r="H363" s="94" t="n"/>
      <c r="I363" s="94" t="n"/>
      <c r="J363" s="120">
        <f>IF(OR(G363="",I363="",G363=0),"",I363-G363)</f>
        <v/>
      </c>
      <c r="K363" s="120">
        <f>IF(G363="","",IF(G363=0,"不適用",IF(I363="","待評核",IF(I363&gt;=G363,IF(I363&gt;G363,"超越","達標"),"待發展"))))</f>
        <v/>
      </c>
      <c r="L363" s="91" t="n"/>
      <c r="M363" s="91" t="n"/>
      <c r="N363" s="88" t="n"/>
    </row>
    <row r="364" ht="15.75" customHeight="1" s="64">
      <c r="A364" s="88" t="n"/>
      <c r="B364" s="120">
        <f t="array" ref="B364:B364">IF(A364="","",IFERROR(INDEX('3.員工名單'!$B:$B,MATCH(A364,'3.員工名單'!$A:$A,0)),"查無此員工"))</f>
        <v/>
      </c>
      <c r="C364" s="120">
        <f t="array" ref="C364:C364">IF(A364="","",IFERROR(INDEX('3.員工名單'!$C:$C,MATCH(A364,'3.員工名單'!$A:$A,0)),""))</f>
        <v/>
      </c>
      <c r="D364" s="120">
        <f t="array" ref="D364:D364">IF(A364="","",IFERROR(INDEX('3.員工名單'!$D:$D,MATCH(A364,'3.員工名單'!$A:$A,0)),""))</f>
        <v/>
      </c>
      <c r="E364" s="120">
        <f t="array" ref="E364:E364">IF(F364="","",IFERROR(INDEX('1.職能辭典'!$A:$A,MATCH(F364,'1.職能辭典'!$C:$C,0)),""))</f>
        <v/>
      </c>
      <c r="F364" s="94" t="n"/>
      <c r="G364" s="120">
        <f t="array" ref="G364:G364">IF(OR(D364="",F364=""),"",IFERROR(IF(AND(OR(INDEX('1.職能辭典'!$J:$J,MATCH(F364,'1.職能辭典'!$C:$C,0))="全部",INDEX('3.員工名單'!$H:$H,MATCH(A364,'3.員工名單'!$A:$A,0))="兩款共用",INDEX('3.員工名單'!$H:$H,MATCH(A364,'3.員工名單'!$A:$A,0))=INDEX('1.職能辭典'!$J:$J,MATCH(F364,'1.職能辭典'!$C:$C,0))),OR(INDEX('1.職能辭典'!$K:$K,MATCH(F364,'1.職能辭典'!$C:$C,0))="全部",SUMPRODUCT(ISNUMBER(SEARCH({"經營","管理","財務","企劃","營運","技術","數據","美術","測試","客服"},INDEX('3.員工名單'!$I:$I,MATCH(A364,'3.員工名單'!$A:$A,0))))*ISNUMBER(SEARCH({"經營","管理","財務","企劃","營運","技術","數據","美術","測試","客服"},INDEX('1.職能辭典'!$K:$K,MATCH(F364,'1.職能辭典'!$C:$C,0)))))&gt;0)),INDEX('2.職務職能需求'!$B$2:$F$28,MATCH(F364,'2.職務職能需求'!$A$2:$A$28,0),MATCH(D364,'2.職務職能需求'!$B$1:$F$1,0)),0),""))</f>
        <v/>
      </c>
      <c r="H364" s="94" t="n"/>
      <c r="I364" s="94" t="n"/>
      <c r="J364" s="120">
        <f>IF(OR(G364="",I364="",G364=0),"",I364-G364)</f>
        <v/>
      </c>
      <c r="K364" s="120">
        <f>IF(G364="","",IF(G364=0,"不適用",IF(I364="","待評核",IF(I364&gt;=G364,IF(I364&gt;G364,"超越","達標"),"待發展"))))</f>
        <v/>
      </c>
      <c r="L364" s="91" t="n"/>
      <c r="M364" s="91" t="n"/>
      <c r="N364" s="88" t="n"/>
    </row>
    <row r="365" ht="15.75" customHeight="1" s="64">
      <c r="A365" s="88" t="n"/>
      <c r="B365" s="120">
        <f t="array" ref="B365:B365">IF(A365="","",IFERROR(INDEX('3.員工名單'!$B:$B,MATCH(A365,'3.員工名單'!$A:$A,0)),"查無此員工"))</f>
        <v/>
      </c>
      <c r="C365" s="120">
        <f t="array" ref="C365:C365">IF(A365="","",IFERROR(INDEX('3.員工名單'!$C:$C,MATCH(A365,'3.員工名單'!$A:$A,0)),""))</f>
        <v/>
      </c>
      <c r="D365" s="120">
        <f t="array" ref="D365:D365">IF(A365="","",IFERROR(INDEX('3.員工名單'!$D:$D,MATCH(A365,'3.員工名單'!$A:$A,0)),""))</f>
        <v/>
      </c>
      <c r="E365" s="120">
        <f t="array" ref="E365:E365">IF(F365="","",IFERROR(INDEX('1.職能辭典'!$A:$A,MATCH(F365,'1.職能辭典'!$C:$C,0)),""))</f>
        <v/>
      </c>
      <c r="F365" s="94" t="n"/>
      <c r="G365" s="120">
        <f t="array" ref="G365:G365">IF(OR(D365="",F365=""),"",IFERROR(IF(AND(OR(INDEX('1.職能辭典'!$J:$J,MATCH(F365,'1.職能辭典'!$C:$C,0))="全部",INDEX('3.員工名單'!$H:$H,MATCH(A365,'3.員工名單'!$A:$A,0))="兩款共用",INDEX('3.員工名單'!$H:$H,MATCH(A365,'3.員工名單'!$A:$A,0))=INDEX('1.職能辭典'!$J:$J,MATCH(F365,'1.職能辭典'!$C:$C,0))),OR(INDEX('1.職能辭典'!$K:$K,MATCH(F365,'1.職能辭典'!$C:$C,0))="全部",SUMPRODUCT(ISNUMBER(SEARCH({"經營","管理","財務","企劃","營運","技術","數據","美術","測試","客服"},INDEX('3.員工名單'!$I:$I,MATCH(A365,'3.員工名單'!$A:$A,0))))*ISNUMBER(SEARCH({"經營","管理","財務","企劃","營運","技術","數據","美術","測試","客服"},INDEX('1.職能辭典'!$K:$K,MATCH(F365,'1.職能辭典'!$C:$C,0)))))&gt;0)),INDEX('2.職務職能需求'!$B$2:$F$28,MATCH(F365,'2.職務職能需求'!$A$2:$A$28,0),MATCH(D365,'2.職務職能需求'!$B$1:$F$1,0)),0),""))</f>
        <v/>
      </c>
      <c r="H365" s="94" t="n"/>
      <c r="I365" s="94" t="n"/>
      <c r="J365" s="120">
        <f>IF(OR(G365="",I365="",G365=0),"",I365-G365)</f>
        <v/>
      </c>
      <c r="K365" s="120">
        <f>IF(G365="","",IF(G365=0,"不適用",IF(I365="","待評核",IF(I365&gt;=G365,IF(I365&gt;G365,"超越","達標"),"待發展"))))</f>
        <v/>
      </c>
      <c r="L365" s="91" t="n"/>
      <c r="M365" s="91" t="n"/>
      <c r="N365" s="88" t="n"/>
    </row>
    <row r="366" ht="15.75" customHeight="1" s="64">
      <c r="A366" s="88" t="n"/>
      <c r="B366" s="120">
        <f t="array" ref="B366:B366">IF(A366="","",IFERROR(INDEX('3.員工名單'!$B:$B,MATCH(A366,'3.員工名單'!$A:$A,0)),"查無此員工"))</f>
        <v/>
      </c>
      <c r="C366" s="120">
        <f t="array" ref="C366:C366">IF(A366="","",IFERROR(INDEX('3.員工名單'!$C:$C,MATCH(A366,'3.員工名單'!$A:$A,0)),""))</f>
        <v/>
      </c>
      <c r="D366" s="120">
        <f t="array" ref="D366:D366">IF(A366="","",IFERROR(INDEX('3.員工名單'!$D:$D,MATCH(A366,'3.員工名單'!$A:$A,0)),""))</f>
        <v/>
      </c>
      <c r="E366" s="120">
        <f t="array" ref="E366:E366">IF(F366="","",IFERROR(INDEX('1.職能辭典'!$A:$A,MATCH(F366,'1.職能辭典'!$C:$C,0)),""))</f>
        <v/>
      </c>
      <c r="F366" s="94" t="n"/>
      <c r="G366" s="120">
        <f t="array" ref="G366:G366">IF(OR(D366="",F366=""),"",IFERROR(IF(AND(OR(INDEX('1.職能辭典'!$J:$J,MATCH(F366,'1.職能辭典'!$C:$C,0))="全部",INDEX('3.員工名單'!$H:$H,MATCH(A366,'3.員工名單'!$A:$A,0))="兩款共用",INDEX('3.員工名單'!$H:$H,MATCH(A366,'3.員工名單'!$A:$A,0))=INDEX('1.職能辭典'!$J:$J,MATCH(F366,'1.職能辭典'!$C:$C,0))),OR(INDEX('1.職能辭典'!$K:$K,MATCH(F366,'1.職能辭典'!$C:$C,0))="全部",SUMPRODUCT(ISNUMBER(SEARCH({"經營","管理","財務","企劃","營運","技術","數據","美術","測試","客服"},INDEX('3.員工名單'!$I:$I,MATCH(A366,'3.員工名單'!$A:$A,0))))*ISNUMBER(SEARCH({"經營","管理","財務","企劃","營運","技術","數據","美術","測試","客服"},INDEX('1.職能辭典'!$K:$K,MATCH(F366,'1.職能辭典'!$C:$C,0)))))&gt;0)),INDEX('2.職務職能需求'!$B$2:$F$28,MATCH(F366,'2.職務職能需求'!$A$2:$A$28,0),MATCH(D366,'2.職務職能需求'!$B$1:$F$1,0)),0),""))</f>
        <v/>
      </c>
      <c r="H366" s="94" t="n"/>
      <c r="I366" s="94" t="n"/>
      <c r="J366" s="120">
        <f>IF(OR(G366="",I366="",G366=0),"",I366-G366)</f>
        <v/>
      </c>
      <c r="K366" s="120">
        <f>IF(G366="","",IF(G366=0,"不適用",IF(I366="","待評核",IF(I366&gt;=G366,IF(I366&gt;G366,"超越","達標"),"待發展"))))</f>
        <v/>
      </c>
      <c r="L366" s="91" t="n"/>
      <c r="M366" s="91" t="n"/>
      <c r="N366" s="88" t="n"/>
    </row>
    <row r="367" ht="15.75" customHeight="1" s="64">
      <c r="A367" s="88" t="n"/>
      <c r="B367" s="120">
        <f t="array" ref="B367:B367">IF(A367="","",IFERROR(INDEX('3.員工名單'!$B:$B,MATCH(A367,'3.員工名單'!$A:$A,0)),"查無此員工"))</f>
        <v/>
      </c>
      <c r="C367" s="120">
        <f t="array" ref="C367:C367">IF(A367="","",IFERROR(INDEX('3.員工名單'!$C:$C,MATCH(A367,'3.員工名單'!$A:$A,0)),""))</f>
        <v/>
      </c>
      <c r="D367" s="120">
        <f t="array" ref="D367:D367">IF(A367="","",IFERROR(INDEX('3.員工名單'!$D:$D,MATCH(A367,'3.員工名單'!$A:$A,0)),""))</f>
        <v/>
      </c>
      <c r="E367" s="120">
        <f t="array" ref="E367:E367">IF(F367="","",IFERROR(INDEX('1.職能辭典'!$A:$A,MATCH(F367,'1.職能辭典'!$C:$C,0)),""))</f>
        <v/>
      </c>
      <c r="F367" s="94" t="n"/>
      <c r="G367" s="120">
        <f t="array" ref="G367:G367">IF(OR(D367="",F367=""),"",IFERROR(IF(AND(OR(INDEX('1.職能辭典'!$J:$J,MATCH(F367,'1.職能辭典'!$C:$C,0))="全部",INDEX('3.員工名單'!$H:$H,MATCH(A367,'3.員工名單'!$A:$A,0))="兩款共用",INDEX('3.員工名單'!$H:$H,MATCH(A367,'3.員工名單'!$A:$A,0))=INDEX('1.職能辭典'!$J:$J,MATCH(F367,'1.職能辭典'!$C:$C,0))),OR(INDEX('1.職能辭典'!$K:$K,MATCH(F367,'1.職能辭典'!$C:$C,0))="全部",SUMPRODUCT(ISNUMBER(SEARCH({"經營","管理","財務","企劃","營運","技術","數據","美術","測試","客服"},INDEX('3.員工名單'!$I:$I,MATCH(A367,'3.員工名單'!$A:$A,0))))*ISNUMBER(SEARCH({"經營","管理","財務","企劃","營運","技術","數據","美術","測試","客服"},INDEX('1.職能辭典'!$K:$K,MATCH(F367,'1.職能辭典'!$C:$C,0)))))&gt;0)),INDEX('2.職務職能需求'!$B$2:$F$28,MATCH(F367,'2.職務職能需求'!$A$2:$A$28,0),MATCH(D367,'2.職務職能需求'!$B$1:$F$1,0)),0),""))</f>
        <v/>
      </c>
      <c r="H367" s="94" t="n"/>
      <c r="I367" s="94" t="n"/>
      <c r="J367" s="120">
        <f>IF(OR(G367="",I367="",G367=0),"",I367-G367)</f>
        <v/>
      </c>
      <c r="K367" s="120">
        <f>IF(G367="","",IF(G367=0,"不適用",IF(I367="","待評核",IF(I367&gt;=G367,IF(I367&gt;G367,"超越","達標"),"待發展"))))</f>
        <v/>
      </c>
      <c r="L367" s="91" t="n"/>
      <c r="M367" s="91" t="n"/>
      <c r="N367" s="88" t="n"/>
    </row>
    <row r="368" ht="15.75" customHeight="1" s="64">
      <c r="A368" s="88" t="n"/>
      <c r="B368" s="120">
        <f t="array" ref="B368:B368">IF(A368="","",IFERROR(INDEX('3.員工名單'!$B:$B,MATCH(A368,'3.員工名單'!$A:$A,0)),"查無此員工"))</f>
        <v/>
      </c>
      <c r="C368" s="120">
        <f t="array" ref="C368:C368">IF(A368="","",IFERROR(INDEX('3.員工名單'!$C:$C,MATCH(A368,'3.員工名單'!$A:$A,0)),""))</f>
        <v/>
      </c>
      <c r="D368" s="120">
        <f t="array" ref="D368:D368">IF(A368="","",IFERROR(INDEX('3.員工名單'!$D:$D,MATCH(A368,'3.員工名單'!$A:$A,0)),""))</f>
        <v/>
      </c>
      <c r="E368" s="120">
        <f t="array" ref="E368:E368">IF(F368="","",IFERROR(INDEX('1.職能辭典'!$A:$A,MATCH(F368,'1.職能辭典'!$C:$C,0)),""))</f>
        <v/>
      </c>
      <c r="F368" s="94" t="n"/>
      <c r="G368" s="120">
        <f t="array" ref="G368:G368">IF(OR(D368="",F368=""),"",IFERROR(IF(AND(OR(INDEX('1.職能辭典'!$J:$J,MATCH(F368,'1.職能辭典'!$C:$C,0))="全部",INDEX('3.員工名單'!$H:$H,MATCH(A368,'3.員工名單'!$A:$A,0))="兩款共用",INDEX('3.員工名單'!$H:$H,MATCH(A368,'3.員工名單'!$A:$A,0))=INDEX('1.職能辭典'!$J:$J,MATCH(F368,'1.職能辭典'!$C:$C,0))),OR(INDEX('1.職能辭典'!$K:$K,MATCH(F368,'1.職能辭典'!$C:$C,0))="全部",SUMPRODUCT(ISNUMBER(SEARCH({"經營","管理","財務","企劃","營運","技術","數據","美術","測試","客服"},INDEX('3.員工名單'!$I:$I,MATCH(A368,'3.員工名單'!$A:$A,0))))*ISNUMBER(SEARCH({"經營","管理","財務","企劃","營運","技術","數據","美術","測試","客服"},INDEX('1.職能辭典'!$K:$K,MATCH(F368,'1.職能辭典'!$C:$C,0)))))&gt;0)),INDEX('2.職務職能需求'!$B$2:$F$28,MATCH(F368,'2.職務職能需求'!$A$2:$A$28,0),MATCH(D368,'2.職務職能需求'!$B$1:$F$1,0)),0),""))</f>
        <v/>
      </c>
      <c r="H368" s="94" t="n"/>
      <c r="I368" s="94" t="n"/>
      <c r="J368" s="120">
        <f>IF(OR(G368="",I368="",G368=0),"",I368-G368)</f>
        <v/>
      </c>
      <c r="K368" s="120">
        <f>IF(G368="","",IF(G368=0,"不適用",IF(I368="","待評核",IF(I368&gt;=G368,IF(I368&gt;G368,"超越","達標"),"待發展"))))</f>
        <v/>
      </c>
      <c r="L368" s="91" t="n"/>
      <c r="M368" s="91" t="n"/>
      <c r="N368" s="88" t="n"/>
    </row>
    <row r="369" ht="15.75" customHeight="1" s="64">
      <c r="A369" s="88" t="n"/>
      <c r="B369" s="120">
        <f t="array" ref="B369:B369">IF(A369="","",IFERROR(INDEX('3.員工名單'!$B:$B,MATCH(A369,'3.員工名單'!$A:$A,0)),"查無此員工"))</f>
        <v/>
      </c>
      <c r="C369" s="120">
        <f t="array" ref="C369:C369">IF(A369="","",IFERROR(INDEX('3.員工名單'!$C:$C,MATCH(A369,'3.員工名單'!$A:$A,0)),""))</f>
        <v/>
      </c>
      <c r="D369" s="120">
        <f t="array" ref="D369:D369">IF(A369="","",IFERROR(INDEX('3.員工名單'!$D:$D,MATCH(A369,'3.員工名單'!$A:$A,0)),""))</f>
        <v/>
      </c>
      <c r="E369" s="120">
        <f t="array" ref="E369:E369">IF(F369="","",IFERROR(INDEX('1.職能辭典'!$A:$A,MATCH(F369,'1.職能辭典'!$C:$C,0)),""))</f>
        <v/>
      </c>
      <c r="F369" s="94" t="n"/>
      <c r="G369" s="120">
        <f t="array" ref="G369:G369">IF(OR(D369="",F369=""),"",IFERROR(IF(AND(OR(INDEX('1.職能辭典'!$J:$J,MATCH(F369,'1.職能辭典'!$C:$C,0))="全部",INDEX('3.員工名單'!$H:$H,MATCH(A369,'3.員工名單'!$A:$A,0))="兩款共用",INDEX('3.員工名單'!$H:$H,MATCH(A369,'3.員工名單'!$A:$A,0))=INDEX('1.職能辭典'!$J:$J,MATCH(F369,'1.職能辭典'!$C:$C,0))),OR(INDEX('1.職能辭典'!$K:$K,MATCH(F369,'1.職能辭典'!$C:$C,0))="全部",SUMPRODUCT(ISNUMBER(SEARCH({"經營","管理","財務","企劃","營運","技術","數據","美術","測試","客服"},INDEX('3.員工名單'!$I:$I,MATCH(A369,'3.員工名單'!$A:$A,0))))*ISNUMBER(SEARCH({"經營","管理","財務","企劃","營運","技術","數據","美術","測試","客服"},INDEX('1.職能辭典'!$K:$K,MATCH(F369,'1.職能辭典'!$C:$C,0)))))&gt;0)),INDEX('2.職務職能需求'!$B$2:$F$28,MATCH(F369,'2.職務職能需求'!$A$2:$A$28,0),MATCH(D369,'2.職務職能需求'!$B$1:$F$1,0)),0),""))</f>
        <v/>
      </c>
      <c r="H369" s="94" t="n"/>
      <c r="I369" s="94" t="n"/>
      <c r="J369" s="120">
        <f>IF(OR(G369="",I369="",G369=0),"",I369-G369)</f>
        <v/>
      </c>
      <c r="K369" s="120">
        <f>IF(G369="","",IF(G369=0,"不適用",IF(I369="","待評核",IF(I369&gt;=G369,IF(I369&gt;G369,"超越","達標"),"待發展"))))</f>
        <v/>
      </c>
      <c r="L369" s="91" t="n"/>
      <c r="M369" s="91" t="n"/>
      <c r="N369" s="88" t="n"/>
    </row>
    <row r="370" ht="15.75" customHeight="1" s="64">
      <c r="A370" s="88" t="n"/>
      <c r="B370" s="120">
        <f t="array" ref="B370:B370">IF(A370="","",IFERROR(INDEX('3.員工名單'!$B:$B,MATCH(A370,'3.員工名單'!$A:$A,0)),"查無此員工"))</f>
        <v/>
      </c>
      <c r="C370" s="120">
        <f t="array" ref="C370:C370">IF(A370="","",IFERROR(INDEX('3.員工名單'!$C:$C,MATCH(A370,'3.員工名單'!$A:$A,0)),""))</f>
        <v/>
      </c>
      <c r="D370" s="120">
        <f t="array" ref="D370:D370">IF(A370="","",IFERROR(INDEX('3.員工名單'!$D:$D,MATCH(A370,'3.員工名單'!$A:$A,0)),""))</f>
        <v/>
      </c>
      <c r="E370" s="120">
        <f t="array" ref="E370:E370">IF(F370="","",IFERROR(INDEX('1.職能辭典'!$A:$A,MATCH(F370,'1.職能辭典'!$C:$C,0)),""))</f>
        <v/>
      </c>
      <c r="F370" s="94" t="n"/>
      <c r="G370" s="120">
        <f t="array" ref="G370:G370">IF(OR(D370="",F370=""),"",IFERROR(IF(AND(OR(INDEX('1.職能辭典'!$J:$J,MATCH(F370,'1.職能辭典'!$C:$C,0))="全部",INDEX('3.員工名單'!$H:$H,MATCH(A370,'3.員工名單'!$A:$A,0))="兩款共用",INDEX('3.員工名單'!$H:$H,MATCH(A370,'3.員工名單'!$A:$A,0))=INDEX('1.職能辭典'!$J:$J,MATCH(F370,'1.職能辭典'!$C:$C,0))),OR(INDEX('1.職能辭典'!$K:$K,MATCH(F370,'1.職能辭典'!$C:$C,0))="全部",SUMPRODUCT(ISNUMBER(SEARCH({"經營","管理","財務","企劃","營運","技術","數據","美術","測試","客服"},INDEX('3.員工名單'!$I:$I,MATCH(A370,'3.員工名單'!$A:$A,0))))*ISNUMBER(SEARCH({"經營","管理","財務","企劃","營運","技術","數據","美術","測試","客服"},INDEX('1.職能辭典'!$K:$K,MATCH(F370,'1.職能辭典'!$C:$C,0)))))&gt;0)),INDEX('2.職務職能需求'!$B$2:$F$28,MATCH(F370,'2.職務職能需求'!$A$2:$A$28,0),MATCH(D370,'2.職務職能需求'!$B$1:$F$1,0)),0),""))</f>
        <v/>
      </c>
      <c r="H370" s="94" t="n"/>
      <c r="I370" s="94" t="n"/>
      <c r="J370" s="120">
        <f>IF(OR(G370="",I370="",G370=0),"",I370-G370)</f>
        <v/>
      </c>
      <c r="K370" s="120">
        <f>IF(G370="","",IF(G370=0,"不適用",IF(I370="","待評核",IF(I370&gt;=G370,IF(I370&gt;G370,"超越","達標"),"待發展"))))</f>
        <v/>
      </c>
      <c r="L370" s="91" t="n"/>
      <c r="M370" s="91" t="n"/>
      <c r="N370" s="88" t="n"/>
    </row>
    <row r="371" ht="15.75" customHeight="1" s="64">
      <c r="A371" s="88" t="n"/>
      <c r="B371" s="120">
        <f t="array" ref="B371:B371">IF(A371="","",IFERROR(INDEX('3.員工名單'!$B:$B,MATCH(A371,'3.員工名單'!$A:$A,0)),"查無此員工"))</f>
        <v/>
      </c>
      <c r="C371" s="120">
        <f t="array" ref="C371:C371">IF(A371="","",IFERROR(INDEX('3.員工名單'!$C:$C,MATCH(A371,'3.員工名單'!$A:$A,0)),""))</f>
        <v/>
      </c>
      <c r="D371" s="120">
        <f t="array" ref="D371:D371">IF(A371="","",IFERROR(INDEX('3.員工名單'!$D:$D,MATCH(A371,'3.員工名單'!$A:$A,0)),""))</f>
        <v/>
      </c>
      <c r="E371" s="120">
        <f t="array" ref="E371:E371">IF(F371="","",IFERROR(INDEX('1.職能辭典'!$A:$A,MATCH(F371,'1.職能辭典'!$C:$C,0)),""))</f>
        <v/>
      </c>
      <c r="F371" s="94" t="n"/>
      <c r="G371" s="120">
        <f t="array" ref="G371:G371">IF(OR(D371="",F371=""),"",IFERROR(IF(AND(OR(INDEX('1.職能辭典'!$J:$J,MATCH(F371,'1.職能辭典'!$C:$C,0))="全部",INDEX('3.員工名單'!$H:$H,MATCH(A371,'3.員工名單'!$A:$A,0))="兩款共用",INDEX('3.員工名單'!$H:$H,MATCH(A371,'3.員工名單'!$A:$A,0))=INDEX('1.職能辭典'!$J:$J,MATCH(F371,'1.職能辭典'!$C:$C,0))),OR(INDEX('1.職能辭典'!$K:$K,MATCH(F371,'1.職能辭典'!$C:$C,0))="全部",SUMPRODUCT(ISNUMBER(SEARCH({"經營","管理","財務","企劃","營運","技術","數據","美術","測試","客服"},INDEX('3.員工名單'!$I:$I,MATCH(A371,'3.員工名單'!$A:$A,0))))*ISNUMBER(SEARCH({"經營","管理","財務","企劃","營運","技術","數據","美術","測試","客服"},INDEX('1.職能辭典'!$K:$K,MATCH(F371,'1.職能辭典'!$C:$C,0)))))&gt;0)),INDEX('2.職務職能需求'!$B$2:$F$28,MATCH(F371,'2.職務職能需求'!$A$2:$A$28,0),MATCH(D371,'2.職務職能需求'!$B$1:$F$1,0)),0),""))</f>
        <v/>
      </c>
      <c r="H371" s="94" t="n"/>
      <c r="I371" s="94" t="n"/>
      <c r="J371" s="120">
        <f>IF(OR(G371="",I371="",G371=0),"",I371-G371)</f>
        <v/>
      </c>
      <c r="K371" s="120">
        <f>IF(G371="","",IF(G371=0,"不適用",IF(I371="","待評核",IF(I371&gt;=G371,IF(I371&gt;G371,"超越","達標"),"待發展"))))</f>
        <v/>
      </c>
      <c r="L371" s="91" t="n"/>
      <c r="M371" s="91" t="n"/>
      <c r="N371" s="88" t="n"/>
    </row>
    <row r="372" ht="15.75" customHeight="1" s="64">
      <c r="A372" s="88" t="n"/>
      <c r="B372" s="120">
        <f t="array" ref="B372:B372">IF(A372="","",IFERROR(INDEX('3.員工名單'!$B:$B,MATCH(A372,'3.員工名單'!$A:$A,0)),"查無此員工"))</f>
        <v/>
      </c>
      <c r="C372" s="120">
        <f t="array" ref="C372:C372">IF(A372="","",IFERROR(INDEX('3.員工名單'!$C:$C,MATCH(A372,'3.員工名單'!$A:$A,0)),""))</f>
        <v/>
      </c>
      <c r="D372" s="120">
        <f t="array" ref="D372:D372">IF(A372="","",IFERROR(INDEX('3.員工名單'!$D:$D,MATCH(A372,'3.員工名單'!$A:$A,0)),""))</f>
        <v/>
      </c>
      <c r="E372" s="120">
        <f t="array" ref="E372:E372">IF(F372="","",IFERROR(INDEX('1.職能辭典'!$A:$A,MATCH(F372,'1.職能辭典'!$C:$C,0)),""))</f>
        <v/>
      </c>
      <c r="F372" s="94" t="n"/>
      <c r="G372" s="120">
        <f t="array" ref="G372:G372">IF(OR(D372="",F372=""),"",IFERROR(IF(AND(OR(INDEX('1.職能辭典'!$J:$J,MATCH(F372,'1.職能辭典'!$C:$C,0))="全部",INDEX('3.員工名單'!$H:$H,MATCH(A372,'3.員工名單'!$A:$A,0))="兩款共用",INDEX('3.員工名單'!$H:$H,MATCH(A372,'3.員工名單'!$A:$A,0))=INDEX('1.職能辭典'!$J:$J,MATCH(F372,'1.職能辭典'!$C:$C,0))),OR(INDEX('1.職能辭典'!$K:$K,MATCH(F372,'1.職能辭典'!$C:$C,0))="全部",SUMPRODUCT(ISNUMBER(SEARCH({"經營","管理","財務","企劃","營運","技術","數據","美術","測試","客服"},INDEX('3.員工名單'!$I:$I,MATCH(A372,'3.員工名單'!$A:$A,0))))*ISNUMBER(SEARCH({"經營","管理","財務","企劃","營運","技術","數據","美術","測試","客服"},INDEX('1.職能辭典'!$K:$K,MATCH(F372,'1.職能辭典'!$C:$C,0)))))&gt;0)),INDEX('2.職務職能需求'!$B$2:$F$28,MATCH(F372,'2.職務職能需求'!$A$2:$A$28,0),MATCH(D372,'2.職務職能需求'!$B$1:$F$1,0)),0),""))</f>
        <v/>
      </c>
      <c r="H372" s="94" t="n"/>
      <c r="I372" s="94" t="n"/>
      <c r="J372" s="120">
        <f>IF(OR(G372="",I372="",G372=0),"",I372-G372)</f>
        <v/>
      </c>
      <c r="K372" s="120">
        <f>IF(G372="","",IF(G372=0,"不適用",IF(I372="","待評核",IF(I372&gt;=G372,IF(I372&gt;G372,"超越","達標"),"待發展"))))</f>
        <v/>
      </c>
      <c r="L372" s="91" t="n"/>
      <c r="M372" s="91" t="n"/>
      <c r="N372" s="88" t="n"/>
    </row>
    <row r="373" ht="15.75" customHeight="1" s="64">
      <c r="A373" s="88" t="n"/>
      <c r="B373" s="120">
        <f t="array" ref="B373:B373">IF(A373="","",IFERROR(INDEX('3.員工名單'!$B:$B,MATCH(A373,'3.員工名單'!$A:$A,0)),"查無此員工"))</f>
        <v/>
      </c>
      <c r="C373" s="120">
        <f t="array" ref="C373:C373">IF(A373="","",IFERROR(INDEX('3.員工名單'!$C:$C,MATCH(A373,'3.員工名單'!$A:$A,0)),""))</f>
        <v/>
      </c>
      <c r="D373" s="120">
        <f t="array" ref="D373:D373">IF(A373="","",IFERROR(INDEX('3.員工名單'!$D:$D,MATCH(A373,'3.員工名單'!$A:$A,0)),""))</f>
        <v/>
      </c>
      <c r="E373" s="120">
        <f t="array" ref="E373:E373">IF(F373="","",IFERROR(INDEX('1.職能辭典'!$A:$A,MATCH(F373,'1.職能辭典'!$C:$C,0)),""))</f>
        <v/>
      </c>
      <c r="F373" s="94" t="n"/>
      <c r="G373" s="120">
        <f t="array" ref="G373:G373">IF(OR(D373="",F373=""),"",IFERROR(IF(AND(OR(INDEX('1.職能辭典'!$J:$J,MATCH(F373,'1.職能辭典'!$C:$C,0))="全部",INDEX('3.員工名單'!$H:$H,MATCH(A373,'3.員工名單'!$A:$A,0))="兩款共用",INDEX('3.員工名單'!$H:$H,MATCH(A373,'3.員工名單'!$A:$A,0))=INDEX('1.職能辭典'!$J:$J,MATCH(F373,'1.職能辭典'!$C:$C,0))),OR(INDEX('1.職能辭典'!$K:$K,MATCH(F373,'1.職能辭典'!$C:$C,0))="全部",SUMPRODUCT(ISNUMBER(SEARCH({"經營","管理","財務","企劃","營運","技術","數據","美術","測試","客服"},INDEX('3.員工名單'!$I:$I,MATCH(A373,'3.員工名單'!$A:$A,0))))*ISNUMBER(SEARCH({"經營","管理","財務","企劃","營運","技術","數據","美術","測試","客服"},INDEX('1.職能辭典'!$K:$K,MATCH(F373,'1.職能辭典'!$C:$C,0)))))&gt;0)),INDEX('2.職務職能需求'!$B$2:$F$28,MATCH(F373,'2.職務職能需求'!$A$2:$A$28,0),MATCH(D373,'2.職務職能需求'!$B$1:$F$1,0)),0),""))</f>
        <v/>
      </c>
      <c r="H373" s="94" t="n"/>
      <c r="I373" s="94" t="n"/>
      <c r="J373" s="120">
        <f>IF(OR(G373="",I373="",G373=0),"",I373-G373)</f>
        <v/>
      </c>
      <c r="K373" s="120">
        <f>IF(G373="","",IF(G373=0,"不適用",IF(I373="","待評核",IF(I373&gt;=G373,IF(I373&gt;G373,"超越","達標"),"待發展"))))</f>
        <v/>
      </c>
      <c r="L373" s="91" t="n"/>
      <c r="M373" s="91" t="n"/>
      <c r="N373" s="88" t="n"/>
    </row>
    <row r="374" ht="15.75" customHeight="1" s="64">
      <c r="A374" s="88" t="n"/>
      <c r="B374" s="120">
        <f t="array" ref="B374:B374">IF(A374="","",IFERROR(INDEX('3.員工名單'!$B:$B,MATCH(A374,'3.員工名單'!$A:$A,0)),"查無此員工"))</f>
        <v/>
      </c>
      <c r="C374" s="120">
        <f t="array" ref="C374:C374">IF(A374="","",IFERROR(INDEX('3.員工名單'!$C:$C,MATCH(A374,'3.員工名單'!$A:$A,0)),""))</f>
        <v/>
      </c>
      <c r="D374" s="120">
        <f t="array" ref="D374:D374">IF(A374="","",IFERROR(INDEX('3.員工名單'!$D:$D,MATCH(A374,'3.員工名單'!$A:$A,0)),""))</f>
        <v/>
      </c>
      <c r="E374" s="120">
        <f t="array" ref="E374:E374">IF(F374="","",IFERROR(INDEX('1.職能辭典'!$A:$A,MATCH(F374,'1.職能辭典'!$C:$C,0)),""))</f>
        <v/>
      </c>
      <c r="F374" s="94" t="n"/>
      <c r="G374" s="120">
        <f t="array" ref="G374:G374">IF(OR(D374="",F374=""),"",IFERROR(IF(AND(OR(INDEX('1.職能辭典'!$J:$J,MATCH(F374,'1.職能辭典'!$C:$C,0))="全部",INDEX('3.員工名單'!$H:$H,MATCH(A374,'3.員工名單'!$A:$A,0))="兩款共用",INDEX('3.員工名單'!$H:$H,MATCH(A374,'3.員工名單'!$A:$A,0))=INDEX('1.職能辭典'!$J:$J,MATCH(F374,'1.職能辭典'!$C:$C,0))),OR(INDEX('1.職能辭典'!$K:$K,MATCH(F374,'1.職能辭典'!$C:$C,0))="全部",SUMPRODUCT(ISNUMBER(SEARCH({"經營","管理","財務","企劃","營運","技術","數據","美術","測試","客服"},INDEX('3.員工名單'!$I:$I,MATCH(A374,'3.員工名單'!$A:$A,0))))*ISNUMBER(SEARCH({"經營","管理","財務","企劃","營運","技術","數據","美術","測試","客服"},INDEX('1.職能辭典'!$K:$K,MATCH(F374,'1.職能辭典'!$C:$C,0)))))&gt;0)),INDEX('2.職務職能需求'!$B$2:$F$28,MATCH(F374,'2.職務職能需求'!$A$2:$A$28,0),MATCH(D374,'2.職務職能需求'!$B$1:$F$1,0)),0),""))</f>
        <v/>
      </c>
      <c r="H374" s="94" t="n"/>
      <c r="I374" s="94" t="n"/>
      <c r="J374" s="120">
        <f>IF(OR(G374="",I374="",G374=0),"",I374-G374)</f>
        <v/>
      </c>
      <c r="K374" s="120">
        <f>IF(G374="","",IF(G374=0,"不適用",IF(I374="","待評核",IF(I374&gt;=G374,IF(I374&gt;G374,"超越","達標"),"待發展"))))</f>
        <v/>
      </c>
      <c r="L374" s="91" t="n"/>
      <c r="M374" s="91" t="n"/>
      <c r="N374" s="88" t="n"/>
    </row>
    <row r="375" ht="15.75" customHeight="1" s="64">
      <c r="A375" s="88" t="n"/>
      <c r="B375" s="120">
        <f t="array" ref="B375:B375">IF(A375="","",IFERROR(INDEX('3.員工名單'!$B:$B,MATCH(A375,'3.員工名單'!$A:$A,0)),"查無此員工"))</f>
        <v/>
      </c>
      <c r="C375" s="120">
        <f t="array" ref="C375:C375">IF(A375="","",IFERROR(INDEX('3.員工名單'!$C:$C,MATCH(A375,'3.員工名單'!$A:$A,0)),""))</f>
        <v/>
      </c>
      <c r="D375" s="120">
        <f t="array" ref="D375:D375">IF(A375="","",IFERROR(INDEX('3.員工名單'!$D:$D,MATCH(A375,'3.員工名單'!$A:$A,0)),""))</f>
        <v/>
      </c>
      <c r="E375" s="120">
        <f t="array" ref="E375:E375">IF(F375="","",IFERROR(INDEX('1.職能辭典'!$A:$A,MATCH(F375,'1.職能辭典'!$C:$C,0)),""))</f>
        <v/>
      </c>
      <c r="F375" s="94" t="n"/>
      <c r="G375" s="120">
        <f t="array" ref="G375:G375">IF(OR(D375="",F375=""),"",IFERROR(IF(AND(OR(INDEX('1.職能辭典'!$J:$J,MATCH(F375,'1.職能辭典'!$C:$C,0))="全部",INDEX('3.員工名單'!$H:$H,MATCH(A375,'3.員工名單'!$A:$A,0))="兩款共用",INDEX('3.員工名單'!$H:$H,MATCH(A375,'3.員工名單'!$A:$A,0))=INDEX('1.職能辭典'!$J:$J,MATCH(F375,'1.職能辭典'!$C:$C,0))),OR(INDEX('1.職能辭典'!$K:$K,MATCH(F375,'1.職能辭典'!$C:$C,0))="全部",SUMPRODUCT(ISNUMBER(SEARCH({"經營","管理","財務","企劃","營運","技術","數據","美術","測試","客服"},INDEX('3.員工名單'!$I:$I,MATCH(A375,'3.員工名單'!$A:$A,0))))*ISNUMBER(SEARCH({"經營","管理","財務","企劃","營運","技術","數據","美術","測試","客服"},INDEX('1.職能辭典'!$K:$K,MATCH(F375,'1.職能辭典'!$C:$C,0)))))&gt;0)),INDEX('2.職務職能需求'!$B$2:$F$28,MATCH(F375,'2.職務職能需求'!$A$2:$A$28,0),MATCH(D375,'2.職務職能需求'!$B$1:$F$1,0)),0),""))</f>
        <v/>
      </c>
      <c r="H375" s="94" t="n"/>
      <c r="I375" s="94" t="n"/>
      <c r="J375" s="120">
        <f>IF(OR(G375="",I375="",G375=0),"",I375-G375)</f>
        <v/>
      </c>
      <c r="K375" s="120">
        <f>IF(G375="","",IF(G375=0,"不適用",IF(I375="","待評核",IF(I375&gt;=G375,IF(I375&gt;G375,"超越","達標"),"待發展"))))</f>
        <v/>
      </c>
      <c r="L375" s="91" t="n"/>
      <c r="M375" s="91" t="n"/>
      <c r="N375" s="88" t="n"/>
    </row>
    <row r="376" ht="15.75" customHeight="1" s="64">
      <c r="A376" s="88" t="n"/>
      <c r="B376" s="120">
        <f t="array" ref="B376:B376">IF(A376="","",IFERROR(INDEX('3.員工名單'!$B:$B,MATCH(A376,'3.員工名單'!$A:$A,0)),"查無此員工"))</f>
        <v/>
      </c>
      <c r="C376" s="120">
        <f t="array" ref="C376:C376">IF(A376="","",IFERROR(INDEX('3.員工名單'!$C:$C,MATCH(A376,'3.員工名單'!$A:$A,0)),""))</f>
        <v/>
      </c>
      <c r="D376" s="120">
        <f t="array" ref="D376:D376">IF(A376="","",IFERROR(INDEX('3.員工名單'!$D:$D,MATCH(A376,'3.員工名單'!$A:$A,0)),""))</f>
        <v/>
      </c>
      <c r="E376" s="120">
        <f t="array" ref="E376:E376">IF(F376="","",IFERROR(INDEX('1.職能辭典'!$A:$A,MATCH(F376,'1.職能辭典'!$C:$C,0)),""))</f>
        <v/>
      </c>
      <c r="F376" s="94" t="n"/>
      <c r="G376" s="120">
        <f t="array" ref="G376:G376">IF(OR(D376="",F376=""),"",IFERROR(IF(AND(OR(INDEX('1.職能辭典'!$J:$J,MATCH(F376,'1.職能辭典'!$C:$C,0))="全部",INDEX('3.員工名單'!$H:$H,MATCH(A376,'3.員工名單'!$A:$A,0))="兩款共用",INDEX('3.員工名單'!$H:$H,MATCH(A376,'3.員工名單'!$A:$A,0))=INDEX('1.職能辭典'!$J:$J,MATCH(F376,'1.職能辭典'!$C:$C,0))),OR(INDEX('1.職能辭典'!$K:$K,MATCH(F376,'1.職能辭典'!$C:$C,0))="全部",SUMPRODUCT(ISNUMBER(SEARCH({"經營","管理","財務","企劃","營運","技術","數據","美術","測試","客服"},INDEX('3.員工名單'!$I:$I,MATCH(A376,'3.員工名單'!$A:$A,0))))*ISNUMBER(SEARCH({"經營","管理","財務","企劃","營運","技術","數據","美術","測試","客服"},INDEX('1.職能辭典'!$K:$K,MATCH(F376,'1.職能辭典'!$C:$C,0)))))&gt;0)),INDEX('2.職務職能需求'!$B$2:$F$28,MATCH(F376,'2.職務職能需求'!$A$2:$A$28,0),MATCH(D376,'2.職務職能需求'!$B$1:$F$1,0)),0),""))</f>
        <v/>
      </c>
      <c r="H376" s="94" t="n"/>
      <c r="I376" s="94" t="n"/>
      <c r="J376" s="120">
        <f>IF(OR(G376="",I376="",G376=0),"",I376-G376)</f>
        <v/>
      </c>
      <c r="K376" s="120">
        <f>IF(G376="","",IF(G376=0,"不適用",IF(I376="","待評核",IF(I376&gt;=G376,IF(I376&gt;G376,"超越","達標"),"待發展"))))</f>
        <v/>
      </c>
      <c r="L376" s="91" t="n"/>
      <c r="M376" s="91" t="n"/>
      <c r="N376" s="88" t="n"/>
    </row>
    <row r="377" ht="15.75" customHeight="1" s="64">
      <c r="A377" s="88" t="n"/>
      <c r="B377" s="120">
        <f t="array" ref="B377:B377">IF(A377="","",IFERROR(INDEX('3.員工名單'!$B:$B,MATCH(A377,'3.員工名單'!$A:$A,0)),"查無此員工"))</f>
        <v/>
      </c>
      <c r="C377" s="120">
        <f t="array" ref="C377:C377">IF(A377="","",IFERROR(INDEX('3.員工名單'!$C:$C,MATCH(A377,'3.員工名單'!$A:$A,0)),""))</f>
        <v/>
      </c>
      <c r="D377" s="120">
        <f t="array" ref="D377:D377">IF(A377="","",IFERROR(INDEX('3.員工名單'!$D:$D,MATCH(A377,'3.員工名單'!$A:$A,0)),""))</f>
        <v/>
      </c>
      <c r="E377" s="120">
        <f t="array" ref="E377:E377">IF(F377="","",IFERROR(INDEX('1.職能辭典'!$A:$A,MATCH(F377,'1.職能辭典'!$C:$C,0)),""))</f>
        <v/>
      </c>
      <c r="F377" s="94" t="n"/>
      <c r="G377" s="120">
        <f t="array" ref="G377:G377">IF(OR(D377="",F377=""),"",IFERROR(IF(AND(OR(INDEX('1.職能辭典'!$J:$J,MATCH(F377,'1.職能辭典'!$C:$C,0))="全部",INDEX('3.員工名單'!$H:$H,MATCH(A377,'3.員工名單'!$A:$A,0))="兩款共用",INDEX('3.員工名單'!$H:$H,MATCH(A377,'3.員工名單'!$A:$A,0))=INDEX('1.職能辭典'!$J:$J,MATCH(F377,'1.職能辭典'!$C:$C,0))),OR(INDEX('1.職能辭典'!$K:$K,MATCH(F377,'1.職能辭典'!$C:$C,0))="全部",SUMPRODUCT(ISNUMBER(SEARCH({"經營","管理","財務","企劃","營運","技術","數據","美術","測試","客服"},INDEX('3.員工名單'!$I:$I,MATCH(A377,'3.員工名單'!$A:$A,0))))*ISNUMBER(SEARCH({"經營","管理","財務","企劃","營運","技術","數據","美術","測試","客服"},INDEX('1.職能辭典'!$K:$K,MATCH(F377,'1.職能辭典'!$C:$C,0)))))&gt;0)),INDEX('2.職務職能需求'!$B$2:$F$28,MATCH(F377,'2.職務職能需求'!$A$2:$A$28,0),MATCH(D377,'2.職務職能需求'!$B$1:$F$1,0)),0),""))</f>
        <v/>
      </c>
      <c r="H377" s="94" t="n"/>
      <c r="I377" s="94" t="n"/>
      <c r="J377" s="120">
        <f>IF(OR(G377="",I377="",G377=0),"",I377-G377)</f>
        <v/>
      </c>
      <c r="K377" s="120">
        <f>IF(G377="","",IF(G377=0,"不適用",IF(I377="","待評核",IF(I377&gt;=G377,IF(I377&gt;G377,"超越","達標"),"待發展"))))</f>
        <v/>
      </c>
      <c r="L377" s="91" t="n"/>
      <c r="M377" s="91" t="n"/>
      <c r="N377" s="88" t="n"/>
    </row>
    <row r="378" ht="15.75" customHeight="1" s="64">
      <c r="A378" s="88" t="n"/>
      <c r="B378" s="120">
        <f t="array" ref="B378:B378">IF(A378="","",IFERROR(INDEX('3.員工名單'!$B:$B,MATCH(A378,'3.員工名單'!$A:$A,0)),"查無此員工"))</f>
        <v/>
      </c>
      <c r="C378" s="120">
        <f t="array" ref="C378:C378">IF(A378="","",IFERROR(INDEX('3.員工名單'!$C:$C,MATCH(A378,'3.員工名單'!$A:$A,0)),""))</f>
        <v/>
      </c>
      <c r="D378" s="120">
        <f t="array" ref="D378:D378">IF(A378="","",IFERROR(INDEX('3.員工名單'!$D:$D,MATCH(A378,'3.員工名單'!$A:$A,0)),""))</f>
        <v/>
      </c>
      <c r="E378" s="120">
        <f t="array" ref="E378:E378">IF(F378="","",IFERROR(INDEX('1.職能辭典'!$A:$A,MATCH(F378,'1.職能辭典'!$C:$C,0)),""))</f>
        <v/>
      </c>
      <c r="F378" s="94" t="n"/>
      <c r="G378" s="120">
        <f t="array" ref="G378:G378">IF(OR(D378="",F378=""),"",IFERROR(IF(AND(OR(INDEX('1.職能辭典'!$J:$J,MATCH(F378,'1.職能辭典'!$C:$C,0))="全部",INDEX('3.員工名單'!$H:$H,MATCH(A378,'3.員工名單'!$A:$A,0))="兩款共用",INDEX('3.員工名單'!$H:$H,MATCH(A378,'3.員工名單'!$A:$A,0))=INDEX('1.職能辭典'!$J:$J,MATCH(F378,'1.職能辭典'!$C:$C,0))),OR(INDEX('1.職能辭典'!$K:$K,MATCH(F378,'1.職能辭典'!$C:$C,0))="全部",SUMPRODUCT(ISNUMBER(SEARCH({"經營","管理","財務","企劃","營運","技術","數據","美術","測試","客服"},INDEX('3.員工名單'!$I:$I,MATCH(A378,'3.員工名單'!$A:$A,0))))*ISNUMBER(SEARCH({"經營","管理","財務","企劃","營運","技術","數據","美術","測試","客服"},INDEX('1.職能辭典'!$K:$K,MATCH(F378,'1.職能辭典'!$C:$C,0)))))&gt;0)),INDEX('2.職務職能需求'!$B$2:$F$28,MATCH(F378,'2.職務職能需求'!$A$2:$A$28,0),MATCH(D378,'2.職務職能需求'!$B$1:$F$1,0)),0),""))</f>
        <v/>
      </c>
      <c r="H378" s="94" t="n"/>
      <c r="I378" s="94" t="n"/>
      <c r="J378" s="120">
        <f>IF(OR(G378="",I378="",G378=0),"",I378-G378)</f>
        <v/>
      </c>
      <c r="K378" s="120">
        <f>IF(G378="","",IF(G378=0,"不適用",IF(I378="","待評核",IF(I378&gt;=G378,IF(I378&gt;G378,"超越","達標"),"待發展"))))</f>
        <v/>
      </c>
      <c r="L378" s="91" t="n"/>
      <c r="M378" s="91" t="n"/>
      <c r="N378" s="88" t="n"/>
    </row>
    <row r="379" ht="15.75" customHeight="1" s="64">
      <c r="A379" s="88" t="n"/>
      <c r="B379" s="120">
        <f t="array" ref="B379:B379">IF(A379="","",IFERROR(INDEX('3.員工名單'!$B:$B,MATCH(A379,'3.員工名單'!$A:$A,0)),"查無此員工"))</f>
        <v/>
      </c>
      <c r="C379" s="120">
        <f t="array" ref="C379:C379">IF(A379="","",IFERROR(INDEX('3.員工名單'!$C:$C,MATCH(A379,'3.員工名單'!$A:$A,0)),""))</f>
        <v/>
      </c>
      <c r="D379" s="120">
        <f t="array" ref="D379:D379">IF(A379="","",IFERROR(INDEX('3.員工名單'!$D:$D,MATCH(A379,'3.員工名單'!$A:$A,0)),""))</f>
        <v/>
      </c>
      <c r="E379" s="120">
        <f t="array" ref="E379:E379">IF(F379="","",IFERROR(INDEX('1.職能辭典'!$A:$A,MATCH(F379,'1.職能辭典'!$C:$C,0)),""))</f>
        <v/>
      </c>
      <c r="F379" s="94" t="n"/>
      <c r="G379" s="120">
        <f t="array" ref="G379:G379">IF(OR(D379="",F379=""),"",IFERROR(IF(AND(OR(INDEX('1.職能辭典'!$J:$J,MATCH(F379,'1.職能辭典'!$C:$C,0))="全部",INDEX('3.員工名單'!$H:$H,MATCH(A379,'3.員工名單'!$A:$A,0))="兩款共用",INDEX('3.員工名單'!$H:$H,MATCH(A379,'3.員工名單'!$A:$A,0))=INDEX('1.職能辭典'!$J:$J,MATCH(F379,'1.職能辭典'!$C:$C,0))),OR(INDEX('1.職能辭典'!$K:$K,MATCH(F379,'1.職能辭典'!$C:$C,0))="全部",SUMPRODUCT(ISNUMBER(SEARCH({"經營","管理","財務","企劃","營運","技術","數據","美術","測試","客服"},INDEX('3.員工名單'!$I:$I,MATCH(A379,'3.員工名單'!$A:$A,0))))*ISNUMBER(SEARCH({"經營","管理","財務","企劃","營運","技術","數據","美術","測試","客服"},INDEX('1.職能辭典'!$K:$K,MATCH(F379,'1.職能辭典'!$C:$C,0)))))&gt;0)),INDEX('2.職務職能需求'!$B$2:$F$28,MATCH(F379,'2.職務職能需求'!$A$2:$A$28,0),MATCH(D379,'2.職務職能需求'!$B$1:$F$1,0)),0),""))</f>
        <v/>
      </c>
      <c r="H379" s="94" t="n"/>
      <c r="I379" s="94" t="n"/>
      <c r="J379" s="120">
        <f>IF(OR(G379="",I379="",G379=0),"",I379-G379)</f>
        <v/>
      </c>
      <c r="K379" s="120">
        <f>IF(G379="","",IF(G379=0,"不適用",IF(I379="","待評核",IF(I379&gt;=G379,IF(I379&gt;G379,"超越","達標"),"待發展"))))</f>
        <v/>
      </c>
      <c r="L379" s="91" t="n"/>
      <c r="M379" s="91" t="n"/>
      <c r="N379" s="88" t="n"/>
    </row>
    <row r="380" ht="15.75" customHeight="1" s="64">
      <c r="A380" s="88" t="n"/>
      <c r="B380" s="120">
        <f t="array" ref="B380:B380">IF(A380="","",IFERROR(INDEX('3.員工名單'!$B:$B,MATCH(A380,'3.員工名單'!$A:$A,0)),"查無此員工"))</f>
        <v/>
      </c>
      <c r="C380" s="120">
        <f t="array" ref="C380:C380">IF(A380="","",IFERROR(INDEX('3.員工名單'!$C:$C,MATCH(A380,'3.員工名單'!$A:$A,0)),""))</f>
        <v/>
      </c>
      <c r="D380" s="120">
        <f t="array" ref="D380:D380">IF(A380="","",IFERROR(INDEX('3.員工名單'!$D:$D,MATCH(A380,'3.員工名單'!$A:$A,0)),""))</f>
        <v/>
      </c>
      <c r="E380" s="120">
        <f t="array" ref="E380:E380">IF(F380="","",IFERROR(INDEX('1.職能辭典'!$A:$A,MATCH(F380,'1.職能辭典'!$C:$C,0)),""))</f>
        <v/>
      </c>
      <c r="F380" s="94" t="n"/>
      <c r="G380" s="120">
        <f t="array" ref="G380:G380">IF(OR(D380="",F380=""),"",IFERROR(IF(AND(OR(INDEX('1.職能辭典'!$J:$J,MATCH(F380,'1.職能辭典'!$C:$C,0))="全部",INDEX('3.員工名單'!$H:$H,MATCH(A380,'3.員工名單'!$A:$A,0))="兩款共用",INDEX('3.員工名單'!$H:$H,MATCH(A380,'3.員工名單'!$A:$A,0))=INDEX('1.職能辭典'!$J:$J,MATCH(F380,'1.職能辭典'!$C:$C,0))),OR(INDEX('1.職能辭典'!$K:$K,MATCH(F380,'1.職能辭典'!$C:$C,0))="全部",SUMPRODUCT(ISNUMBER(SEARCH({"經營","管理","財務","企劃","營運","技術","數據","美術","測試","客服"},INDEX('3.員工名單'!$I:$I,MATCH(A380,'3.員工名單'!$A:$A,0))))*ISNUMBER(SEARCH({"經營","管理","財務","企劃","營運","技術","數據","美術","測試","客服"},INDEX('1.職能辭典'!$K:$K,MATCH(F380,'1.職能辭典'!$C:$C,0)))))&gt;0)),INDEX('2.職務職能需求'!$B$2:$F$28,MATCH(F380,'2.職務職能需求'!$A$2:$A$28,0),MATCH(D380,'2.職務職能需求'!$B$1:$F$1,0)),0),""))</f>
        <v/>
      </c>
      <c r="H380" s="94" t="n"/>
      <c r="I380" s="94" t="n"/>
      <c r="J380" s="120">
        <f>IF(OR(G380="",I380="",G380=0),"",I380-G380)</f>
        <v/>
      </c>
      <c r="K380" s="120">
        <f>IF(G380="","",IF(G380=0,"不適用",IF(I380="","待評核",IF(I380&gt;=G380,IF(I380&gt;G380,"超越","達標"),"待發展"))))</f>
        <v/>
      </c>
      <c r="L380" s="91" t="n"/>
      <c r="M380" s="91" t="n"/>
      <c r="N380" s="88" t="n"/>
    </row>
    <row r="381" ht="15.75" customHeight="1" s="64">
      <c r="A381" s="88" t="n"/>
      <c r="B381" s="120">
        <f t="array" ref="B381:B381">IF(A381="","",IFERROR(INDEX('3.員工名單'!$B:$B,MATCH(A381,'3.員工名單'!$A:$A,0)),"查無此員工"))</f>
        <v/>
      </c>
      <c r="C381" s="120">
        <f t="array" ref="C381:C381">IF(A381="","",IFERROR(INDEX('3.員工名單'!$C:$C,MATCH(A381,'3.員工名單'!$A:$A,0)),""))</f>
        <v/>
      </c>
      <c r="D381" s="120">
        <f t="array" ref="D381:D381">IF(A381="","",IFERROR(INDEX('3.員工名單'!$D:$D,MATCH(A381,'3.員工名單'!$A:$A,0)),""))</f>
        <v/>
      </c>
      <c r="E381" s="120">
        <f t="array" ref="E381:E381">IF(F381="","",IFERROR(INDEX('1.職能辭典'!$A:$A,MATCH(F381,'1.職能辭典'!$C:$C,0)),""))</f>
        <v/>
      </c>
      <c r="F381" s="94" t="n"/>
      <c r="G381" s="120">
        <f t="array" ref="G381:G381">IF(OR(D381="",F381=""),"",IFERROR(IF(AND(OR(INDEX('1.職能辭典'!$J:$J,MATCH(F381,'1.職能辭典'!$C:$C,0))="全部",INDEX('3.員工名單'!$H:$H,MATCH(A381,'3.員工名單'!$A:$A,0))="兩款共用",INDEX('3.員工名單'!$H:$H,MATCH(A381,'3.員工名單'!$A:$A,0))=INDEX('1.職能辭典'!$J:$J,MATCH(F381,'1.職能辭典'!$C:$C,0))),OR(INDEX('1.職能辭典'!$K:$K,MATCH(F381,'1.職能辭典'!$C:$C,0))="全部",SUMPRODUCT(ISNUMBER(SEARCH({"經營","管理","財務","企劃","營運","技術","數據","美術","測試","客服"},INDEX('3.員工名單'!$I:$I,MATCH(A381,'3.員工名單'!$A:$A,0))))*ISNUMBER(SEARCH({"經營","管理","財務","企劃","營運","技術","數據","美術","測試","客服"},INDEX('1.職能辭典'!$K:$K,MATCH(F381,'1.職能辭典'!$C:$C,0)))))&gt;0)),INDEX('2.職務職能需求'!$B$2:$F$28,MATCH(F381,'2.職務職能需求'!$A$2:$A$28,0),MATCH(D381,'2.職務職能需求'!$B$1:$F$1,0)),0),""))</f>
        <v/>
      </c>
      <c r="H381" s="94" t="n"/>
      <c r="I381" s="94" t="n"/>
      <c r="J381" s="120">
        <f>IF(OR(G381="",I381="",G381=0),"",I381-G381)</f>
        <v/>
      </c>
      <c r="K381" s="120">
        <f>IF(G381="","",IF(G381=0,"不適用",IF(I381="","待評核",IF(I381&gt;=G381,IF(I381&gt;G381,"超越","達標"),"待發展"))))</f>
        <v/>
      </c>
      <c r="L381" s="91" t="n"/>
      <c r="M381" s="91" t="n"/>
      <c r="N381" s="88" t="n"/>
    </row>
    <row r="382" ht="15.75" customHeight="1" s="64">
      <c r="A382" s="88" t="n"/>
      <c r="B382" s="120">
        <f t="array" ref="B382:B382">IF(A382="","",IFERROR(INDEX('3.員工名單'!$B:$B,MATCH(A382,'3.員工名單'!$A:$A,0)),"查無此員工"))</f>
        <v/>
      </c>
      <c r="C382" s="120">
        <f t="array" ref="C382:C382">IF(A382="","",IFERROR(INDEX('3.員工名單'!$C:$C,MATCH(A382,'3.員工名單'!$A:$A,0)),""))</f>
        <v/>
      </c>
      <c r="D382" s="120">
        <f t="array" ref="D382:D382">IF(A382="","",IFERROR(INDEX('3.員工名單'!$D:$D,MATCH(A382,'3.員工名單'!$A:$A,0)),""))</f>
        <v/>
      </c>
      <c r="E382" s="120">
        <f t="array" ref="E382:E382">IF(F382="","",IFERROR(INDEX('1.職能辭典'!$A:$A,MATCH(F382,'1.職能辭典'!$C:$C,0)),""))</f>
        <v/>
      </c>
      <c r="F382" s="94" t="n"/>
      <c r="G382" s="120">
        <f t="array" ref="G382:G382">IF(OR(D382="",F382=""),"",IFERROR(IF(AND(OR(INDEX('1.職能辭典'!$J:$J,MATCH(F382,'1.職能辭典'!$C:$C,0))="全部",INDEX('3.員工名單'!$H:$H,MATCH(A382,'3.員工名單'!$A:$A,0))="兩款共用",INDEX('3.員工名單'!$H:$H,MATCH(A382,'3.員工名單'!$A:$A,0))=INDEX('1.職能辭典'!$J:$J,MATCH(F382,'1.職能辭典'!$C:$C,0))),OR(INDEX('1.職能辭典'!$K:$K,MATCH(F382,'1.職能辭典'!$C:$C,0))="全部",SUMPRODUCT(ISNUMBER(SEARCH({"經營","管理","財務","企劃","營運","技術","數據","美術","測試","客服"},INDEX('3.員工名單'!$I:$I,MATCH(A382,'3.員工名單'!$A:$A,0))))*ISNUMBER(SEARCH({"經營","管理","財務","企劃","營運","技術","數據","美術","測試","客服"},INDEX('1.職能辭典'!$K:$K,MATCH(F382,'1.職能辭典'!$C:$C,0)))))&gt;0)),INDEX('2.職務職能需求'!$B$2:$F$28,MATCH(F382,'2.職務職能需求'!$A$2:$A$28,0),MATCH(D382,'2.職務職能需求'!$B$1:$F$1,0)),0),""))</f>
        <v/>
      </c>
      <c r="H382" s="94" t="n"/>
      <c r="I382" s="94" t="n"/>
      <c r="J382" s="120">
        <f>IF(OR(G382="",I382="",G382=0),"",I382-G382)</f>
        <v/>
      </c>
      <c r="K382" s="120">
        <f>IF(G382="","",IF(G382=0,"不適用",IF(I382="","待評核",IF(I382&gt;=G382,IF(I382&gt;G382,"超越","達標"),"待發展"))))</f>
        <v/>
      </c>
      <c r="L382" s="91" t="n"/>
      <c r="M382" s="91" t="n"/>
      <c r="N382" s="88" t="n"/>
    </row>
    <row r="383" ht="15.75" customHeight="1" s="64">
      <c r="A383" s="88" t="n"/>
      <c r="B383" s="120">
        <f t="array" ref="B383:B383">IF(A383="","",IFERROR(INDEX('3.員工名單'!$B:$B,MATCH(A383,'3.員工名單'!$A:$A,0)),"查無此員工"))</f>
        <v/>
      </c>
      <c r="C383" s="120">
        <f t="array" ref="C383:C383">IF(A383="","",IFERROR(INDEX('3.員工名單'!$C:$C,MATCH(A383,'3.員工名單'!$A:$A,0)),""))</f>
        <v/>
      </c>
      <c r="D383" s="120">
        <f t="array" ref="D383:D383">IF(A383="","",IFERROR(INDEX('3.員工名單'!$D:$D,MATCH(A383,'3.員工名單'!$A:$A,0)),""))</f>
        <v/>
      </c>
      <c r="E383" s="120">
        <f t="array" ref="E383:E383">IF(F383="","",IFERROR(INDEX('1.職能辭典'!$A:$A,MATCH(F383,'1.職能辭典'!$C:$C,0)),""))</f>
        <v/>
      </c>
      <c r="F383" s="94" t="n"/>
      <c r="G383" s="120">
        <f t="array" ref="G383:G383">IF(OR(D383="",F383=""),"",IFERROR(IF(AND(OR(INDEX('1.職能辭典'!$J:$J,MATCH(F383,'1.職能辭典'!$C:$C,0))="全部",INDEX('3.員工名單'!$H:$H,MATCH(A383,'3.員工名單'!$A:$A,0))="兩款共用",INDEX('3.員工名單'!$H:$H,MATCH(A383,'3.員工名單'!$A:$A,0))=INDEX('1.職能辭典'!$J:$J,MATCH(F383,'1.職能辭典'!$C:$C,0))),OR(INDEX('1.職能辭典'!$K:$K,MATCH(F383,'1.職能辭典'!$C:$C,0))="全部",SUMPRODUCT(ISNUMBER(SEARCH({"經營","管理","財務","企劃","營運","技術","數據","美術","測試","客服"},INDEX('3.員工名單'!$I:$I,MATCH(A383,'3.員工名單'!$A:$A,0))))*ISNUMBER(SEARCH({"經營","管理","財務","企劃","營運","技術","數據","美術","測試","客服"},INDEX('1.職能辭典'!$K:$K,MATCH(F383,'1.職能辭典'!$C:$C,0)))))&gt;0)),INDEX('2.職務職能需求'!$B$2:$F$28,MATCH(F383,'2.職務職能需求'!$A$2:$A$28,0),MATCH(D383,'2.職務職能需求'!$B$1:$F$1,0)),0),""))</f>
        <v/>
      </c>
      <c r="H383" s="94" t="n"/>
      <c r="I383" s="94" t="n"/>
      <c r="J383" s="120">
        <f>IF(OR(G383="",I383="",G383=0),"",I383-G383)</f>
        <v/>
      </c>
      <c r="K383" s="120">
        <f>IF(G383="","",IF(G383=0,"不適用",IF(I383="","待評核",IF(I383&gt;=G383,IF(I383&gt;G383,"超越","達標"),"待發展"))))</f>
        <v/>
      </c>
      <c r="L383" s="91" t="n"/>
      <c r="M383" s="91" t="n"/>
      <c r="N383" s="88" t="n"/>
    </row>
    <row r="384" ht="15.75" customHeight="1" s="64">
      <c r="A384" s="88" t="n"/>
      <c r="B384" s="120">
        <f t="array" ref="B384:B384">IF(A384="","",IFERROR(INDEX('3.員工名單'!$B:$B,MATCH(A384,'3.員工名單'!$A:$A,0)),"查無此員工"))</f>
        <v/>
      </c>
      <c r="C384" s="120">
        <f t="array" ref="C384:C384">IF(A384="","",IFERROR(INDEX('3.員工名單'!$C:$C,MATCH(A384,'3.員工名單'!$A:$A,0)),""))</f>
        <v/>
      </c>
      <c r="D384" s="120">
        <f t="array" ref="D384:D384">IF(A384="","",IFERROR(INDEX('3.員工名單'!$D:$D,MATCH(A384,'3.員工名單'!$A:$A,0)),""))</f>
        <v/>
      </c>
      <c r="E384" s="120">
        <f t="array" ref="E384:E384">IF(F384="","",IFERROR(INDEX('1.職能辭典'!$A:$A,MATCH(F384,'1.職能辭典'!$C:$C,0)),""))</f>
        <v/>
      </c>
      <c r="F384" s="94" t="n"/>
      <c r="G384" s="120">
        <f t="array" ref="G384:G384">IF(OR(D384="",F384=""),"",IFERROR(IF(AND(OR(INDEX('1.職能辭典'!$J:$J,MATCH(F384,'1.職能辭典'!$C:$C,0))="全部",INDEX('3.員工名單'!$H:$H,MATCH(A384,'3.員工名單'!$A:$A,0))="兩款共用",INDEX('3.員工名單'!$H:$H,MATCH(A384,'3.員工名單'!$A:$A,0))=INDEX('1.職能辭典'!$J:$J,MATCH(F384,'1.職能辭典'!$C:$C,0))),OR(INDEX('1.職能辭典'!$K:$K,MATCH(F384,'1.職能辭典'!$C:$C,0))="全部",SUMPRODUCT(ISNUMBER(SEARCH({"經營","管理","財務","企劃","營運","技術","數據","美術","測試","客服"},INDEX('3.員工名單'!$I:$I,MATCH(A384,'3.員工名單'!$A:$A,0))))*ISNUMBER(SEARCH({"經營","管理","財務","企劃","營運","技術","數據","美術","測試","客服"},INDEX('1.職能辭典'!$K:$K,MATCH(F384,'1.職能辭典'!$C:$C,0)))))&gt;0)),INDEX('2.職務職能需求'!$B$2:$F$28,MATCH(F384,'2.職務職能需求'!$A$2:$A$28,0),MATCH(D384,'2.職務職能需求'!$B$1:$F$1,0)),0),""))</f>
        <v/>
      </c>
      <c r="H384" s="94" t="n"/>
      <c r="I384" s="94" t="n"/>
      <c r="J384" s="120">
        <f>IF(OR(G384="",I384="",G384=0),"",I384-G384)</f>
        <v/>
      </c>
      <c r="K384" s="120">
        <f>IF(G384="","",IF(G384=0,"不適用",IF(I384="","待評核",IF(I384&gt;=G384,IF(I384&gt;G384,"超越","達標"),"待發展"))))</f>
        <v/>
      </c>
      <c r="L384" s="91" t="n"/>
      <c r="M384" s="91" t="n"/>
      <c r="N384" s="88" t="n"/>
    </row>
    <row r="385" ht="15.75" customHeight="1" s="64">
      <c r="A385" s="88" t="n"/>
      <c r="B385" s="120">
        <f t="array" ref="B385:B385">IF(A385="","",IFERROR(INDEX('3.員工名單'!$B:$B,MATCH(A385,'3.員工名單'!$A:$A,0)),"查無此員工"))</f>
        <v/>
      </c>
      <c r="C385" s="120">
        <f t="array" ref="C385:C385">IF(A385="","",IFERROR(INDEX('3.員工名單'!$C:$C,MATCH(A385,'3.員工名單'!$A:$A,0)),""))</f>
        <v/>
      </c>
      <c r="D385" s="120">
        <f t="array" ref="D385:D385">IF(A385="","",IFERROR(INDEX('3.員工名單'!$D:$D,MATCH(A385,'3.員工名單'!$A:$A,0)),""))</f>
        <v/>
      </c>
      <c r="E385" s="120">
        <f t="array" ref="E385:E385">IF(F385="","",IFERROR(INDEX('1.職能辭典'!$A:$A,MATCH(F385,'1.職能辭典'!$C:$C,0)),""))</f>
        <v/>
      </c>
      <c r="F385" s="94" t="n"/>
      <c r="G385" s="120">
        <f t="array" ref="G385:G385">IF(OR(D385="",F385=""),"",IFERROR(IF(AND(OR(INDEX('1.職能辭典'!$J:$J,MATCH(F385,'1.職能辭典'!$C:$C,0))="全部",INDEX('3.員工名單'!$H:$H,MATCH(A385,'3.員工名單'!$A:$A,0))="兩款共用",INDEX('3.員工名單'!$H:$H,MATCH(A385,'3.員工名單'!$A:$A,0))=INDEX('1.職能辭典'!$J:$J,MATCH(F385,'1.職能辭典'!$C:$C,0))),OR(INDEX('1.職能辭典'!$K:$K,MATCH(F385,'1.職能辭典'!$C:$C,0))="全部",SUMPRODUCT(ISNUMBER(SEARCH({"經營","管理","財務","企劃","營運","技術","數據","美術","測試","客服"},INDEX('3.員工名單'!$I:$I,MATCH(A385,'3.員工名單'!$A:$A,0))))*ISNUMBER(SEARCH({"經營","管理","財務","企劃","營運","技術","數據","美術","測試","客服"},INDEX('1.職能辭典'!$K:$K,MATCH(F385,'1.職能辭典'!$C:$C,0)))))&gt;0)),INDEX('2.職務職能需求'!$B$2:$F$28,MATCH(F385,'2.職務職能需求'!$A$2:$A$28,0),MATCH(D385,'2.職務職能需求'!$B$1:$F$1,0)),0),""))</f>
        <v/>
      </c>
      <c r="H385" s="94" t="n"/>
      <c r="I385" s="94" t="n"/>
      <c r="J385" s="120">
        <f>IF(OR(G385="",I385="",G385=0),"",I385-G385)</f>
        <v/>
      </c>
      <c r="K385" s="120">
        <f>IF(G385="","",IF(G385=0,"不適用",IF(I385="","待評核",IF(I385&gt;=G385,IF(I385&gt;G385,"超越","達標"),"待發展"))))</f>
        <v/>
      </c>
      <c r="L385" s="91" t="n"/>
      <c r="M385" s="91" t="n"/>
      <c r="N385" s="88" t="n"/>
    </row>
    <row r="386" ht="15.75" customHeight="1" s="64">
      <c r="A386" s="88" t="n"/>
      <c r="B386" s="120">
        <f t="array" ref="B386:B386">IF(A386="","",IFERROR(INDEX('3.員工名單'!$B:$B,MATCH(A386,'3.員工名單'!$A:$A,0)),"查無此員工"))</f>
        <v/>
      </c>
      <c r="C386" s="120">
        <f t="array" ref="C386:C386">IF(A386="","",IFERROR(INDEX('3.員工名單'!$C:$C,MATCH(A386,'3.員工名單'!$A:$A,0)),""))</f>
        <v/>
      </c>
      <c r="D386" s="120">
        <f t="array" ref="D386:D386">IF(A386="","",IFERROR(INDEX('3.員工名單'!$D:$D,MATCH(A386,'3.員工名單'!$A:$A,0)),""))</f>
        <v/>
      </c>
      <c r="E386" s="120">
        <f t="array" ref="E386:E386">IF(F386="","",IFERROR(INDEX('1.職能辭典'!$A:$A,MATCH(F386,'1.職能辭典'!$C:$C,0)),""))</f>
        <v/>
      </c>
      <c r="F386" s="94" t="n"/>
      <c r="G386" s="120">
        <f t="array" ref="G386:G386">IF(OR(D386="",F386=""),"",IFERROR(IF(AND(OR(INDEX('1.職能辭典'!$J:$J,MATCH(F386,'1.職能辭典'!$C:$C,0))="全部",INDEX('3.員工名單'!$H:$H,MATCH(A386,'3.員工名單'!$A:$A,0))="兩款共用",INDEX('3.員工名單'!$H:$H,MATCH(A386,'3.員工名單'!$A:$A,0))=INDEX('1.職能辭典'!$J:$J,MATCH(F386,'1.職能辭典'!$C:$C,0))),OR(INDEX('1.職能辭典'!$K:$K,MATCH(F386,'1.職能辭典'!$C:$C,0))="全部",SUMPRODUCT(ISNUMBER(SEARCH({"經營","管理","財務","企劃","營運","技術","數據","美術","測試","客服"},INDEX('3.員工名單'!$I:$I,MATCH(A386,'3.員工名單'!$A:$A,0))))*ISNUMBER(SEARCH({"經營","管理","財務","企劃","營運","技術","數據","美術","測試","客服"},INDEX('1.職能辭典'!$K:$K,MATCH(F386,'1.職能辭典'!$C:$C,0)))))&gt;0)),INDEX('2.職務職能需求'!$B$2:$F$28,MATCH(F386,'2.職務職能需求'!$A$2:$A$28,0),MATCH(D386,'2.職務職能需求'!$B$1:$F$1,0)),0),""))</f>
        <v/>
      </c>
      <c r="H386" s="94" t="n"/>
      <c r="I386" s="94" t="n"/>
      <c r="J386" s="120">
        <f>IF(OR(G386="",I386="",G386=0),"",I386-G386)</f>
        <v/>
      </c>
      <c r="K386" s="120">
        <f>IF(G386="","",IF(G386=0,"不適用",IF(I386="","待評核",IF(I386&gt;=G386,IF(I386&gt;G386,"超越","達標"),"待發展"))))</f>
        <v/>
      </c>
      <c r="L386" s="91" t="n"/>
      <c r="M386" s="91" t="n"/>
      <c r="N386" s="88" t="n"/>
    </row>
    <row r="387" ht="15.75" customHeight="1" s="64">
      <c r="A387" s="88" t="n"/>
      <c r="B387" s="120">
        <f t="array" ref="B387:B387">IF(A387="","",IFERROR(INDEX('3.員工名單'!$B:$B,MATCH(A387,'3.員工名單'!$A:$A,0)),"查無此員工"))</f>
        <v/>
      </c>
      <c r="C387" s="120">
        <f t="array" ref="C387:C387">IF(A387="","",IFERROR(INDEX('3.員工名單'!$C:$C,MATCH(A387,'3.員工名單'!$A:$A,0)),""))</f>
        <v/>
      </c>
      <c r="D387" s="120">
        <f t="array" ref="D387:D387">IF(A387="","",IFERROR(INDEX('3.員工名單'!$D:$D,MATCH(A387,'3.員工名單'!$A:$A,0)),""))</f>
        <v/>
      </c>
      <c r="E387" s="120">
        <f t="array" ref="E387:E387">IF(F387="","",IFERROR(INDEX('1.職能辭典'!$A:$A,MATCH(F387,'1.職能辭典'!$C:$C,0)),""))</f>
        <v/>
      </c>
      <c r="F387" s="94" t="n"/>
      <c r="G387" s="120">
        <f t="array" ref="G387:G387">IF(OR(D387="",F387=""),"",IFERROR(IF(AND(OR(INDEX('1.職能辭典'!$J:$J,MATCH(F387,'1.職能辭典'!$C:$C,0))="全部",INDEX('3.員工名單'!$H:$H,MATCH(A387,'3.員工名單'!$A:$A,0))="兩款共用",INDEX('3.員工名單'!$H:$H,MATCH(A387,'3.員工名單'!$A:$A,0))=INDEX('1.職能辭典'!$J:$J,MATCH(F387,'1.職能辭典'!$C:$C,0))),OR(INDEX('1.職能辭典'!$K:$K,MATCH(F387,'1.職能辭典'!$C:$C,0))="全部",SUMPRODUCT(ISNUMBER(SEARCH({"經營","管理","財務","企劃","營運","技術","數據","美術","測試","客服"},INDEX('3.員工名單'!$I:$I,MATCH(A387,'3.員工名單'!$A:$A,0))))*ISNUMBER(SEARCH({"經營","管理","財務","企劃","營運","技術","數據","美術","測試","客服"},INDEX('1.職能辭典'!$K:$K,MATCH(F387,'1.職能辭典'!$C:$C,0)))))&gt;0)),INDEX('2.職務職能需求'!$B$2:$F$28,MATCH(F387,'2.職務職能需求'!$A$2:$A$28,0),MATCH(D387,'2.職務職能需求'!$B$1:$F$1,0)),0),""))</f>
        <v/>
      </c>
      <c r="H387" s="94" t="n"/>
      <c r="I387" s="94" t="n"/>
      <c r="J387" s="120">
        <f>IF(OR(G387="",I387="",G387=0),"",I387-G387)</f>
        <v/>
      </c>
      <c r="K387" s="120">
        <f>IF(G387="","",IF(G387=0,"不適用",IF(I387="","待評核",IF(I387&gt;=G387,IF(I387&gt;G387,"超越","達標"),"待發展"))))</f>
        <v/>
      </c>
      <c r="L387" s="91" t="n"/>
      <c r="M387" s="91" t="n"/>
      <c r="N387" s="88" t="n"/>
    </row>
    <row r="388" ht="15.75" customHeight="1" s="64">
      <c r="A388" s="88" t="n"/>
      <c r="B388" s="120">
        <f t="array" ref="B388:B388">IF(A388="","",IFERROR(INDEX('3.員工名單'!$B:$B,MATCH(A388,'3.員工名單'!$A:$A,0)),"查無此員工"))</f>
        <v/>
      </c>
      <c r="C388" s="120">
        <f t="array" ref="C388:C388">IF(A388="","",IFERROR(INDEX('3.員工名單'!$C:$C,MATCH(A388,'3.員工名單'!$A:$A,0)),""))</f>
        <v/>
      </c>
      <c r="D388" s="120">
        <f t="array" ref="D388:D388">IF(A388="","",IFERROR(INDEX('3.員工名單'!$D:$D,MATCH(A388,'3.員工名單'!$A:$A,0)),""))</f>
        <v/>
      </c>
      <c r="E388" s="120">
        <f t="array" ref="E388:E388">IF(F388="","",IFERROR(INDEX('1.職能辭典'!$A:$A,MATCH(F388,'1.職能辭典'!$C:$C,0)),""))</f>
        <v/>
      </c>
      <c r="F388" s="94" t="n"/>
      <c r="G388" s="120">
        <f t="array" ref="G388:G388">IF(OR(D388="",F388=""),"",IFERROR(IF(AND(OR(INDEX('1.職能辭典'!$J:$J,MATCH(F388,'1.職能辭典'!$C:$C,0))="全部",INDEX('3.員工名單'!$H:$H,MATCH(A388,'3.員工名單'!$A:$A,0))="兩款共用",INDEX('3.員工名單'!$H:$H,MATCH(A388,'3.員工名單'!$A:$A,0))=INDEX('1.職能辭典'!$J:$J,MATCH(F388,'1.職能辭典'!$C:$C,0))),OR(INDEX('1.職能辭典'!$K:$K,MATCH(F388,'1.職能辭典'!$C:$C,0))="全部",SUMPRODUCT(ISNUMBER(SEARCH({"經營","管理","財務","企劃","營運","技術","數據","美術","測試","客服"},INDEX('3.員工名單'!$I:$I,MATCH(A388,'3.員工名單'!$A:$A,0))))*ISNUMBER(SEARCH({"經營","管理","財務","企劃","營運","技術","數據","美術","測試","客服"},INDEX('1.職能辭典'!$K:$K,MATCH(F388,'1.職能辭典'!$C:$C,0)))))&gt;0)),INDEX('2.職務職能需求'!$B$2:$F$28,MATCH(F388,'2.職務職能需求'!$A$2:$A$28,0),MATCH(D388,'2.職務職能需求'!$B$1:$F$1,0)),0),""))</f>
        <v/>
      </c>
      <c r="H388" s="94" t="n"/>
      <c r="I388" s="94" t="n"/>
      <c r="J388" s="120">
        <f>IF(OR(G388="",I388="",G388=0),"",I388-G388)</f>
        <v/>
      </c>
      <c r="K388" s="120">
        <f>IF(G388="","",IF(G388=0,"不適用",IF(I388="","待評核",IF(I388&gt;=G388,IF(I388&gt;G388,"超越","達標"),"待發展"))))</f>
        <v/>
      </c>
      <c r="L388" s="91" t="n"/>
      <c r="M388" s="91" t="n"/>
      <c r="N388" s="88" t="n"/>
    </row>
    <row r="389" ht="15.75" customHeight="1" s="64">
      <c r="A389" s="88" t="n"/>
      <c r="B389" s="120">
        <f t="array" ref="B389:B389">IF(A389="","",IFERROR(INDEX('3.員工名單'!$B:$B,MATCH(A389,'3.員工名單'!$A:$A,0)),"查無此員工"))</f>
        <v/>
      </c>
      <c r="C389" s="120">
        <f t="array" ref="C389:C389">IF(A389="","",IFERROR(INDEX('3.員工名單'!$C:$C,MATCH(A389,'3.員工名單'!$A:$A,0)),""))</f>
        <v/>
      </c>
      <c r="D389" s="120">
        <f t="array" ref="D389:D389">IF(A389="","",IFERROR(INDEX('3.員工名單'!$D:$D,MATCH(A389,'3.員工名單'!$A:$A,0)),""))</f>
        <v/>
      </c>
      <c r="E389" s="120">
        <f t="array" ref="E389:E389">IF(F389="","",IFERROR(INDEX('1.職能辭典'!$A:$A,MATCH(F389,'1.職能辭典'!$C:$C,0)),""))</f>
        <v/>
      </c>
      <c r="F389" s="94" t="n"/>
      <c r="G389" s="120">
        <f t="array" ref="G389:G389">IF(OR(D389="",F389=""),"",IFERROR(IF(AND(OR(INDEX('1.職能辭典'!$J:$J,MATCH(F389,'1.職能辭典'!$C:$C,0))="全部",INDEX('3.員工名單'!$H:$H,MATCH(A389,'3.員工名單'!$A:$A,0))="兩款共用",INDEX('3.員工名單'!$H:$H,MATCH(A389,'3.員工名單'!$A:$A,0))=INDEX('1.職能辭典'!$J:$J,MATCH(F389,'1.職能辭典'!$C:$C,0))),OR(INDEX('1.職能辭典'!$K:$K,MATCH(F389,'1.職能辭典'!$C:$C,0))="全部",SUMPRODUCT(ISNUMBER(SEARCH({"經營","管理","財務","企劃","營運","技術","數據","美術","測試","客服"},INDEX('3.員工名單'!$I:$I,MATCH(A389,'3.員工名單'!$A:$A,0))))*ISNUMBER(SEARCH({"經營","管理","財務","企劃","營運","技術","數據","美術","測試","客服"},INDEX('1.職能辭典'!$K:$K,MATCH(F389,'1.職能辭典'!$C:$C,0)))))&gt;0)),INDEX('2.職務職能需求'!$B$2:$F$28,MATCH(F389,'2.職務職能需求'!$A$2:$A$28,0),MATCH(D389,'2.職務職能需求'!$B$1:$F$1,0)),0),""))</f>
        <v/>
      </c>
      <c r="H389" s="94" t="n"/>
      <c r="I389" s="94" t="n"/>
      <c r="J389" s="120">
        <f>IF(OR(G389="",I389="",G389=0),"",I389-G389)</f>
        <v/>
      </c>
      <c r="K389" s="120">
        <f>IF(G389="","",IF(G389=0,"不適用",IF(I389="","待評核",IF(I389&gt;=G389,IF(I389&gt;G389,"超越","達標"),"待發展"))))</f>
        <v/>
      </c>
      <c r="L389" s="91" t="n"/>
      <c r="M389" s="91" t="n"/>
      <c r="N389" s="88" t="n"/>
    </row>
    <row r="390" ht="15.75" customHeight="1" s="64">
      <c r="A390" s="88" t="n"/>
      <c r="B390" s="120">
        <f t="array" ref="B390:B390">IF(A390="","",IFERROR(INDEX('3.員工名單'!$B:$B,MATCH(A390,'3.員工名單'!$A:$A,0)),"查無此員工"))</f>
        <v/>
      </c>
      <c r="C390" s="120">
        <f t="array" ref="C390:C390">IF(A390="","",IFERROR(INDEX('3.員工名單'!$C:$C,MATCH(A390,'3.員工名單'!$A:$A,0)),""))</f>
        <v/>
      </c>
      <c r="D390" s="120">
        <f t="array" ref="D390:D390">IF(A390="","",IFERROR(INDEX('3.員工名單'!$D:$D,MATCH(A390,'3.員工名單'!$A:$A,0)),""))</f>
        <v/>
      </c>
      <c r="E390" s="120">
        <f t="array" ref="E390:E390">IF(F390="","",IFERROR(INDEX('1.職能辭典'!$A:$A,MATCH(F390,'1.職能辭典'!$C:$C,0)),""))</f>
        <v/>
      </c>
      <c r="F390" s="94" t="n"/>
      <c r="G390" s="120">
        <f t="array" ref="G390:G390">IF(OR(D390="",F390=""),"",IFERROR(IF(AND(OR(INDEX('1.職能辭典'!$J:$J,MATCH(F390,'1.職能辭典'!$C:$C,0))="全部",INDEX('3.員工名單'!$H:$H,MATCH(A390,'3.員工名單'!$A:$A,0))="兩款共用",INDEX('3.員工名單'!$H:$H,MATCH(A390,'3.員工名單'!$A:$A,0))=INDEX('1.職能辭典'!$J:$J,MATCH(F390,'1.職能辭典'!$C:$C,0))),OR(INDEX('1.職能辭典'!$K:$K,MATCH(F390,'1.職能辭典'!$C:$C,0))="全部",SUMPRODUCT(ISNUMBER(SEARCH({"經營","管理","財務","企劃","營運","技術","數據","美術","測試","客服"},INDEX('3.員工名單'!$I:$I,MATCH(A390,'3.員工名單'!$A:$A,0))))*ISNUMBER(SEARCH({"經營","管理","財務","企劃","營運","技術","數據","美術","測試","客服"},INDEX('1.職能辭典'!$K:$K,MATCH(F390,'1.職能辭典'!$C:$C,0)))))&gt;0)),INDEX('2.職務職能需求'!$B$2:$F$28,MATCH(F390,'2.職務職能需求'!$A$2:$A$28,0),MATCH(D390,'2.職務職能需求'!$B$1:$F$1,0)),0),""))</f>
        <v/>
      </c>
      <c r="H390" s="94" t="n"/>
      <c r="I390" s="94" t="n"/>
      <c r="J390" s="120">
        <f>IF(OR(G390="",I390="",G390=0),"",I390-G390)</f>
        <v/>
      </c>
      <c r="K390" s="120">
        <f>IF(G390="","",IF(G390=0,"不適用",IF(I390="","待評核",IF(I390&gt;=G390,IF(I390&gt;G390,"超越","達標"),"待發展"))))</f>
        <v/>
      </c>
      <c r="L390" s="91" t="n"/>
      <c r="M390" s="91" t="n"/>
      <c r="N390" s="88" t="n"/>
    </row>
    <row r="391" ht="15.75" customHeight="1" s="64">
      <c r="A391" s="88" t="n"/>
      <c r="B391" s="120">
        <f t="array" ref="B391:B391">IF(A391="","",IFERROR(INDEX('3.員工名單'!$B:$B,MATCH(A391,'3.員工名單'!$A:$A,0)),"查無此員工"))</f>
        <v/>
      </c>
      <c r="C391" s="120">
        <f t="array" ref="C391:C391">IF(A391="","",IFERROR(INDEX('3.員工名單'!$C:$C,MATCH(A391,'3.員工名單'!$A:$A,0)),""))</f>
        <v/>
      </c>
      <c r="D391" s="120">
        <f t="array" ref="D391:D391">IF(A391="","",IFERROR(INDEX('3.員工名單'!$D:$D,MATCH(A391,'3.員工名單'!$A:$A,0)),""))</f>
        <v/>
      </c>
      <c r="E391" s="120">
        <f t="array" ref="E391:E391">IF(F391="","",IFERROR(INDEX('1.職能辭典'!$A:$A,MATCH(F391,'1.職能辭典'!$C:$C,0)),""))</f>
        <v/>
      </c>
      <c r="F391" s="94" t="n"/>
      <c r="G391" s="120">
        <f t="array" ref="G391:G391">IF(OR(D391="",F391=""),"",IFERROR(IF(AND(OR(INDEX('1.職能辭典'!$J:$J,MATCH(F391,'1.職能辭典'!$C:$C,0))="全部",INDEX('3.員工名單'!$H:$H,MATCH(A391,'3.員工名單'!$A:$A,0))="兩款共用",INDEX('3.員工名單'!$H:$H,MATCH(A391,'3.員工名單'!$A:$A,0))=INDEX('1.職能辭典'!$J:$J,MATCH(F391,'1.職能辭典'!$C:$C,0))),OR(INDEX('1.職能辭典'!$K:$K,MATCH(F391,'1.職能辭典'!$C:$C,0))="全部",SUMPRODUCT(ISNUMBER(SEARCH({"經營","管理","財務","企劃","營運","技術","數據","美術","測試","客服"},INDEX('3.員工名單'!$I:$I,MATCH(A391,'3.員工名單'!$A:$A,0))))*ISNUMBER(SEARCH({"經營","管理","財務","企劃","營運","技術","數據","美術","測試","客服"},INDEX('1.職能辭典'!$K:$K,MATCH(F391,'1.職能辭典'!$C:$C,0)))))&gt;0)),INDEX('2.職務職能需求'!$B$2:$F$28,MATCH(F391,'2.職務職能需求'!$A$2:$A$28,0),MATCH(D391,'2.職務職能需求'!$B$1:$F$1,0)),0),""))</f>
        <v/>
      </c>
      <c r="H391" s="94" t="n"/>
      <c r="I391" s="94" t="n"/>
      <c r="J391" s="120">
        <f>IF(OR(G391="",I391="",G391=0),"",I391-G391)</f>
        <v/>
      </c>
      <c r="K391" s="120">
        <f>IF(G391="","",IF(G391=0,"不適用",IF(I391="","待評核",IF(I391&gt;=G391,IF(I391&gt;G391,"超越","達標"),"待發展"))))</f>
        <v/>
      </c>
      <c r="L391" s="91" t="n"/>
      <c r="M391" s="91" t="n"/>
      <c r="N391" s="88" t="n"/>
    </row>
    <row r="392" ht="15.75" customHeight="1" s="64">
      <c r="A392" s="88" t="n"/>
      <c r="B392" s="120">
        <f t="array" ref="B392:B392">IF(A392="","",IFERROR(INDEX('3.員工名單'!$B:$B,MATCH(A392,'3.員工名單'!$A:$A,0)),"查無此員工"))</f>
        <v/>
      </c>
      <c r="C392" s="120">
        <f t="array" ref="C392:C392">IF(A392="","",IFERROR(INDEX('3.員工名單'!$C:$C,MATCH(A392,'3.員工名單'!$A:$A,0)),""))</f>
        <v/>
      </c>
      <c r="D392" s="120">
        <f t="array" ref="D392:D392">IF(A392="","",IFERROR(INDEX('3.員工名單'!$D:$D,MATCH(A392,'3.員工名單'!$A:$A,0)),""))</f>
        <v/>
      </c>
      <c r="E392" s="120">
        <f t="array" ref="E392:E392">IF(F392="","",IFERROR(INDEX('1.職能辭典'!$A:$A,MATCH(F392,'1.職能辭典'!$C:$C,0)),""))</f>
        <v/>
      </c>
      <c r="F392" s="94" t="n"/>
      <c r="G392" s="120">
        <f t="array" ref="G392:G392">IF(OR(D392="",F392=""),"",IFERROR(IF(AND(OR(INDEX('1.職能辭典'!$J:$J,MATCH(F392,'1.職能辭典'!$C:$C,0))="全部",INDEX('3.員工名單'!$H:$H,MATCH(A392,'3.員工名單'!$A:$A,0))="兩款共用",INDEX('3.員工名單'!$H:$H,MATCH(A392,'3.員工名單'!$A:$A,0))=INDEX('1.職能辭典'!$J:$J,MATCH(F392,'1.職能辭典'!$C:$C,0))),OR(INDEX('1.職能辭典'!$K:$K,MATCH(F392,'1.職能辭典'!$C:$C,0))="全部",SUMPRODUCT(ISNUMBER(SEARCH({"經營","管理","財務","企劃","營運","技術","數據","美術","測試","客服"},INDEX('3.員工名單'!$I:$I,MATCH(A392,'3.員工名單'!$A:$A,0))))*ISNUMBER(SEARCH({"經營","管理","財務","企劃","營運","技術","數據","美術","測試","客服"},INDEX('1.職能辭典'!$K:$K,MATCH(F392,'1.職能辭典'!$C:$C,0)))))&gt;0)),INDEX('2.職務職能需求'!$B$2:$F$28,MATCH(F392,'2.職務職能需求'!$A$2:$A$28,0),MATCH(D392,'2.職務職能需求'!$B$1:$F$1,0)),0),""))</f>
        <v/>
      </c>
      <c r="H392" s="94" t="n"/>
      <c r="I392" s="94" t="n"/>
      <c r="J392" s="120">
        <f>IF(OR(G392="",I392="",G392=0),"",I392-G392)</f>
        <v/>
      </c>
      <c r="K392" s="120">
        <f>IF(G392="","",IF(G392=0,"不適用",IF(I392="","待評核",IF(I392&gt;=G392,IF(I392&gt;G392,"超越","達標"),"待發展"))))</f>
        <v/>
      </c>
      <c r="L392" s="91" t="n"/>
      <c r="M392" s="91" t="n"/>
      <c r="N392" s="88" t="n"/>
    </row>
    <row r="393" ht="15.75" customHeight="1" s="64">
      <c r="A393" s="88" t="n"/>
      <c r="B393" s="120">
        <f t="array" ref="B393:B393">IF(A393="","",IFERROR(INDEX('3.員工名單'!$B:$B,MATCH(A393,'3.員工名單'!$A:$A,0)),"查無此員工"))</f>
        <v/>
      </c>
      <c r="C393" s="120">
        <f t="array" ref="C393:C393">IF(A393="","",IFERROR(INDEX('3.員工名單'!$C:$C,MATCH(A393,'3.員工名單'!$A:$A,0)),""))</f>
        <v/>
      </c>
      <c r="D393" s="120">
        <f t="array" ref="D393:D393">IF(A393="","",IFERROR(INDEX('3.員工名單'!$D:$D,MATCH(A393,'3.員工名單'!$A:$A,0)),""))</f>
        <v/>
      </c>
      <c r="E393" s="120">
        <f t="array" ref="E393:E393">IF(F393="","",IFERROR(INDEX('1.職能辭典'!$A:$A,MATCH(F393,'1.職能辭典'!$C:$C,0)),""))</f>
        <v/>
      </c>
      <c r="F393" s="94" t="n"/>
      <c r="G393" s="120">
        <f t="array" ref="G393:G393">IF(OR(D393="",F393=""),"",IFERROR(IF(AND(OR(INDEX('1.職能辭典'!$J:$J,MATCH(F393,'1.職能辭典'!$C:$C,0))="全部",INDEX('3.員工名單'!$H:$H,MATCH(A393,'3.員工名單'!$A:$A,0))="兩款共用",INDEX('3.員工名單'!$H:$H,MATCH(A393,'3.員工名單'!$A:$A,0))=INDEX('1.職能辭典'!$J:$J,MATCH(F393,'1.職能辭典'!$C:$C,0))),OR(INDEX('1.職能辭典'!$K:$K,MATCH(F393,'1.職能辭典'!$C:$C,0))="全部",SUMPRODUCT(ISNUMBER(SEARCH({"經營","管理","財務","企劃","營運","技術","數據","美術","測試","客服"},INDEX('3.員工名單'!$I:$I,MATCH(A393,'3.員工名單'!$A:$A,0))))*ISNUMBER(SEARCH({"經營","管理","財務","企劃","營運","技術","數據","美術","測試","客服"},INDEX('1.職能辭典'!$K:$K,MATCH(F393,'1.職能辭典'!$C:$C,0)))))&gt;0)),INDEX('2.職務職能需求'!$B$2:$F$28,MATCH(F393,'2.職務職能需求'!$A$2:$A$28,0),MATCH(D393,'2.職務職能需求'!$B$1:$F$1,0)),0),""))</f>
        <v/>
      </c>
      <c r="H393" s="94" t="n"/>
      <c r="I393" s="94" t="n"/>
      <c r="J393" s="120">
        <f>IF(OR(G393="",I393="",G393=0),"",I393-G393)</f>
        <v/>
      </c>
      <c r="K393" s="120">
        <f>IF(G393="","",IF(G393=0,"不適用",IF(I393="","待評核",IF(I393&gt;=G393,IF(I393&gt;G393,"超越","達標"),"待發展"))))</f>
        <v/>
      </c>
      <c r="L393" s="91" t="n"/>
      <c r="M393" s="91" t="n"/>
      <c r="N393" s="88" t="n"/>
    </row>
    <row r="394" ht="15.75" customHeight="1" s="64">
      <c r="A394" s="88" t="n"/>
      <c r="B394" s="120">
        <f t="array" ref="B394:B394">IF(A394="","",IFERROR(INDEX('3.員工名單'!$B:$B,MATCH(A394,'3.員工名單'!$A:$A,0)),"查無此員工"))</f>
        <v/>
      </c>
      <c r="C394" s="120">
        <f t="array" ref="C394:C394">IF(A394="","",IFERROR(INDEX('3.員工名單'!$C:$C,MATCH(A394,'3.員工名單'!$A:$A,0)),""))</f>
        <v/>
      </c>
      <c r="D394" s="120">
        <f t="array" ref="D394:D394">IF(A394="","",IFERROR(INDEX('3.員工名單'!$D:$D,MATCH(A394,'3.員工名單'!$A:$A,0)),""))</f>
        <v/>
      </c>
      <c r="E394" s="120">
        <f t="array" ref="E394:E394">IF(F394="","",IFERROR(INDEX('1.職能辭典'!$A:$A,MATCH(F394,'1.職能辭典'!$C:$C,0)),""))</f>
        <v/>
      </c>
      <c r="F394" s="94" t="n"/>
      <c r="G394" s="120">
        <f t="array" ref="G394:G394">IF(OR(D394="",F394=""),"",IFERROR(IF(AND(OR(INDEX('1.職能辭典'!$J:$J,MATCH(F394,'1.職能辭典'!$C:$C,0))="全部",INDEX('3.員工名單'!$H:$H,MATCH(A394,'3.員工名單'!$A:$A,0))="兩款共用",INDEX('3.員工名單'!$H:$H,MATCH(A394,'3.員工名單'!$A:$A,0))=INDEX('1.職能辭典'!$J:$J,MATCH(F394,'1.職能辭典'!$C:$C,0))),OR(INDEX('1.職能辭典'!$K:$K,MATCH(F394,'1.職能辭典'!$C:$C,0))="全部",SUMPRODUCT(ISNUMBER(SEARCH({"經營","管理","財務","企劃","營運","技術","數據","美術","測試","客服"},INDEX('3.員工名單'!$I:$I,MATCH(A394,'3.員工名單'!$A:$A,0))))*ISNUMBER(SEARCH({"經營","管理","財務","企劃","營運","技術","數據","美術","測試","客服"},INDEX('1.職能辭典'!$K:$K,MATCH(F394,'1.職能辭典'!$C:$C,0)))))&gt;0)),INDEX('2.職務職能需求'!$B$2:$F$28,MATCH(F394,'2.職務職能需求'!$A$2:$A$28,0),MATCH(D394,'2.職務職能需求'!$B$1:$F$1,0)),0),""))</f>
        <v/>
      </c>
      <c r="H394" s="94" t="n"/>
      <c r="I394" s="94" t="n"/>
      <c r="J394" s="120">
        <f>IF(OR(G394="",I394="",G394=0),"",I394-G394)</f>
        <v/>
      </c>
      <c r="K394" s="120">
        <f>IF(G394="","",IF(G394=0,"不適用",IF(I394="","待評核",IF(I394&gt;=G394,IF(I394&gt;G394,"超越","達標"),"待發展"))))</f>
        <v/>
      </c>
      <c r="L394" s="91" t="n"/>
      <c r="M394" s="91" t="n"/>
      <c r="N394" s="88" t="n"/>
    </row>
    <row r="395" ht="15.75" customHeight="1" s="64">
      <c r="A395" s="88" t="n"/>
      <c r="B395" s="120">
        <f t="array" ref="B395:B395">IF(A395="","",IFERROR(INDEX('3.員工名單'!$B:$B,MATCH(A395,'3.員工名單'!$A:$A,0)),"查無此員工"))</f>
        <v/>
      </c>
      <c r="C395" s="120">
        <f t="array" ref="C395:C395">IF(A395="","",IFERROR(INDEX('3.員工名單'!$C:$C,MATCH(A395,'3.員工名單'!$A:$A,0)),""))</f>
        <v/>
      </c>
      <c r="D395" s="120">
        <f t="array" ref="D395:D395">IF(A395="","",IFERROR(INDEX('3.員工名單'!$D:$D,MATCH(A395,'3.員工名單'!$A:$A,0)),""))</f>
        <v/>
      </c>
      <c r="E395" s="120">
        <f t="array" ref="E395:E395">IF(F395="","",IFERROR(INDEX('1.職能辭典'!$A:$A,MATCH(F395,'1.職能辭典'!$C:$C,0)),""))</f>
        <v/>
      </c>
      <c r="F395" s="94" t="n"/>
      <c r="G395" s="120">
        <f t="array" ref="G395:G395">IF(OR(D395="",F395=""),"",IFERROR(IF(AND(OR(INDEX('1.職能辭典'!$J:$J,MATCH(F395,'1.職能辭典'!$C:$C,0))="全部",INDEX('3.員工名單'!$H:$H,MATCH(A395,'3.員工名單'!$A:$A,0))="兩款共用",INDEX('3.員工名單'!$H:$H,MATCH(A395,'3.員工名單'!$A:$A,0))=INDEX('1.職能辭典'!$J:$J,MATCH(F395,'1.職能辭典'!$C:$C,0))),OR(INDEX('1.職能辭典'!$K:$K,MATCH(F395,'1.職能辭典'!$C:$C,0))="全部",SUMPRODUCT(ISNUMBER(SEARCH({"經營","管理","財務","企劃","營運","技術","數據","美術","測試","客服"},INDEX('3.員工名單'!$I:$I,MATCH(A395,'3.員工名單'!$A:$A,0))))*ISNUMBER(SEARCH({"經營","管理","財務","企劃","營運","技術","數據","美術","測試","客服"},INDEX('1.職能辭典'!$K:$K,MATCH(F395,'1.職能辭典'!$C:$C,0)))))&gt;0)),INDEX('2.職務職能需求'!$B$2:$F$28,MATCH(F395,'2.職務職能需求'!$A$2:$A$28,0),MATCH(D395,'2.職務職能需求'!$B$1:$F$1,0)),0),""))</f>
        <v/>
      </c>
      <c r="H395" s="94" t="n"/>
      <c r="I395" s="94" t="n"/>
      <c r="J395" s="120">
        <f>IF(OR(G395="",I395="",G395=0),"",I395-G395)</f>
        <v/>
      </c>
      <c r="K395" s="120">
        <f>IF(G395="","",IF(G395=0,"不適用",IF(I395="","待評核",IF(I395&gt;=G395,IF(I395&gt;G395,"超越","達標"),"待發展"))))</f>
        <v/>
      </c>
      <c r="L395" s="91" t="n"/>
      <c r="M395" s="91" t="n"/>
      <c r="N395" s="88" t="n"/>
    </row>
    <row r="396" ht="15.75" customHeight="1" s="64">
      <c r="A396" s="88" t="n"/>
      <c r="B396" s="120">
        <f t="array" ref="B396:B396">IF(A396="","",IFERROR(INDEX('3.員工名單'!$B:$B,MATCH(A396,'3.員工名單'!$A:$A,0)),"查無此員工"))</f>
        <v/>
      </c>
      <c r="C396" s="120">
        <f t="array" ref="C396:C396">IF(A396="","",IFERROR(INDEX('3.員工名單'!$C:$C,MATCH(A396,'3.員工名單'!$A:$A,0)),""))</f>
        <v/>
      </c>
      <c r="D396" s="120">
        <f t="array" ref="D396:D396">IF(A396="","",IFERROR(INDEX('3.員工名單'!$D:$D,MATCH(A396,'3.員工名單'!$A:$A,0)),""))</f>
        <v/>
      </c>
      <c r="E396" s="120">
        <f t="array" ref="E396:E396">IF(F396="","",IFERROR(INDEX('1.職能辭典'!$A:$A,MATCH(F396,'1.職能辭典'!$C:$C,0)),""))</f>
        <v/>
      </c>
      <c r="F396" s="94" t="n"/>
      <c r="G396" s="120">
        <f t="array" ref="G396:G396">IF(OR(D396="",F396=""),"",IFERROR(IF(AND(OR(INDEX('1.職能辭典'!$J:$J,MATCH(F396,'1.職能辭典'!$C:$C,0))="全部",INDEX('3.員工名單'!$H:$H,MATCH(A396,'3.員工名單'!$A:$A,0))="兩款共用",INDEX('3.員工名單'!$H:$H,MATCH(A396,'3.員工名單'!$A:$A,0))=INDEX('1.職能辭典'!$J:$J,MATCH(F396,'1.職能辭典'!$C:$C,0))),OR(INDEX('1.職能辭典'!$K:$K,MATCH(F396,'1.職能辭典'!$C:$C,0))="全部",SUMPRODUCT(ISNUMBER(SEARCH({"經營","管理","財務","企劃","營運","技術","數據","美術","測試","客服"},INDEX('3.員工名單'!$I:$I,MATCH(A396,'3.員工名單'!$A:$A,0))))*ISNUMBER(SEARCH({"經營","管理","財務","企劃","營運","技術","數據","美術","測試","客服"},INDEX('1.職能辭典'!$K:$K,MATCH(F396,'1.職能辭典'!$C:$C,0)))))&gt;0)),INDEX('2.職務職能需求'!$B$2:$F$28,MATCH(F396,'2.職務職能需求'!$A$2:$A$28,0),MATCH(D396,'2.職務職能需求'!$B$1:$F$1,0)),0),""))</f>
        <v/>
      </c>
      <c r="H396" s="94" t="n"/>
      <c r="I396" s="94" t="n"/>
      <c r="J396" s="120">
        <f>IF(OR(G396="",I396="",G396=0),"",I396-G396)</f>
        <v/>
      </c>
      <c r="K396" s="120">
        <f>IF(G396="","",IF(G396=0,"不適用",IF(I396="","待評核",IF(I396&gt;=G396,IF(I396&gt;G396,"超越","達標"),"待發展"))))</f>
        <v/>
      </c>
      <c r="L396" s="91" t="n"/>
      <c r="M396" s="91" t="n"/>
      <c r="N396" s="88" t="n"/>
    </row>
    <row r="397" ht="15.75" customHeight="1" s="64">
      <c r="A397" s="88" t="n"/>
      <c r="B397" s="120">
        <f t="array" ref="B397:B397">IF(A397="","",IFERROR(INDEX('3.員工名單'!$B:$B,MATCH(A397,'3.員工名單'!$A:$A,0)),"查無此員工"))</f>
        <v/>
      </c>
      <c r="C397" s="120">
        <f t="array" ref="C397:C397">IF(A397="","",IFERROR(INDEX('3.員工名單'!$C:$C,MATCH(A397,'3.員工名單'!$A:$A,0)),""))</f>
        <v/>
      </c>
      <c r="D397" s="120">
        <f t="array" ref="D397:D397">IF(A397="","",IFERROR(INDEX('3.員工名單'!$D:$D,MATCH(A397,'3.員工名單'!$A:$A,0)),""))</f>
        <v/>
      </c>
      <c r="E397" s="120">
        <f t="array" ref="E397:E397">IF(F397="","",IFERROR(INDEX('1.職能辭典'!$A:$A,MATCH(F397,'1.職能辭典'!$C:$C,0)),""))</f>
        <v/>
      </c>
      <c r="F397" s="94" t="n"/>
      <c r="G397" s="120">
        <f t="array" ref="G397:G397">IF(OR(D397="",F397=""),"",IFERROR(IF(AND(OR(INDEX('1.職能辭典'!$J:$J,MATCH(F397,'1.職能辭典'!$C:$C,0))="全部",INDEX('3.員工名單'!$H:$H,MATCH(A397,'3.員工名單'!$A:$A,0))="兩款共用",INDEX('3.員工名單'!$H:$H,MATCH(A397,'3.員工名單'!$A:$A,0))=INDEX('1.職能辭典'!$J:$J,MATCH(F397,'1.職能辭典'!$C:$C,0))),OR(INDEX('1.職能辭典'!$K:$K,MATCH(F397,'1.職能辭典'!$C:$C,0))="全部",SUMPRODUCT(ISNUMBER(SEARCH({"經營","管理","財務","企劃","營運","技術","數據","美術","測試","客服"},INDEX('3.員工名單'!$I:$I,MATCH(A397,'3.員工名單'!$A:$A,0))))*ISNUMBER(SEARCH({"經營","管理","財務","企劃","營運","技術","數據","美術","測試","客服"},INDEX('1.職能辭典'!$K:$K,MATCH(F397,'1.職能辭典'!$C:$C,0)))))&gt;0)),INDEX('2.職務職能需求'!$B$2:$F$28,MATCH(F397,'2.職務職能需求'!$A$2:$A$28,0),MATCH(D397,'2.職務職能需求'!$B$1:$F$1,0)),0),""))</f>
        <v/>
      </c>
      <c r="H397" s="94" t="n"/>
      <c r="I397" s="94" t="n"/>
      <c r="J397" s="120">
        <f>IF(OR(G397="",I397="",G397=0),"",I397-G397)</f>
        <v/>
      </c>
      <c r="K397" s="120">
        <f>IF(G397="","",IF(G397=0,"不適用",IF(I397="","待評核",IF(I397&gt;=G397,IF(I397&gt;G397,"超越","達標"),"待發展"))))</f>
        <v/>
      </c>
      <c r="L397" s="91" t="n"/>
      <c r="M397" s="91" t="n"/>
      <c r="N397" s="88" t="n"/>
    </row>
    <row r="398" ht="15.75" customHeight="1" s="64">
      <c r="A398" s="88" t="n"/>
      <c r="B398" s="120">
        <f t="array" ref="B398:B398">IF(A398="","",IFERROR(INDEX('3.員工名單'!$B:$B,MATCH(A398,'3.員工名單'!$A:$A,0)),"查無此員工"))</f>
        <v/>
      </c>
      <c r="C398" s="120">
        <f t="array" ref="C398:C398">IF(A398="","",IFERROR(INDEX('3.員工名單'!$C:$C,MATCH(A398,'3.員工名單'!$A:$A,0)),""))</f>
        <v/>
      </c>
      <c r="D398" s="120">
        <f t="array" ref="D398:D398">IF(A398="","",IFERROR(INDEX('3.員工名單'!$D:$D,MATCH(A398,'3.員工名單'!$A:$A,0)),""))</f>
        <v/>
      </c>
      <c r="E398" s="120">
        <f t="array" ref="E398:E398">IF(F398="","",IFERROR(INDEX('1.職能辭典'!$A:$A,MATCH(F398,'1.職能辭典'!$C:$C,0)),""))</f>
        <v/>
      </c>
      <c r="F398" s="94" t="n"/>
      <c r="G398" s="120">
        <f t="array" ref="G398:G398">IF(OR(D398="",F398=""),"",IFERROR(IF(AND(OR(INDEX('1.職能辭典'!$J:$J,MATCH(F398,'1.職能辭典'!$C:$C,0))="全部",INDEX('3.員工名單'!$H:$H,MATCH(A398,'3.員工名單'!$A:$A,0))="兩款共用",INDEX('3.員工名單'!$H:$H,MATCH(A398,'3.員工名單'!$A:$A,0))=INDEX('1.職能辭典'!$J:$J,MATCH(F398,'1.職能辭典'!$C:$C,0))),OR(INDEX('1.職能辭典'!$K:$K,MATCH(F398,'1.職能辭典'!$C:$C,0))="全部",SUMPRODUCT(ISNUMBER(SEARCH({"經營","管理","財務","企劃","營運","技術","數據","美術","測試","客服"},INDEX('3.員工名單'!$I:$I,MATCH(A398,'3.員工名單'!$A:$A,0))))*ISNUMBER(SEARCH({"經營","管理","財務","企劃","營運","技術","數據","美術","測試","客服"},INDEX('1.職能辭典'!$K:$K,MATCH(F398,'1.職能辭典'!$C:$C,0)))))&gt;0)),INDEX('2.職務職能需求'!$B$2:$F$28,MATCH(F398,'2.職務職能需求'!$A$2:$A$28,0),MATCH(D398,'2.職務職能需求'!$B$1:$F$1,0)),0),""))</f>
        <v/>
      </c>
      <c r="H398" s="94" t="n"/>
      <c r="I398" s="94" t="n"/>
      <c r="J398" s="120">
        <f>IF(OR(G398="",I398="",G398=0),"",I398-G398)</f>
        <v/>
      </c>
      <c r="K398" s="120">
        <f>IF(G398="","",IF(G398=0,"不適用",IF(I398="","待評核",IF(I398&gt;=G398,IF(I398&gt;G398,"超越","達標"),"待發展"))))</f>
        <v/>
      </c>
      <c r="L398" s="91" t="n"/>
      <c r="M398" s="91" t="n"/>
      <c r="N398" s="88" t="n"/>
    </row>
    <row r="399" ht="15.75" customHeight="1" s="64">
      <c r="A399" s="88" t="n"/>
      <c r="B399" s="120">
        <f t="array" ref="B399:B399">IF(A399="","",IFERROR(INDEX('3.員工名單'!$B:$B,MATCH(A399,'3.員工名單'!$A:$A,0)),"查無此員工"))</f>
        <v/>
      </c>
      <c r="C399" s="120">
        <f t="array" ref="C399:C399">IF(A399="","",IFERROR(INDEX('3.員工名單'!$C:$C,MATCH(A399,'3.員工名單'!$A:$A,0)),""))</f>
        <v/>
      </c>
      <c r="D399" s="120">
        <f t="array" ref="D399:D399">IF(A399="","",IFERROR(INDEX('3.員工名單'!$D:$D,MATCH(A399,'3.員工名單'!$A:$A,0)),""))</f>
        <v/>
      </c>
      <c r="E399" s="120">
        <f t="array" ref="E399:E399">IF(F399="","",IFERROR(INDEX('1.職能辭典'!$A:$A,MATCH(F399,'1.職能辭典'!$C:$C,0)),""))</f>
        <v/>
      </c>
      <c r="F399" s="94" t="n"/>
      <c r="G399" s="120">
        <f t="array" ref="G399:G399">IF(OR(D399="",F399=""),"",IFERROR(IF(AND(OR(INDEX('1.職能辭典'!$J:$J,MATCH(F399,'1.職能辭典'!$C:$C,0))="全部",INDEX('3.員工名單'!$H:$H,MATCH(A399,'3.員工名單'!$A:$A,0))="兩款共用",INDEX('3.員工名單'!$H:$H,MATCH(A399,'3.員工名單'!$A:$A,0))=INDEX('1.職能辭典'!$J:$J,MATCH(F399,'1.職能辭典'!$C:$C,0))),OR(INDEX('1.職能辭典'!$K:$K,MATCH(F399,'1.職能辭典'!$C:$C,0))="全部",SUMPRODUCT(ISNUMBER(SEARCH({"經營","管理","財務","企劃","營運","技術","數據","美術","測試","客服"},INDEX('3.員工名單'!$I:$I,MATCH(A399,'3.員工名單'!$A:$A,0))))*ISNUMBER(SEARCH({"經營","管理","財務","企劃","營運","技術","數據","美術","測試","客服"},INDEX('1.職能辭典'!$K:$K,MATCH(F399,'1.職能辭典'!$C:$C,0)))))&gt;0)),INDEX('2.職務職能需求'!$B$2:$F$28,MATCH(F399,'2.職務職能需求'!$A$2:$A$28,0),MATCH(D399,'2.職務職能需求'!$B$1:$F$1,0)),0),""))</f>
        <v/>
      </c>
      <c r="H399" s="94" t="n"/>
      <c r="I399" s="94" t="n"/>
      <c r="J399" s="120">
        <f>IF(OR(G399="",I399="",G399=0),"",I399-G399)</f>
        <v/>
      </c>
      <c r="K399" s="120">
        <f>IF(G399="","",IF(G399=0,"不適用",IF(I399="","待評核",IF(I399&gt;=G399,IF(I399&gt;G399,"超越","達標"),"待發展"))))</f>
        <v/>
      </c>
      <c r="L399" s="91" t="n"/>
      <c r="M399" s="91" t="n"/>
      <c r="N399" s="88" t="n"/>
    </row>
    <row r="400" ht="15.75" customHeight="1" s="64">
      <c r="A400" s="88" t="n"/>
      <c r="B400" s="120">
        <f t="array" ref="B400:B400">IF(A400="","",IFERROR(INDEX('3.員工名單'!$B:$B,MATCH(A400,'3.員工名單'!$A:$A,0)),"查無此員工"))</f>
        <v/>
      </c>
      <c r="C400" s="120">
        <f t="array" ref="C400:C400">IF(A400="","",IFERROR(INDEX('3.員工名單'!$C:$C,MATCH(A400,'3.員工名單'!$A:$A,0)),""))</f>
        <v/>
      </c>
      <c r="D400" s="120">
        <f t="array" ref="D400:D400">IF(A400="","",IFERROR(INDEX('3.員工名單'!$D:$D,MATCH(A400,'3.員工名單'!$A:$A,0)),""))</f>
        <v/>
      </c>
      <c r="E400" s="120">
        <f t="array" ref="E400:E400">IF(F400="","",IFERROR(INDEX('1.職能辭典'!$A:$A,MATCH(F400,'1.職能辭典'!$C:$C,0)),""))</f>
        <v/>
      </c>
      <c r="F400" s="94" t="n"/>
      <c r="G400" s="120">
        <f t="array" ref="G400:G400">IF(OR(D400="",F400=""),"",IFERROR(IF(AND(OR(INDEX('1.職能辭典'!$J:$J,MATCH(F400,'1.職能辭典'!$C:$C,0))="全部",INDEX('3.員工名單'!$H:$H,MATCH(A400,'3.員工名單'!$A:$A,0))="兩款共用",INDEX('3.員工名單'!$H:$H,MATCH(A400,'3.員工名單'!$A:$A,0))=INDEX('1.職能辭典'!$J:$J,MATCH(F400,'1.職能辭典'!$C:$C,0))),OR(INDEX('1.職能辭典'!$K:$K,MATCH(F400,'1.職能辭典'!$C:$C,0))="全部",SUMPRODUCT(ISNUMBER(SEARCH({"經營","管理","財務","企劃","營運","技術","數據","美術","測試","客服"},INDEX('3.員工名單'!$I:$I,MATCH(A400,'3.員工名單'!$A:$A,0))))*ISNUMBER(SEARCH({"經營","管理","財務","企劃","營運","技術","數據","美術","測試","客服"},INDEX('1.職能辭典'!$K:$K,MATCH(F400,'1.職能辭典'!$C:$C,0)))))&gt;0)),INDEX('2.職務職能需求'!$B$2:$F$28,MATCH(F400,'2.職務職能需求'!$A$2:$A$28,0),MATCH(D400,'2.職務職能需求'!$B$1:$F$1,0)),0),""))</f>
        <v/>
      </c>
      <c r="H400" s="94" t="n"/>
      <c r="I400" s="94" t="n"/>
      <c r="J400" s="120">
        <f>IF(OR(G400="",I400="",G400=0),"",I400-G400)</f>
        <v/>
      </c>
      <c r="K400" s="120">
        <f>IF(G400="","",IF(G400=0,"不適用",IF(I400="","待評核",IF(I400&gt;=G400,IF(I400&gt;G400,"超越","達標"),"待發展"))))</f>
        <v/>
      </c>
      <c r="L400" s="91" t="n"/>
      <c r="M400" s="91" t="n"/>
      <c r="N400" s="88" t="n"/>
    </row>
    <row r="401" ht="15.75" customHeight="1" s="64">
      <c r="A401" s="88" t="n"/>
      <c r="B401" s="120">
        <f t="array" ref="B401:B401">IF(A401="","",IFERROR(INDEX('3.員工名單'!$B:$B,MATCH(A401,'3.員工名單'!$A:$A,0)),"查無此員工"))</f>
        <v/>
      </c>
      <c r="C401" s="120">
        <f t="array" ref="C401:C401">IF(A401="","",IFERROR(INDEX('3.員工名單'!$C:$C,MATCH(A401,'3.員工名單'!$A:$A,0)),""))</f>
        <v/>
      </c>
      <c r="D401" s="120">
        <f t="array" ref="D401:D401">IF(A401="","",IFERROR(INDEX('3.員工名單'!$D:$D,MATCH(A401,'3.員工名單'!$A:$A,0)),""))</f>
        <v/>
      </c>
      <c r="E401" s="120">
        <f t="array" ref="E401:E401">IF(F401="","",IFERROR(INDEX('1.職能辭典'!$A:$A,MATCH(F401,'1.職能辭典'!$C:$C,0)),""))</f>
        <v/>
      </c>
      <c r="F401" s="94" t="n"/>
      <c r="G401" s="120">
        <f t="array" ref="G401:G401">IF(OR(D401="",F401=""),"",IFERROR(IF(AND(OR(INDEX('1.職能辭典'!$J:$J,MATCH(F401,'1.職能辭典'!$C:$C,0))="全部",INDEX('3.員工名單'!$H:$H,MATCH(A401,'3.員工名單'!$A:$A,0))="兩款共用",INDEX('3.員工名單'!$H:$H,MATCH(A401,'3.員工名單'!$A:$A,0))=INDEX('1.職能辭典'!$J:$J,MATCH(F401,'1.職能辭典'!$C:$C,0))),OR(INDEX('1.職能辭典'!$K:$K,MATCH(F401,'1.職能辭典'!$C:$C,0))="全部",SUMPRODUCT(ISNUMBER(SEARCH({"經營","管理","財務","企劃","營運","技術","數據","美術","測試","客服"},INDEX('3.員工名單'!$I:$I,MATCH(A401,'3.員工名單'!$A:$A,0))))*ISNUMBER(SEARCH({"經營","管理","財務","企劃","營運","技術","數據","美術","測試","客服"},INDEX('1.職能辭典'!$K:$K,MATCH(F401,'1.職能辭典'!$C:$C,0)))))&gt;0)),INDEX('2.職務職能需求'!$B$2:$F$28,MATCH(F401,'2.職務職能需求'!$A$2:$A$28,0),MATCH(D401,'2.職務職能需求'!$B$1:$F$1,0)),0),""))</f>
        <v/>
      </c>
      <c r="H401" s="94" t="n"/>
      <c r="I401" s="94" t="n"/>
      <c r="J401" s="120">
        <f>IF(OR(G401="",I401="",G401=0),"",I401-G401)</f>
        <v/>
      </c>
      <c r="K401" s="120">
        <f>IF(G401="","",IF(G401=0,"不適用",IF(I401="","待評核",IF(I401&gt;=G401,IF(I401&gt;G401,"超越","達標"),"待發展"))))</f>
        <v/>
      </c>
      <c r="L401" s="91" t="n"/>
      <c r="M401" s="91" t="n"/>
      <c r="N401" s="88" t="n"/>
    </row>
    <row r="402" ht="15.75" customHeight="1" s="64">
      <c r="A402" s="88" t="n"/>
      <c r="B402" s="120">
        <f t="array" ref="B402:B402">IF(A402="","",IFERROR(INDEX('3.員工名單'!$B:$B,MATCH(A402,'3.員工名單'!$A:$A,0)),"查無此員工"))</f>
        <v/>
      </c>
      <c r="C402" s="120">
        <f t="array" ref="C402:C402">IF(A402="","",IFERROR(INDEX('3.員工名單'!$C:$C,MATCH(A402,'3.員工名單'!$A:$A,0)),""))</f>
        <v/>
      </c>
      <c r="D402" s="120">
        <f t="array" ref="D402:D402">IF(A402="","",IFERROR(INDEX('3.員工名單'!$D:$D,MATCH(A402,'3.員工名單'!$A:$A,0)),""))</f>
        <v/>
      </c>
      <c r="E402" s="120">
        <f t="array" ref="E402:E402">IF(F402="","",IFERROR(INDEX('1.職能辭典'!$A:$A,MATCH(F402,'1.職能辭典'!$C:$C,0)),""))</f>
        <v/>
      </c>
      <c r="F402" s="94" t="n"/>
      <c r="G402" s="120">
        <f t="array" ref="G402:G402">IF(OR(D402="",F402=""),"",IFERROR(IF(AND(OR(INDEX('1.職能辭典'!$J:$J,MATCH(F402,'1.職能辭典'!$C:$C,0))="全部",INDEX('3.員工名單'!$H:$H,MATCH(A402,'3.員工名單'!$A:$A,0))="兩款共用",INDEX('3.員工名單'!$H:$H,MATCH(A402,'3.員工名單'!$A:$A,0))=INDEX('1.職能辭典'!$J:$J,MATCH(F402,'1.職能辭典'!$C:$C,0))),OR(INDEX('1.職能辭典'!$K:$K,MATCH(F402,'1.職能辭典'!$C:$C,0))="全部",SUMPRODUCT(ISNUMBER(SEARCH({"經營","管理","財務","企劃","營運","技術","數據","美術","測試","客服"},INDEX('3.員工名單'!$I:$I,MATCH(A402,'3.員工名單'!$A:$A,0))))*ISNUMBER(SEARCH({"經營","管理","財務","企劃","營運","技術","數據","美術","測試","客服"},INDEX('1.職能辭典'!$K:$K,MATCH(F402,'1.職能辭典'!$C:$C,0)))))&gt;0)),INDEX('2.職務職能需求'!$B$2:$F$28,MATCH(F402,'2.職務職能需求'!$A$2:$A$28,0),MATCH(D402,'2.職務職能需求'!$B$1:$F$1,0)),0),""))</f>
        <v/>
      </c>
      <c r="H402" s="94" t="n"/>
      <c r="I402" s="94" t="n"/>
      <c r="J402" s="120">
        <f>IF(OR(G402="",I402="",G402=0),"",I402-G402)</f>
        <v/>
      </c>
      <c r="K402" s="120">
        <f>IF(G402="","",IF(G402=0,"不適用",IF(I402="","待評核",IF(I402&gt;=G402,IF(I402&gt;G402,"超越","達標"),"待發展"))))</f>
        <v/>
      </c>
      <c r="L402" s="91" t="n"/>
      <c r="M402" s="91" t="n"/>
      <c r="N402" s="88" t="n"/>
    </row>
    <row r="403" ht="15.75" customHeight="1" s="64">
      <c r="A403" s="88" t="n"/>
      <c r="B403" s="120">
        <f t="array" ref="B403:B403">IF(A403="","",IFERROR(INDEX('3.員工名單'!$B:$B,MATCH(A403,'3.員工名單'!$A:$A,0)),"查無此員工"))</f>
        <v/>
      </c>
      <c r="C403" s="120">
        <f t="array" ref="C403:C403">IF(A403="","",IFERROR(INDEX('3.員工名單'!$C:$C,MATCH(A403,'3.員工名單'!$A:$A,0)),""))</f>
        <v/>
      </c>
      <c r="D403" s="120">
        <f t="array" ref="D403:D403">IF(A403="","",IFERROR(INDEX('3.員工名單'!$D:$D,MATCH(A403,'3.員工名單'!$A:$A,0)),""))</f>
        <v/>
      </c>
      <c r="E403" s="120">
        <f t="array" ref="E403:E403">IF(F403="","",IFERROR(INDEX('1.職能辭典'!$A:$A,MATCH(F403,'1.職能辭典'!$C:$C,0)),""))</f>
        <v/>
      </c>
      <c r="F403" s="94" t="n"/>
      <c r="G403" s="120">
        <f t="array" ref="G403:G403">IF(OR(D403="",F403=""),"",IFERROR(IF(AND(OR(INDEX('1.職能辭典'!$J:$J,MATCH(F403,'1.職能辭典'!$C:$C,0))="全部",INDEX('3.員工名單'!$H:$H,MATCH(A403,'3.員工名單'!$A:$A,0))="兩款共用",INDEX('3.員工名單'!$H:$H,MATCH(A403,'3.員工名單'!$A:$A,0))=INDEX('1.職能辭典'!$J:$J,MATCH(F403,'1.職能辭典'!$C:$C,0))),OR(INDEX('1.職能辭典'!$K:$K,MATCH(F403,'1.職能辭典'!$C:$C,0))="全部",SUMPRODUCT(ISNUMBER(SEARCH({"經營","管理","財務","企劃","營運","技術","數據","美術","測試","客服"},INDEX('3.員工名單'!$I:$I,MATCH(A403,'3.員工名單'!$A:$A,0))))*ISNUMBER(SEARCH({"經營","管理","財務","企劃","營運","技術","數據","美術","測試","客服"},INDEX('1.職能辭典'!$K:$K,MATCH(F403,'1.職能辭典'!$C:$C,0)))))&gt;0)),INDEX('2.職務職能需求'!$B$2:$F$28,MATCH(F403,'2.職務職能需求'!$A$2:$A$28,0),MATCH(D403,'2.職務職能需求'!$B$1:$F$1,0)),0),""))</f>
        <v/>
      </c>
      <c r="H403" s="94" t="n"/>
      <c r="I403" s="94" t="n"/>
      <c r="J403" s="120">
        <f>IF(OR(G403="",I403="",G403=0),"",I403-G403)</f>
        <v/>
      </c>
      <c r="K403" s="120">
        <f>IF(G403="","",IF(G403=0,"不適用",IF(I403="","待評核",IF(I403&gt;=G403,IF(I403&gt;G403,"超越","達標"),"待發展"))))</f>
        <v/>
      </c>
      <c r="L403" s="91" t="n"/>
      <c r="M403" s="91" t="n"/>
      <c r="N403" s="88" t="n"/>
    </row>
    <row r="404" ht="15.75" customHeight="1" s="64">
      <c r="A404" s="88" t="n"/>
      <c r="B404" s="120">
        <f t="array" ref="B404:B404">IF(A404="","",IFERROR(INDEX('3.員工名單'!$B:$B,MATCH(A404,'3.員工名單'!$A:$A,0)),"查無此員工"))</f>
        <v/>
      </c>
      <c r="C404" s="120">
        <f t="array" ref="C404:C404">IF(A404="","",IFERROR(INDEX('3.員工名單'!$C:$C,MATCH(A404,'3.員工名單'!$A:$A,0)),""))</f>
        <v/>
      </c>
      <c r="D404" s="120">
        <f t="array" ref="D404:D404">IF(A404="","",IFERROR(INDEX('3.員工名單'!$D:$D,MATCH(A404,'3.員工名單'!$A:$A,0)),""))</f>
        <v/>
      </c>
      <c r="E404" s="120">
        <f t="array" ref="E404:E404">IF(F404="","",IFERROR(INDEX('1.職能辭典'!$A:$A,MATCH(F404,'1.職能辭典'!$C:$C,0)),""))</f>
        <v/>
      </c>
      <c r="F404" s="94" t="n"/>
      <c r="G404" s="120">
        <f t="array" ref="G404:G404">IF(OR(D404="",F404=""),"",IFERROR(IF(AND(OR(INDEX('1.職能辭典'!$J:$J,MATCH(F404,'1.職能辭典'!$C:$C,0))="全部",INDEX('3.員工名單'!$H:$H,MATCH(A404,'3.員工名單'!$A:$A,0))="兩款共用",INDEX('3.員工名單'!$H:$H,MATCH(A404,'3.員工名單'!$A:$A,0))=INDEX('1.職能辭典'!$J:$J,MATCH(F404,'1.職能辭典'!$C:$C,0))),OR(INDEX('1.職能辭典'!$K:$K,MATCH(F404,'1.職能辭典'!$C:$C,0))="全部",SUMPRODUCT(ISNUMBER(SEARCH({"經營","管理","財務","企劃","營運","技術","數據","美術","測試","客服"},INDEX('3.員工名單'!$I:$I,MATCH(A404,'3.員工名單'!$A:$A,0))))*ISNUMBER(SEARCH({"經營","管理","財務","企劃","營運","技術","數據","美術","測試","客服"},INDEX('1.職能辭典'!$K:$K,MATCH(F404,'1.職能辭典'!$C:$C,0)))))&gt;0)),INDEX('2.職務職能需求'!$B$2:$F$28,MATCH(F404,'2.職務職能需求'!$A$2:$A$28,0),MATCH(D404,'2.職務職能需求'!$B$1:$F$1,0)),0),""))</f>
        <v/>
      </c>
      <c r="H404" s="94" t="n"/>
      <c r="I404" s="94" t="n"/>
      <c r="J404" s="120">
        <f>IF(OR(G404="",I404="",G404=0),"",I404-G404)</f>
        <v/>
      </c>
      <c r="K404" s="120">
        <f>IF(G404="","",IF(G404=0,"不適用",IF(I404="","待評核",IF(I404&gt;=G404,IF(I404&gt;G404,"超越","達標"),"待發展"))))</f>
        <v/>
      </c>
      <c r="L404" s="91" t="n"/>
      <c r="M404" s="91" t="n"/>
      <c r="N404" s="88" t="n"/>
    </row>
    <row r="405" ht="15.75" customHeight="1" s="64">
      <c r="A405" s="88" t="n"/>
      <c r="B405" s="120">
        <f t="array" ref="B405:B405">IF(A405="","",IFERROR(INDEX('3.員工名單'!$B:$B,MATCH(A405,'3.員工名單'!$A:$A,0)),"查無此員工"))</f>
        <v/>
      </c>
      <c r="C405" s="120">
        <f t="array" ref="C405:C405">IF(A405="","",IFERROR(INDEX('3.員工名單'!$C:$C,MATCH(A405,'3.員工名單'!$A:$A,0)),""))</f>
        <v/>
      </c>
      <c r="D405" s="120">
        <f t="array" ref="D405:D405">IF(A405="","",IFERROR(INDEX('3.員工名單'!$D:$D,MATCH(A405,'3.員工名單'!$A:$A,0)),""))</f>
        <v/>
      </c>
      <c r="E405" s="120">
        <f t="array" ref="E405:E405">IF(F405="","",IFERROR(INDEX('1.職能辭典'!$A:$A,MATCH(F405,'1.職能辭典'!$C:$C,0)),""))</f>
        <v/>
      </c>
      <c r="F405" s="94" t="n"/>
      <c r="G405" s="120">
        <f t="array" ref="G405:G405">IF(OR(D405="",F405=""),"",IFERROR(IF(AND(OR(INDEX('1.職能辭典'!$J:$J,MATCH(F405,'1.職能辭典'!$C:$C,0))="全部",INDEX('3.員工名單'!$H:$H,MATCH(A405,'3.員工名單'!$A:$A,0))="兩款共用",INDEX('3.員工名單'!$H:$H,MATCH(A405,'3.員工名單'!$A:$A,0))=INDEX('1.職能辭典'!$J:$J,MATCH(F405,'1.職能辭典'!$C:$C,0))),OR(INDEX('1.職能辭典'!$K:$K,MATCH(F405,'1.職能辭典'!$C:$C,0))="全部",SUMPRODUCT(ISNUMBER(SEARCH({"經營","管理","財務","企劃","營運","技術","數據","美術","測試","客服"},INDEX('3.員工名單'!$I:$I,MATCH(A405,'3.員工名單'!$A:$A,0))))*ISNUMBER(SEARCH({"經營","管理","財務","企劃","營運","技術","數據","美術","測試","客服"},INDEX('1.職能辭典'!$K:$K,MATCH(F405,'1.職能辭典'!$C:$C,0)))))&gt;0)),INDEX('2.職務職能需求'!$B$2:$F$28,MATCH(F405,'2.職務職能需求'!$A$2:$A$28,0),MATCH(D405,'2.職務職能需求'!$B$1:$F$1,0)),0),""))</f>
        <v/>
      </c>
      <c r="H405" s="94" t="n"/>
      <c r="I405" s="94" t="n"/>
      <c r="J405" s="120">
        <f>IF(OR(G405="",I405="",G405=0),"",I405-G405)</f>
        <v/>
      </c>
      <c r="K405" s="120">
        <f>IF(G405="","",IF(G405=0,"不適用",IF(I405="","待評核",IF(I405&gt;=G405,IF(I405&gt;G405,"超越","達標"),"待發展"))))</f>
        <v/>
      </c>
      <c r="L405" s="91" t="n"/>
      <c r="M405" s="91" t="n"/>
      <c r="N405" s="88" t="n"/>
    </row>
    <row r="406" ht="15.75" customHeight="1" s="64">
      <c r="A406" s="88" t="n"/>
      <c r="B406" s="120">
        <f t="array" ref="B406:B406">IF(A406="","",IFERROR(INDEX('3.員工名單'!$B:$B,MATCH(A406,'3.員工名單'!$A:$A,0)),"查無此員工"))</f>
        <v/>
      </c>
      <c r="C406" s="120">
        <f t="array" ref="C406:C406">IF(A406="","",IFERROR(INDEX('3.員工名單'!$C:$C,MATCH(A406,'3.員工名單'!$A:$A,0)),""))</f>
        <v/>
      </c>
      <c r="D406" s="120">
        <f t="array" ref="D406:D406">IF(A406="","",IFERROR(INDEX('3.員工名單'!$D:$D,MATCH(A406,'3.員工名單'!$A:$A,0)),""))</f>
        <v/>
      </c>
      <c r="E406" s="120">
        <f t="array" ref="E406:E406">IF(F406="","",IFERROR(INDEX('1.職能辭典'!$A:$A,MATCH(F406,'1.職能辭典'!$C:$C,0)),""))</f>
        <v/>
      </c>
      <c r="F406" s="94" t="n"/>
      <c r="G406" s="120">
        <f t="array" ref="G406:G406">IF(OR(D406="",F406=""),"",IFERROR(IF(AND(OR(INDEX('1.職能辭典'!$J:$J,MATCH(F406,'1.職能辭典'!$C:$C,0))="全部",INDEX('3.員工名單'!$H:$H,MATCH(A406,'3.員工名單'!$A:$A,0))="兩款共用",INDEX('3.員工名單'!$H:$H,MATCH(A406,'3.員工名單'!$A:$A,0))=INDEX('1.職能辭典'!$J:$J,MATCH(F406,'1.職能辭典'!$C:$C,0))),OR(INDEX('1.職能辭典'!$K:$K,MATCH(F406,'1.職能辭典'!$C:$C,0))="全部",SUMPRODUCT(ISNUMBER(SEARCH({"經營","管理","財務","企劃","營運","技術","數據","美術","測試","客服"},INDEX('3.員工名單'!$I:$I,MATCH(A406,'3.員工名單'!$A:$A,0))))*ISNUMBER(SEARCH({"經營","管理","財務","企劃","營運","技術","數據","美術","測試","客服"},INDEX('1.職能辭典'!$K:$K,MATCH(F406,'1.職能辭典'!$C:$C,0)))))&gt;0)),INDEX('2.職務職能需求'!$B$2:$F$28,MATCH(F406,'2.職務職能需求'!$A$2:$A$28,0),MATCH(D406,'2.職務職能需求'!$B$1:$F$1,0)),0),""))</f>
        <v/>
      </c>
      <c r="H406" s="94" t="n"/>
      <c r="I406" s="94" t="n"/>
      <c r="J406" s="120">
        <f>IF(OR(G406="",I406="",G406=0),"",I406-G406)</f>
        <v/>
      </c>
      <c r="K406" s="120">
        <f>IF(G406="","",IF(G406=0,"不適用",IF(I406="","待評核",IF(I406&gt;=G406,IF(I406&gt;G406,"超越","達標"),"待發展"))))</f>
        <v/>
      </c>
      <c r="L406" s="91" t="n"/>
      <c r="M406" s="91" t="n"/>
      <c r="N406" s="88" t="n"/>
    </row>
    <row r="407" ht="15.75" customHeight="1" s="64">
      <c r="A407" s="88" t="n"/>
      <c r="B407" s="120">
        <f t="array" ref="B407:B407">IF(A407="","",IFERROR(INDEX('3.員工名單'!$B:$B,MATCH(A407,'3.員工名單'!$A:$A,0)),"查無此員工"))</f>
        <v/>
      </c>
      <c r="C407" s="120">
        <f t="array" ref="C407:C407">IF(A407="","",IFERROR(INDEX('3.員工名單'!$C:$C,MATCH(A407,'3.員工名單'!$A:$A,0)),""))</f>
        <v/>
      </c>
      <c r="D407" s="120">
        <f t="array" ref="D407:D407">IF(A407="","",IFERROR(INDEX('3.員工名單'!$D:$D,MATCH(A407,'3.員工名單'!$A:$A,0)),""))</f>
        <v/>
      </c>
      <c r="E407" s="120">
        <f t="array" ref="E407:E407">IF(F407="","",IFERROR(INDEX('1.職能辭典'!$A:$A,MATCH(F407,'1.職能辭典'!$C:$C,0)),""))</f>
        <v/>
      </c>
      <c r="F407" s="94" t="n"/>
      <c r="G407" s="120">
        <f t="array" ref="G407:G407">IF(OR(D407="",F407=""),"",IFERROR(IF(AND(OR(INDEX('1.職能辭典'!$J:$J,MATCH(F407,'1.職能辭典'!$C:$C,0))="全部",INDEX('3.員工名單'!$H:$H,MATCH(A407,'3.員工名單'!$A:$A,0))="兩款共用",INDEX('3.員工名單'!$H:$H,MATCH(A407,'3.員工名單'!$A:$A,0))=INDEX('1.職能辭典'!$J:$J,MATCH(F407,'1.職能辭典'!$C:$C,0))),OR(INDEX('1.職能辭典'!$K:$K,MATCH(F407,'1.職能辭典'!$C:$C,0))="全部",SUMPRODUCT(ISNUMBER(SEARCH({"經營","管理","財務","企劃","營運","技術","數據","美術","測試","客服"},INDEX('3.員工名單'!$I:$I,MATCH(A407,'3.員工名單'!$A:$A,0))))*ISNUMBER(SEARCH({"經營","管理","財務","企劃","營運","技術","數據","美術","測試","客服"},INDEX('1.職能辭典'!$K:$K,MATCH(F407,'1.職能辭典'!$C:$C,0)))))&gt;0)),INDEX('2.職務職能需求'!$B$2:$F$28,MATCH(F407,'2.職務職能需求'!$A$2:$A$28,0),MATCH(D407,'2.職務職能需求'!$B$1:$F$1,0)),0),""))</f>
        <v/>
      </c>
      <c r="H407" s="94" t="n"/>
      <c r="I407" s="94" t="n"/>
      <c r="J407" s="120">
        <f>IF(OR(G407="",I407="",G407=0),"",I407-G407)</f>
        <v/>
      </c>
      <c r="K407" s="120">
        <f>IF(G407="","",IF(G407=0,"不適用",IF(I407="","待評核",IF(I407&gt;=G407,IF(I407&gt;G407,"超越","達標"),"待發展"))))</f>
        <v/>
      </c>
      <c r="L407" s="91" t="n"/>
      <c r="M407" s="91" t="n"/>
      <c r="N407" s="88" t="n"/>
    </row>
    <row r="408" ht="15.75" customHeight="1" s="64">
      <c r="A408" s="88" t="n"/>
      <c r="B408" s="120">
        <f t="array" ref="B408:B408">IF(A408="","",IFERROR(INDEX('3.員工名單'!$B:$B,MATCH(A408,'3.員工名單'!$A:$A,0)),"查無此員工"))</f>
        <v/>
      </c>
      <c r="C408" s="120">
        <f t="array" ref="C408:C408">IF(A408="","",IFERROR(INDEX('3.員工名單'!$C:$C,MATCH(A408,'3.員工名單'!$A:$A,0)),""))</f>
        <v/>
      </c>
      <c r="D408" s="120">
        <f t="array" ref="D408:D408">IF(A408="","",IFERROR(INDEX('3.員工名單'!$D:$D,MATCH(A408,'3.員工名單'!$A:$A,0)),""))</f>
        <v/>
      </c>
      <c r="E408" s="120">
        <f t="array" ref="E408:E408">IF(F408="","",IFERROR(INDEX('1.職能辭典'!$A:$A,MATCH(F408,'1.職能辭典'!$C:$C,0)),""))</f>
        <v/>
      </c>
      <c r="F408" s="94" t="n"/>
      <c r="G408" s="120">
        <f t="array" ref="G408:G408">IF(OR(D408="",F408=""),"",IFERROR(IF(AND(OR(INDEX('1.職能辭典'!$J:$J,MATCH(F408,'1.職能辭典'!$C:$C,0))="全部",INDEX('3.員工名單'!$H:$H,MATCH(A408,'3.員工名單'!$A:$A,0))="兩款共用",INDEX('3.員工名單'!$H:$H,MATCH(A408,'3.員工名單'!$A:$A,0))=INDEX('1.職能辭典'!$J:$J,MATCH(F408,'1.職能辭典'!$C:$C,0))),OR(INDEX('1.職能辭典'!$K:$K,MATCH(F408,'1.職能辭典'!$C:$C,0))="全部",SUMPRODUCT(ISNUMBER(SEARCH({"經營","管理","財務","企劃","營運","技術","數據","美術","測試","客服"},INDEX('3.員工名單'!$I:$I,MATCH(A408,'3.員工名單'!$A:$A,0))))*ISNUMBER(SEARCH({"經營","管理","財務","企劃","營運","技術","數據","美術","測試","客服"},INDEX('1.職能辭典'!$K:$K,MATCH(F408,'1.職能辭典'!$C:$C,0)))))&gt;0)),INDEX('2.職務職能需求'!$B$2:$F$28,MATCH(F408,'2.職務職能需求'!$A$2:$A$28,0),MATCH(D408,'2.職務職能需求'!$B$1:$F$1,0)),0),""))</f>
        <v/>
      </c>
      <c r="H408" s="94" t="n"/>
      <c r="I408" s="94" t="n"/>
      <c r="J408" s="120">
        <f>IF(OR(G408="",I408="",G408=0),"",I408-G408)</f>
        <v/>
      </c>
      <c r="K408" s="120">
        <f>IF(G408="","",IF(G408=0,"不適用",IF(I408="","待評核",IF(I408&gt;=G408,IF(I408&gt;G408,"超越","達標"),"待發展"))))</f>
        <v/>
      </c>
      <c r="L408" s="91" t="n"/>
      <c r="M408" s="91" t="n"/>
      <c r="N408" s="88" t="n"/>
    </row>
    <row r="409" ht="15.75" customHeight="1" s="64">
      <c r="A409" s="88" t="n"/>
      <c r="B409" s="120">
        <f t="array" ref="B409:B409">IF(A409="","",IFERROR(INDEX('3.員工名單'!$B:$B,MATCH(A409,'3.員工名單'!$A:$A,0)),"查無此員工"))</f>
        <v/>
      </c>
      <c r="C409" s="120">
        <f t="array" ref="C409:C409">IF(A409="","",IFERROR(INDEX('3.員工名單'!$C:$C,MATCH(A409,'3.員工名單'!$A:$A,0)),""))</f>
        <v/>
      </c>
      <c r="D409" s="120">
        <f t="array" ref="D409:D409">IF(A409="","",IFERROR(INDEX('3.員工名單'!$D:$D,MATCH(A409,'3.員工名單'!$A:$A,0)),""))</f>
        <v/>
      </c>
      <c r="E409" s="120">
        <f t="array" ref="E409:E409">IF(F409="","",IFERROR(INDEX('1.職能辭典'!$A:$A,MATCH(F409,'1.職能辭典'!$C:$C,0)),""))</f>
        <v/>
      </c>
      <c r="F409" s="94" t="n"/>
      <c r="G409" s="120">
        <f t="array" ref="G409:G409">IF(OR(D409="",F409=""),"",IFERROR(IF(AND(OR(INDEX('1.職能辭典'!$J:$J,MATCH(F409,'1.職能辭典'!$C:$C,0))="全部",INDEX('3.員工名單'!$H:$H,MATCH(A409,'3.員工名單'!$A:$A,0))="兩款共用",INDEX('3.員工名單'!$H:$H,MATCH(A409,'3.員工名單'!$A:$A,0))=INDEX('1.職能辭典'!$J:$J,MATCH(F409,'1.職能辭典'!$C:$C,0))),OR(INDEX('1.職能辭典'!$K:$K,MATCH(F409,'1.職能辭典'!$C:$C,0))="全部",SUMPRODUCT(ISNUMBER(SEARCH({"經營","管理","財務","企劃","營運","技術","數據","美術","測試","客服"},INDEX('3.員工名單'!$I:$I,MATCH(A409,'3.員工名單'!$A:$A,0))))*ISNUMBER(SEARCH({"經營","管理","財務","企劃","營運","技術","數據","美術","測試","客服"},INDEX('1.職能辭典'!$K:$K,MATCH(F409,'1.職能辭典'!$C:$C,0)))))&gt;0)),INDEX('2.職務職能需求'!$B$2:$F$28,MATCH(F409,'2.職務職能需求'!$A$2:$A$28,0),MATCH(D409,'2.職務職能需求'!$B$1:$F$1,0)),0),""))</f>
        <v/>
      </c>
      <c r="H409" s="94" t="n"/>
      <c r="I409" s="94" t="n"/>
      <c r="J409" s="120">
        <f>IF(OR(G409="",I409="",G409=0),"",I409-G409)</f>
        <v/>
      </c>
      <c r="K409" s="120">
        <f>IF(G409="","",IF(G409=0,"不適用",IF(I409="","待評核",IF(I409&gt;=G409,IF(I409&gt;G409,"超越","達標"),"待發展"))))</f>
        <v/>
      </c>
      <c r="L409" s="91" t="n"/>
      <c r="M409" s="91" t="n"/>
      <c r="N409" s="88" t="n"/>
    </row>
    <row r="410" ht="15.75" customHeight="1" s="64">
      <c r="A410" s="88" t="n"/>
      <c r="B410" s="120">
        <f t="array" ref="B410:B410">IF(A410="","",IFERROR(INDEX('3.員工名單'!$B:$B,MATCH(A410,'3.員工名單'!$A:$A,0)),"查無此員工"))</f>
        <v/>
      </c>
      <c r="C410" s="120">
        <f t="array" ref="C410:C410">IF(A410="","",IFERROR(INDEX('3.員工名單'!$C:$C,MATCH(A410,'3.員工名單'!$A:$A,0)),""))</f>
        <v/>
      </c>
      <c r="D410" s="120">
        <f t="array" ref="D410:D410">IF(A410="","",IFERROR(INDEX('3.員工名單'!$D:$D,MATCH(A410,'3.員工名單'!$A:$A,0)),""))</f>
        <v/>
      </c>
      <c r="E410" s="120">
        <f t="array" ref="E410:E410">IF(F410="","",IFERROR(INDEX('1.職能辭典'!$A:$A,MATCH(F410,'1.職能辭典'!$C:$C,0)),""))</f>
        <v/>
      </c>
      <c r="F410" s="94" t="n"/>
      <c r="G410" s="120">
        <f t="array" ref="G410:G410">IF(OR(D410="",F410=""),"",IFERROR(IF(AND(OR(INDEX('1.職能辭典'!$J:$J,MATCH(F410,'1.職能辭典'!$C:$C,0))="全部",INDEX('3.員工名單'!$H:$H,MATCH(A410,'3.員工名單'!$A:$A,0))="兩款共用",INDEX('3.員工名單'!$H:$H,MATCH(A410,'3.員工名單'!$A:$A,0))=INDEX('1.職能辭典'!$J:$J,MATCH(F410,'1.職能辭典'!$C:$C,0))),OR(INDEX('1.職能辭典'!$K:$K,MATCH(F410,'1.職能辭典'!$C:$C,0))="全部",SUMPRODUCT(ISNUMBER(SEARCH({"經營","管理","財務","企劃","營運","技術","數據","美術","測試","客服"},INDEX('3.員工名單'!$I:$I,MATCH(A410,'3.員工名單'!$A:$A,0))))*ISNUMBER(SEARCH({"經營","管理","財務","企劃","營運","技術","數據","美術","測試","客服"},INDEX('1.職能辭典'!$K:$K,MATCH(F410,'1.職能辭典'!$C:$C,0)))))&gt;0)),INDEX('2.職務職能需求'!$B$2:$F$28,MATCH(F410,'2.職務職能需求'!$A$2:$A$28,0),MATCH(D410,'2.職務職能需求'!$B$1:$F$1,0)),0),""))</f>
        <v/>
      </c>
      <c r="H410" s="94" t="n"/>
      <c r="I410" s="94" t="n"/>
      <c r="J410" s="120">
        <f>IF(OR(G410="",I410="",G410=0),"",I410-G410)</f>
        <v/>
      </c>
      <c r="K410" s="120">
        <f>IF(G410="","",IF(G410=0,"不適用",IF(I410="","待評核",IF(I410&gt;=G410,IF(I410&gt;G410,"超越","達標"),"待發展"))))</f>
        <v/>
      </c>
      <c r="L410" s="91" t="n"/>
      <c r="M410" s="91" t="n"/>
      <c r="N410" s="88" t="n"/>
    </row>
    <row r="411" ht="15.75" customHeight="1" s="64">
      <c r="A411" s="88" t="n"/>
      <c r="B411" s="120">
        <f t="array" ref="B411:B411">IF(A411="","",IFERROR(INDEX('3.員工名單'!$B:$B,MATCH(A411,'3.員工名單'!$A:$A,0)),"查無此員工"))</f>
        <v/>
      </c>
      <c r="C411" s="120">
        <f t="array" ref="C411:C411">IF(A411="","",IFERROR(INDEX('3.員工名單'!$C:$C,MATCH(A411,'3.員工名單'!$A:$A,0)),""))</f>
        <v/>
      </c>
      <c r="D411" s="120">
        <f t="array" ref="D411:D411">IF(A411="","",IFERROR(INDEX('3.員工名單'!$D:$D,MATCH(A411,'3.員工名單'!$A:$A,0)),""))</f>
        <v/>
      </c>
      <c r="E411" s="120">
        <f t="array" ref="E411:E411">IF(F411="","",IFERROR(INDEX('1.職能辭典'!$A:$A,MATCH(F411,'1.職能辭典'!$C:$C,0)),""))</f>
        <v/>
      </c>
      <c r="F411" s="94" t="n"/>
      <c r="G411" s="120">
        <f t="array" ref="G411:G411">IF(OR(D411="",F411=""),"",IFERROR(IF(AND(OR(INDEX('1.職能辭典'!$J:$J,MATCH(F411,'1.職能辭典'!$C:$C,0))="全部",INDEX('3.員工名單'!$H:$H,MATCH(A411,'3.員工名單'!$A:$A,0))="兩款共用",INDEX('3.員工名單'!$H:$H,MATCH(A411,'3.員工名單'!$A:$A,0))=INDEX('1.職能辭典'!$J:$J,MATCH(F411,'1.職能辭典'!$C:$C,0))),OR(INDEX('1.職能辭典'!$K:$K,MATCH(F411,'1.職能辭典'!$C:$C,0))="全部",SUMPRODUCT(ISNUMBER(SEARCH({"經營","管理","財務","企劃","營運","技術","數據","美術","測試","客服"},INDEX('3.員工名單'!$I:$I,MATCH(A411,'3.員工名單'!$A:$A,0))))*ISNUMBER(SEARCH({"經營","管理","財務","企劃","營運","技術","數據","美術","測試","客服"},INDEX('1.職能辭典'!$K:$K,MATCH(F411,'1.職能辭典'!$C:$C,0)))))&gt;0)),INDEX('2.職務職能需求'!$B$2:$F$28,MATCH(F411,'2.職務職能需求'!$A$2:$A$28,0),MATCH(D411,'2.職務職能需求'!$B$1:$F$1,0)),0),""))</f>
        <v/>
      </c>
      <c r="H411" s="94" t="n"/>
      <c r="I411" s="94" t="n"/>
      <c r="J411" s="120">
        <f>IF(OR(G411="",I411="",G411=0),"",I411-G411)</f>
        <v/>
      </c>
      <c r="K411" s="120">
        <f>IF(G411="","",IF(G411=0,"不適用",IF(I411="","待評核",IF(I411&gt;=G411,IF(I411&gt;G411,"超越","達標"),"待發展"))))</f>
        <v/>
      </c>
      <c r="L411" s="91" t="n"/>
      <c r="M411" s="91" t="n"/>
      <c r="N411" s="88" t="n"/>
    </row>
    <row r="412" ht="15.75" customHeight="1" s="64">
      <c r="A412" s="88" t="n"/>
      <c r="B412" s="120">
        <f t="array" ref="B412:B412">IF(A412="","",IFERROR(INDEX('3.員工名單'!$B:$B,MATCH(A412,'3.員工名單'!$A:$A,0)),"查無此員工"))</f>
        <v/>
      </c>
      <c r="C412" s="120">
        <f t="array" ref="C412:C412">IF(A412="","",IFERROR(INDEX('3.員工名單'!$C:$C,MATCH(A412,'3.員工名單'!$A:$A,0)),""))</f>
        <v/>
      </c>
      <c r="D412" s="120">
        <f t="array" ref="D412:D412">IF(A412="","",IFERROR(INDEX('3.員工名單'!$D:$D,MATCH(A412,'3.員工名單'!$A:$A,0)),""))</f>
        <v/>
      </c>
      <c r="E412" s="120">
        <f t="array" ref="E412:E412">IF(F412="","",IFERROR(INDEX('1.職能辭典'!$A:$A,MATCH(F412,'1.職能辭典'!$C:$C,0)),""))</f>
        <v/>
      </c>
      <c r="F412" s="94" t="n"/>
      <c r="G412" s="120">
        <f t="array" ref="G412:G412">IF(OR(D412="",F412=""),"",IFERROR(IF(AND(OR(INDEX('1.職能辭典'!$J:$J,MATCH(F412,'1.職能辭典'!$C:$C,0))="全部",INDEX('3.員工名單'!$H:$H,MATCH(A412,'3.員工名單'!$A:$A,0))="兩款共用",INDEX('3.員工名單'!$H:$H,MATCH(A412,'3.員工名單'!$A:$A,0))=INDEX('1.職能辭典'!$J:$J,MATCH(F412,'1.職能辭典'!$C:$C,0))),OR(INDEX('1.職能辭典'!$K:$K,MATCH(F412,'1.職能辭典'!$C:$C,0))="全部",SUMPRODUCT(ISNUMBER(SEARCH({"經營","管理","財務","企劃","營運","技術","數據","美術","測試","客服"},INDEX('3.員工名單'!$I:$I,MATCH(A412,'3.員工名單'!$A:$A,0))))*ISNUMBER(SEARCH({"經營","管理","財務","企劃","營運","技術","數據","美術","測試","客服"},INDEX('1.職能辭典'!$K:$K,MATCH(F412,'1.職能辭典'!$C:$C,0)))))&gt;0)),INDEX('2.職務職能需求'!$B$2:$F$28,MATCH(F412,'2.職務職能需求'!$A$2:$A$28,0),MATCH(D412,'2.職務職能需求'!$B$1:$F$1,0)),0),""))</f>
        <v/>
      </c>
      <c r="H412" s="94" t="n"/>
      <c r="I412" s="94" t="n"/>
      <c r="J412" s="120">
        <f>IF(OR(G412="",I412="",G412=0),"",I412-G412)</f>
        <v/>
      </c>
      <c r="K412" s="120">
        <f>IF(G412="","",IF(G412=0,"不適用",IF(I412="","待評核",IF(I412&gt;=G412,IF(I412&gt;G412,"超越","達標"),"待發展"))))</f>
        <v/>
      </c>
      <c r="L412" s="91" t="n"/>
      <c r="M412" s="91" t="n"/>
      <c r="N412" s="88" t="n"/>
    </row>
    <row r="413" ht="15.75" customHeight="1" s="64">
      <c r="A413" s="88" t="n"/>
      <c r="B413" s="120">
        <f t="array" ref="B413:B413">IF(A413="","",IFERROR(INDEX('3.員工名單'!$B:$B,MATCH(A413,'3.員工名單'!$A:$A,0)),"查無此員工"))</f>
        <v/>
      </c>
      <c r="C413" s="120">
        <f t="array" ref="C413:C413">IF(A413="","",IFERROR(INDEX('3.員工名單'!$C:$C,MATCH(A413,'3.員工名單'!$A:$A,0)),""))</f>
        <v/>
      </c>
      <c r="D413" s="120">
        <f t="array" ref="D413:D413">IF(A413="","",IFERROR(INDEX('3.員工名單'!$D:$D,MATCH(A413,'3.員工名單'!$A:$A,0)),""))</f>
        <v/>
      </c>
      <c r="E413" s="120">
        <f t="array" ref="E413:E413">IF(F413="","",IFERROR(INDEX('1.職能辭典'!$A:$A,MATCH(F413,'1.職能辭典'!$C:$C,0)),""))</f>
        <v/>
      </c>
      <c r="F413" s="94" t="n"/>
      <c r="G413" s="120">
        <f t="array" ref="G413:G413">IF(OR(D413="",F413=""),"",IFERROR(IF(AND(OR(INDEX('1.職能辭典'!$J:$J,MATCH(F413,'1.職能辭典'!$C:$C,0))="全部",INDEX('3.員工名單'!$H:$H,MATCH(A413,'3.員工名單'!$A:$A,0))="兩款共用",INDEX('3.員工名單'!$H:$H,MATCH(A413,'3.員工名單'!$A:$A,0))=INDEX('1.職能辭典'!$J:$J,MATCH(F413,'1.職能辭典'!$C:$C,0))),OR(INDEX('1.職能辭典'!$K:$K,MATCH(F413,'1.職能辭典'!$C:$C,0))="全部",SUMPRODUCT(ISNUMBER(SEARCH({"經營","管理","財務","企劃","營運","技術","數據","美術","測試","客服"},INDEX('3.員工名單'!$I:$I,MATCH(A413,'3.員工名單'!$A:$A,0))))*ISNUMBER(SEARCH({"經營","管理","財務","企劃","營運","技術","數據","美術","測試","客服"},INDEX('1.職能辭典'!$K:$K,MATCH(F413,'1.職能辭典'!$C:$C,0)))))&gt;0)),INDEX('2.職務職能需求'!$B$2:$F$28,MATCH(F413,'2.職務職能需求'!$A$2:$A$28,0),MATCH(D413,'2.職務職能需求'!$B$1:$F$1,0)),0),""))</f>
        <v/>
      </c>
      <c r="H413" s="94" t="n"/>
      <c r="I413" s="94" t="n"/>
      <c r="J413" s="120">
        <f>IF(OR(G413="",I413="",G413=0),"",I413-G413)</f>
        <v/>
      </c>
      <c r="K413" s="120">
        <f>IF(G413="","",IF(G413=0,"不適用",IF(I413="","待評核",IF(I413&gt;=G413,IF(I413&gt;G413,"超越","達標"),"待發展"))))</f>
        <v/>
      </c>
      <c r="L413" s="91" t="n"/>
      <c r="M413" s="91" t="n"/>
      <c r="N413" s="88" t="n"/>
    </row>
    <row r="414" ht="15.75" customHeight="1" s="64">
      <c r="A414" s="88" t="n"/>
      <c r="B414" s="120">
        <f t="array" ref="B414:B414">IF(A414="","",IFERROR(INDEX('3.員工名單'!$B:$B,MATCH(A414,'3.員工名單'!$A:$A,0)),"查無此員工"))</f>
        <v/>
      </c>
      <c r="C414" s="120">
        <f t="array" ref="C414:C414">IF(A414="","",IFERROR(INDEX('3.員工名單'!$C:$C,MATCH(A414,'3.員工名單'!$A:$A,0)),""))</f>
        <v/>
      </c>
      <c r="D414" s="120">
        <f t="array" ref="D414:D414">IF(A414="","",IFERROR(INDEX('3.員工名單'!$D:$D,MATCH(A414,'3.員工名單'!$A:$A,0)),""))</f>
        <v/>
      </c>
      <c r="E414" s="120">
        <f t="array" ref="E414:E414">IF(F414="","",IFERROR(INDEX('1.職能辭典'!$A:$A,MATCH(F414,'1.職能辭典'!$C:$C,0)),""))</f>
        <v/>
      </c>
      <c r="F414" s="94" t="n"/>
      <c r="G414" s="120">
        <f t="array" ref="G414:G414">IF(OR(D414="",F414=""),"",IFERROR(IF(AND(OR(INDEX('1.職能辭典'!$J:$J,MATCH(F414,'1.職能辭典'!$C:$C,0))="全部",INDEX('3.員工名單'!$H:$H,MATCH(A414,'3.員工名單'!$A:$A,0))="兩款共用",INDEX('3.員工名單'!$H:$H,MATCH(A414,'3.員工名單'!$A:$A,0))=INDEX('1.職能辭典'!$J:$J,MATCH(F414,'1.職能辭典'!$C:$C,0))),OR(INDEX('1.職能辭典'!$K:$K,MATCH(F414,'1.職能辭典'!$C:$C,0))="全部",SUMPRODUCT(ISNUMBER(SEARCH({"經營","管理","財務","企劃","營運","技術","數據","美術","測試","客服"},INDEX('3.員工名單'!$I:$I,MATCH(A414,'3.員工名單'!$A:$A,0))))*ISNUMBER(SEARCH({"經營","管理","財務","企劃","營運","技術","數據","美術","測試","客服"},INDEX('1.職能辭典'!$K:$K,MATCH(F414,'1.職能辭典'!$C:$C,0)))))&gt;0)),INDEX('2.職務職能需求'!$B$2:$F$28,MATCH(F414,'2.職務職能需求'!$A$2:$A$28,0),MATCH(D414,'2.職務職能需求'!$B$1:$F$1,0)),0),""))</f>
        <v/>
      </c>
      <c r="H414" s="94" t="n"/>
      <c r="I414" s="94" t="n"/>
      <c r="J414" s="120">
        <f>IF(OR(G414="",I414="",G414=0),"",I414-G414)</f>
        <v/>
      </c>
      <c r="K414" s="120">
        <f>IF(G414="","",IF(G414=0,"不適用",IF(I414="","待評核",IF(I414&gt;=G414,IF(I414&gt;G414,"超越","達標"),"待發展"))))</f>
        <v/>
      </c>
      <c r="L414" s="91" t="n"/>
      <c r="M414" s="91" t="n"/>
      <c r="N414" s="88" t="n"/>
    </row>
    <row r="415" ht="15.75" customHeight="1" s="64">
      <c r="A415" s="88" t="n"/>
      <c r="B415" s="120">
        <f t="array" ref="B415:B415">IF(A415="","",IFERROR(INDEX('3.員工名單'!$B:$B,MATCH(A415,'3.員工名單'!$A:$A,0)),"查無此員工"))</f>
        <v/>
      </c>
      <c r="C415" s="120">
        <f t="array" ref="C415:C415">IF(A415="","",IFERROR(INDEX('3.員工名單'!$C:$C,MATCH(A415,'3.員工名單'!$A:$A,0)),""))</f>
        <v/>
      </c>
      <c r="D415" s="120">
        <f t="array" ref="D415:D415">IF(A415="","",IFERROR(INDEX('3.員工名單'!$D:$D,MATCH(A415,'3.員工名單'!$A:$A,0)),""))</f>
        <v/>
      </c>
      <c r="E415" s="120">
        <f t="array" ref="E415:E415">IF(F415="","",IFERROR(INDEX('1.職能辭典'!$A:$A,MATCH(F415,'1.職能辭典'!$C:$C,0)),""))</f>
        <v/>
      </c>
      <c r="F415" s="94" t="n"/>
      <c r="G415" s="120">
        <f t="array" ref="G415:G415">IF(OR(D415="",F415=""),"",IFERROR(IF(AND(OR(INDEX('1.職能辭典'!$J:$J,MATCH(F415,'1.職能辭典'!$C:$C,0))="全部",INDEX('3.員工名單'!$H:$H,MATCH(A415,'3.員工名單'!$A:$A,0))="兩款共用",INDEX('3.員工名單'!$H:$H,MATCH(A415,'3.員工名單'!$A:$A,0))=INDEX('1.職能辭典'!$J:$J,MATCH(F415,'1.職能辭典'!$C:$C,0))),OR(INDEX('1.職能辭典'!$K:$K,MATCH(F415,'1.職能辭典'!$C:$C,0))="全部",SUMPRODUCT(ISNUMBER(SEARCH({"經營","管理","財務","企劃","營運","技術","數據","美術","測試","客服"},INDEX('3.員工名單'!$I:$I,MATCH(A415,'3.員工名單'!$A:$A,0))))*ISNUMBER(SEARCH({"經營","管理","財務","企劃","營運","技術","數據","美術","測試","客服"},INDEX('1.職能辭典'!$K:$K,MATCH(F415,'1.職能辭典'!$C:$C,0)))))&gt;0)),INDEX('2.職務職能需求'!$B$2:$F$28,MATCH(F415,'2.職務職能需求'!$A$2:$A$28,0),MATCH(D415,'2.職務職能需求'!$B$1:$F$1,0)),0),""))</f>
        <v/>
      </c>
      <c r="H415" s="94" t="n"/>
      <c r="I415" s="94" t="n"/>
      <c r="J415" s="120">
        <f>IF(OR(G415="",I415="",G415=0),"",I415-G415)</f>
        <v/>
      </c>
      <c r="K415" s="120">
        <f>IF(G415="","",IF(G415=0,"不適用",IF(I415="","待評核",IF(I415&gt;=G415,IF(I415&gt;G415,"超越","達標"),"待發展"))))</f>
        <v/>
      </c>
      <c r="L415" s="91" t="n"/>
      <c r="M415" s="91" t="n"/>
      <c r="N415" s="88" t="n"/>
    </row>
    <row r="416" ht="15.75" customHeight="1" s="64">
      <c r="A416" s="88" t="n"/>
      <c r="B416" s="120">
        <f t="array" ref="B416:B416">IF(A416="","",IFERROR(INDEX('3.員工名單'!$B:$B,MATCH(A416,'3.員工名單'!$A:$A,0)),"查無此員工"))</f>
        <v/>
      </c>
      <c r="C416" s="120">
        <f t="array" ref="C416:C416">IF(A416="","",IFERROR(INDEX('3.員工名單'!$C:$C,MATCH(A416,'3.員工名單'!$A:$A,0)),""))</f>
        <v/>
      </c>
      <c r="D416" s="120">
        <f t="array" ref="D416:D416">IF(A416="","",IFERROR(INDEX('3.員工名單'!$D:$D,MATCH(A416,'3.員工名單'!$A:$A,0)),""))</f>
        <v/>
      </c>
      <c r="E416" s="120">
        <f t="array" ref="E416:E416">IF(F416="","",IFERROR(INDEX('1.職能辭典'!$A:$A,MATCH(F416,'1.職能辭典'!$C:$C,0)),""))</f>
        <v/>
      </c>
      <c r="F416" s="94" t="n"/>
      <c r="G416" s="120">
        <f t="array" ref="G416:G416">IF(OR(D416="",F416=""),"",IFERROR(IF(AND(OR(INDEX('1.職能辭典'!$J:$J,MATCH(F416,'1.職能辭典'!$C:$C,0))="全部",INDEX('3.員工名單'!$H:$H,MATCH(A416,'3.員工名單'!$A:$A,0))="兩款共用",INDEX('3.員工名單'!$H:$H,MATCH(A416,'3.員工名單'!$A:$A,0))=INDEX('1.職能辭典'!$J:$J,MATCH(F416,'1.職能辭典'!$C:$C,0))),OR(INDEX('1.職能辭典'!$K:$K,MATCH(F416,'1.職能辭典'!$C:$C,0))="全部",SUMPRODUCT(ISNUMBER(SEARCH({"經營","管理","財務","企劃","營運","技術","數據","美術","測試","客服"},INDEX('3.員工名單'!$I:$I,MATCH(A416,'3.員工名單'!$A:$A,0))))*ISNUMBER(SEARCH({"經營","管理","財務","企劃","營運","技術","數據","美術","測試","客服"},INDEX('1.職能辭典'!$K:$K,MATCH(F416,'1.職能辭典'!$C:$C,0)))))&gt;0)),INDEX('2.職務職能需求'!$B$2:$F$28,MATCH(F416,'2.職務職能需求'!$A$2:$A$28,0),MATCH(D416,'2.職務職能需求'!$B$1:$F$1,0)),0),""))</f>
        <v/>
      </c>
      <c r="H416" s="94" t="n"/>
      <c r="I416" s="94" t="n"/>
      <c r="J416" s="120">
        <f>IF(OR(G416="",I416="",G416=0),"",I416-G416)</f>
        <v/>
      </c>
      <c r="K416" s="120">
        <f>IF(G416="","",IF(G416=0,"不適用",IF(I416="","待評核",IF(I416&gt;=G416,IF(I416&gt;G416,"超越","達標"),"待發展"))))</f>
        <v/>
      </c>
      <c r="L416" s="91" t="n"/>
      <c r="M416" s="91" t="n"/>
      <c r="N416" s="88" t="n"/>
    </row>
    <row r="417" ht="15.75" customHeight="1" s="64">
      <c r="A417" s="88" t="n"/>
      <c r="B417" s="120">
        <f t="array" ref="B417:B417">IF(A417="","",IFERROR(INDEX('3.員工名單'!$B:$B,MATCH(A417,'3.員工名單'!$A:$A,0)),"查無此員工"))</f>
        <v/>
      </c>
      <c r="C417" s="120">
        <f t="array" ref="C417:C417">IF(A417="","",IFERROR(INDEX('3.員工名單'!$C:$C,MATCH(A417,'3.員工名單'!$A:$A,0)),""))</f>
        <v/>
      </c>
      <c r="D417" s="120">
        <f t="array" ref="D417:D417">IF(A417="","",IFERROR(INDEX('3.員工名單'!$D:$D,MATCH(A417,'3.員工名單'!$A:$A,0)),""))</f>
        <v/>
      </c>
      <c r="E417" s="120">
        <f t="array" ref="E417:E417">IF(F417="","",IFERROR(INDEX('1.職能辭典'!$A:$A,MATCH(F417,'1.職能辭典'!$C:$C,0)),""))</f>
        <v/>
      </c>
      <c r="F417" s="94" t="n"/>
      <c r="G417" s="120">
        <f t="array" ref="G417:G417">IF(OR(D417="",F417=""),"",IFERROR(IF(AND(OR(INDEX('1.職能辭典'!$J:$J,MATCH(F417,'1.職能辭典'!$C:$C,0))="全部",INDEX('3.員工名單'!$H:$H,MATCH(A417,'3.員工名單'!$A:$A,0))="兩款共用",INDEX('3.員工名單'!$H:$H,MATCH(A417,'3.員工名單'!$A:$A,0))=INDEX('1.職能辭典'!$J:$J,MATCH(F417,'1.職能辭典'!$C:$C,0))),OR(INDEX('1.職能辭典'!$K:$K,MATCH(F417,'1.職能辭典'!$C:$C,0))="全部",SUMPRODUCT(ISNUMBER(SEARCH({"經營","管理","財務","企劃","營運","技術","數據","美術","測試","客服"},INDEX('3.員工名單'!$I:$I,MATCH(A417,'3.員工名單'!$A:$A,0))))*ISNUMBER(SEARCH({"經營","管理","財務","企劃","營運","技術","數據","美術","測試","客服"},INDEX('1.職能辭典'!$K:$K,MATCH(F417,'1.職能辭典'!$C:$C,0)))))&gt;0)),INDEX('2.職務職能需求'!$B$2:$F$28,MATCH(F417,'2.職務職能需求'!$A$2:$A$28,0),MATCH(D417,'2.職務職能需求'!$B$1:$F$1,0)),0),""))</f>
        <v/>
      </c>
      <c r="H417" s="94" t="n"/>
      <c r="I417" s="94" t="n"/>
      <c r="J417" s="120">
        <f>IF(OR(G417="",I417="",G417=0),"",I417-G417)</f>
        <v/>
      </c>
      <c r="K417" s="120">
        <f>IF(G417="","",IF(G417=0,"不適用",IF(I417="","待評核",IF(I417&gt;=G417,IF(I417&gt;G417,"超越","達標"),"待發展"))))</f>
        <v/>
      </c>
      <c r="L417" s="91" t="n"/>
      <c r="M417" s="91" t="n"/>
      <c r="N417" s="88" t="n"/>
    </row>
    <row r="418" ht="15.75" customHeight="1" s="64">
      <c r="A418" s="88" t="n"/>
      <c r="B418" s="120">
        <f t="array" ref="B418:B418">IF(A418="","",IFERROR(INDEX('3.員工名單'!$B:$B,MATCH(A418,'3.員工名單'!$A:$A,0)),"查無此員工"))</f>
        <v/>
      </c>
      <c r="C418" s="120">
        <f t="array" ref="C418:C418">IF(A418="","",IFERROR(INDEX('3.員工名單'!$C:$C,MATCH(A418,'3.員工名單'!$A:$A,0)),""))</f>
        <v/>
      </c>
      <c r="D418" s="120">
        <f t="array" ref="D418:D418">IF(A418="","",IFERROR(INDEX('3.員工名單'!$D:$D,MATCH(A418,'3.員工名單'!$A:$A,0)),""))</f>
        <v/>
      </c>
      <c r="E418" s="120">
        <f t="array" ref="E418:E418">IF(F418="","",IFERROR(INDEX('1.職能辭典'!$A:$A,MATCH(F418,'1.職能辭典'!$C:$C,0)),""))</f>
        <v/>
      </c>
      <c r="F418" s="94" t="n"/>
      <c r="G418" s="120">
        <f t="array" ref="G418:G418">IF(OR(D418="",F418=""),"",IFERROR(IF(AND(OR(INDEX('1.職能辭典'!$J:$J,MATCH(F418,'1.職能辭典'!$C:$C,0))="全部",INDEX('3.員工名單'!$H:$H,MATCH(A418,'3.員工名單'!$A:$A,0))="兩款共用",INDEX('3.員工名單'!$H:$H,MATCH(A418,'3.員工名單'!$A:$A,0))=INDEX('1.職能辭典'!$J:$J,MATCH(F418,'1.職能辭典'!$C:$C,0))),OR(INDEX('1.職能辭典'!$K:$K,MATCH(F418,'1.職能辭典'!$C:$C,0))="全部",SUMPRODUCT(ISNUMBER(SEARCH({"經營","管理","財務","企劃","營運","技術","數據","美術","測試","客服"},INDEX('3.員工名單'!$I:$I,MATCH(A418,'3.員工名單'!$A:$A,0))))*ISNUMBER(SEARCH({"經營","管理","財務","企劃","營運","技術","數據","美術","測試","客服"},INDEX('1.職能辭典'!$K:$K,MATCH(F418,'1.職能辭典'!$C:$C,0)))))&gt;0)),INDEX('2.職務職能需求'!$B$2:$F$28,MATCH(F418,'2.職務職能需求'!$A$2:$A$28,0),MATCH(D418,'2.職務職能需求'!$B$1:$F$1,0)),0),""))</f>
        <v/>
      </c>
      <c r="H418" s="94" t="n"/>
      <c r="I418" s="94" t="n"/>
      <c r="J418" s="120">
        <f>IF(OR(G418="",I418="",G418=0),"",I418-G418)</f>
        <v/>
      </c>
      <c r="K418" s="120">
        <f>IF(G418="","",IF(G418=0,"不適用",IF(I418="","待評核",IF(I418&gt;=G418,IF(I418&gt;G418,"超越","達標"),"待發展"))))</f>
        <v/>
      </c>
      <c r="L418" s="91" t="n"/>
      <c r="M418" s="91" t="n"/>
      <c r="N418" s="88" t="n"/>
    </row>
    <row r="419" ht="15.75" customHeight="1" s="64">
      <c r="A419" s="88" t="n"/>
      <c r="B419" s="120">
        <f t="array" ref="B419:B419">IF(A419="","",IFERROR(INDEX('3.員工名單'!$B:$B,MATCH(A419,'3.員工名單'!$A:$A,0)),"查無此員工"))</f>
        <v/>
      </c>
      <c r="C419" s="120">
        <f t="array" ref="C419:C419">IF(A419="","",IFERROR(INDEX('3.員工名單'!$C:$C,MATCH(A419,'3.員工名單'!$A:$A,0)),""))</f>
        <v/>
      </c>
      <c r="D419" s="120">
        <f t="array" ref="D419:D419">IF(A419="","",IFERROR(INDEX('3.員工名單'!$D:$D,MATCH(A419,'3.員工名單'!$A:$A,0)),""))</f>
        <v/>
      </c>
      <c r="E419" s="120">
        <f t="array" ref="E419:E419">IF(F419="","",IFERROR(INDEX('1.職能辭典'!$A:$A,MATCH(F419,'1.職能辭典'!$C:$C,0)),""))</f>
        <v/>
      </c>
      <c r="F419" s="94" t="n"/>
      <c r="G419" s="120">
        <f t="array" ref="G419:G419">IF(OR(D419="",F419=""),"",IFERROR(IF(AND(OR(INDEX('1.職能辭典'!$J:$J,MATCH(F419,'1.職能辭典'!$C:$C,0))="全部",INDEX('3.員工名單'!$H:$H,MATCH(A419,'3.員工名單'!$A:$A,0))="兩款共用",INDEX('3.員工名單'!$H:$H,MATCH(A419,'3.員工名單'!$A:$A,0))=INDEX('1.職能辭典'!$J:$J,MATCH(F419,'1.職能辭典'!$C:$C,0))),OR(INDEX('1.職能辭典'!$K:$K,MATCH(F419,'1.職能辭典'!$C:$C,0))="全部",SUMPRODUCT(ISNUMBER(SEARCH({"經營","管理","財務","企劃","營運","技術","數據","美術","測試","客服"},INDEX('3.員工名單'!$I:$I,MATCH(A419,'3.員工名單'!$A:$A,0))))*ISNUMBER(SEARCH({"經營","管理","財務","企劃","營運","技術","數據","美術","測試","客服"},INDEX('1.職能辭典'!$K:$K,MATCH(F419,'1.職能辭典'!$C:$C,0)))))&gt;0)),INDEX('2.職務職能需求'!$B$2:$F$28,MATCH(F419,'2.職務職能需求'!$A$2:$A$28,0),MATCH(D419,'2.職務職能需求'!$B$1:$F$1,0)),0),""))</f>
        <v/>
      </c>
      <c r="H419" s="94" t="n"/>
      <c r="I419" s="94" t="n"/>
      <c r="J419" s="120">
        <f>IF(OR(G419="",I419="",G419=0),"",I419-G419)</f>
        <v/>
      </c>
      <c r="K419" s="120">
        <f>IF(G419="","",IF(G419=0,"不適用",IF(I419="","待評核",IF(I419&gt;=G419,IF(I419&gt;G419,"超越","達標"),"待發展"))))</f>
        <v/>
      </c>
      <c r="L419" s="91" t="n"/>
      <c r="M419" s="91" t="n"/>
      <c r="N419" s="88" t="n"/>
    </row>
    <row r="420" ht="15.75" customHeight="1" s="64">
      <c r="A420" s="88" t="n"/>
      <c r="B420" s="120">
        <f t="array" ref="B420:B420">IF(A420="","",IFERROR(INDEX('3.員工名單'!$B:$B,MATCH(A420,'3.員工名單'!$A:$A,0)),"查無此員工"))</f>
        <v/>
      </c>
      <c r="C420" s="120">
        <f t="array" ref="C420:C420">IF(A420="","",IFERROR(INDEX('3.員工名單'!$C:$C,MATCH(A420,'3.員工名單'!$A:$A,0)),""))</f>
        <v/>
      </c>
      <c r="D420" s="120">
        <f t="array" ref="D420:D420">IF(A420="","",IFERROR(INDEX('3.員工名單'!$D:$D,MATCH(A420,'3.員工名單'!$A:$A,0)),""))</f>
        <v/>
      </c>
      <c r="E420" s="120">
        <f t="array" ref="E420:E420">IF(F420="","",IFERROR(INDEX('1.職能辭典'!$A:$A,MATCH(F420,'1.職能辭典'!$C:$C,0)),""))</f>
        <v/>
      </c>
      <c r="F420" s="94" t="n"/>
      <c r="G420" s="120">
        <f t="array" ref="G420:G420">IF(OR(D420="",F420=""),"",IFERROR(IF(AND(OR(INDEX('1.職能辭典'!$J:$J,MATCH(F420,'1.職能辭典'!$C:$C,0))="全部",INDEX('3.員工名單'!$H:$H,MATCH(A420,'3.員工名單'!$A:$A,0))="兩款共用",INDEX('3.員工名單'!$H:$H,MATCH(A420,'3.員工名單'!$A:$A,0))=INDEX('1.職能辭典'!$J:$J,MATCH(F420,'1.職能辭典'!$C:$C,0))),OR(INDEX('1.職能辭典'!$K:$K,MATCH(F420,'1.職能辭典'!$C:$C,0))="全部",SUMPRODUCT(ISNUMBER(SEARCH({"經營","管理","財務","企劃","營運","技術","數據","美術","測試","客服"},INDEX('3.員工名單'!$I:$I,MATCH(A420,'3.員工名單'!$A:$A,0))))*ISNUMBER(SEARCH({"經營","管理","財務","企劃","營運","技術","數據","美術","測試","客服"},INDEX('1.職能辭典'!$K:$K,MATCH(F420,'1.職能辭典'!$C:$C,0)))))&gt;0)),INDEX('2.職務職能需求'!$B$2:$F$28,MATCH(F420,'2.職務職能需求'!$A$2:$A$28,0),MATCH(D420,'2.職務職能需求'!$B$1:$F$1,0)),0),""))</f>
        <v/>
      </c>
      <c r="H420" s="94" t="n"/>
      <c r="I420" s="94" t="n"/>
      <c r="J420" s="120">
        <f>IF(OR(G420="",I420="",G420=0),"",I420-G420)</f>
        <v/>
      </c>
      <c r="K420" s="120">
        <f>IF(G420="","",IF(G420=0,"不適用",IF(I420="","待評核",IF(I420&gt;=G420,IF(I420&gt;G420,"超越","達標"),"待發展"))))</f>
        <v/>
      </c>
      <c r="L420" s="91" t="n"/>
      <c r="M420" s="91" t="n"/>
      <c r="N420" s="88" t="n"/>
    </row>
    <row r="421" ht="15.75" customHeight="1" s="64">
      <c r="A421" s="88" t="n"/>
      <c r="B421" s="120">
        <f t="array" ref="B421:B421">IF(A421="","",IFERROR(INDEX('3.員工名單'!$B:$B,MATCH(A421,'3.員工名單'!$A:$A,0)),"查無此員工"))</f>
        <v/>
      </c>
      <c r="C421" s="120">
        <f t="array" ref="C421:C421">IF(A421="","",IFERROR(INDEX('3.員工名單'!$C:$C,MATCH(A421,'3.員工名單'!$A:$A,0)),""))</f>
        <v/>
      </c>
      <c r="D421" s="120">
        <f t="array" ref="D421:D421">IF(A421="","",IFERROR(INDEX('3.員工名單'!$D:$D,MATCH(A421,'3.員工名單'!$A:$A,0)),""))</f>
        <v/>
      </c>
      <c r="E421" s="120">
        <f t="array" ref="E421:E421">IF(F421="","",IFERROR(INDEX('1.職能辭典'!$A:$A,MATCH(F421,'1.職能辭典'!$C:$C,0)),""))</f>
        <v/>
      </c>
      <c r="F421" s="94" t="n"/>
      <c r="G421" s="120">
        <f t="array" ref="G421:G421">IF(OR(D421="",F421=""),"",IFERROR(IF(AND(OR(INDEX('1.職能辭典'!$J:$J,MATCH(F421,'1.職能辭典'!$C:$C,0))="全部",INDEX('3.員工名單'!$H:$H,MATCH(A421,'3.員工名單'!$A:$A,0))="兩款共用",INDEX('3.員工名單'!$H:$H,MATCH(A421,'3.員工名單'!$A:$A,0))=INDEX('1.職能辭典'!$J:$J,MATCH(F421,'1.職能辭典'!$C:$C,0))),OR(INDEX('1.職能辭典'!$K:$K,MATCH(F421,'1.職能辭典'!$C:$C,0))="全部",SUMPRODUCT(ISNUMBER(SEARCH({"經營","管理","財務","企劃","營運","技術","數據","美術","測試","客服"},INDEX('3.員工名單'!$I:$I,MATCH(A421,'3.員工名單'!$A:$A,0))))*ISNUMBER(SEARCH({"經營","管理","財務","企劃","營運","技術","數據","美術","測試","客服"},INDEX('1.職能辭典'!$K:$K,MATCH(F421,'1.職能辭典'!$C:$C,0)))))&gt;0)),INDEX('2.職務職能需求'!$B$2:$F$28,MATCH(F421,'2.職務職能需求'!$A$2:$A$28,0),MATCH(D421,'2.職務職能需求'!$B$1:$F$1,0)),0),""))</f>
        <v/>
      </c>
      <c r="H421" s="94" t="n"/>
      <c r="I421" s="94" t="n"/>
      <c r="J421" s="120">
        <f>IF(OR(G421="",I421="",G421=0),"",I421-G421)</f>
        <v/>
      </c>
      <c r="K421" s="120">
        <f>IF(G421="","",IF(G421=0,"不適用",IF(I421="","待評核",IF(I421&gt;=G421,IF(I421&gt;G421,"超越","達標"),"待發展"))))</f>
        <v/>
      </c>
      <c r="L421" s="91" t="n"/>
      <c r="M421" s="91" t="n"/>
      <c r="N421" s="88" t="n"/>
    </row>
    <row r="422" ht="15.75" customHeight="1" s="64">
      <c r="A422" s="88" t="n"/>
      <c r="B422" s="120">
        <f t="array" ref="B422:B422">IF(A422="","",IFERROR(INDEX('3.員工名單'!$B:$B,MATCH(A422,'3.員工名單'!$A:$A,0)),"查無此員工"))</f>
        <v/>
      </c>
      <c r="C422" s="120">
        <f t="array" ref="C422:C422">IF(A422="","",IFERROR(INDEX('3.員工名單'!$C:$C,MATCH(A422,'3.員工名單'!$A:$A,0)),""))</f>
        <v/>
      </c>
      <c r="D422" s="120">
        <f t="array" ref="D422:D422">IF(A422="","",IFERROR(INDEX('3.員工名單'!$D:$D,MATCH(A422,'3.員工名單'!$A:$A,0)),""))</f>
        <v/>
      </c>
      <c r="E422" s="120">
        <f t="array" ref="E422:E422">IF(F422="","",IFERROR(INDEX('1.職能辭典'!$A:$A,MATCH(F422,'1.職能辭典'!$C:$C,0)),""))</f>
        <v/>
      </c>
      <c r="F422" s="94" t="n"/>
      <c r="G422" s="120">
        <f t="array" ref="G422:G422">IF(OR(D422="",F422=""),"",IFERROR(IF(AND(OR(INDEX('1.職能辭典'!$J:$J,MATCH(F422,'1.職能辭典'!$C:$C,0))="全部",INDEX('3.員工名單'!$H:$H,MATCH(A422,'3.員工名單'!$A:$A,0))="兩款共用",INDEX('3.員工名單'!$H:$H,MATCH(A422,'3.員工名單'!$A:$A,0))=INDEX('1.職能辭典'!$J:$J,MATCH(F422,'1.職能辭典'!$C:$C,0))),OR(INDEX('1.職能辭典'!$K:$K,MATCH(F422,'1.職能辭典'!$C:$C,0))="全部",SUMPRODUCT(ISNUMBER(SEARCH({"經營","管理","財務","企劃","營運","技術","數據","美術","測試","客服"},INDEX('3.員工名單'!$I:$I,MATCH(A422,'3.員工名單'!$A:$A,0))))*ISNUMBER(SEARCH({"經營","管理","財務","企劃","營運","技術","數據","美術","測試","客服"},INDEX('1.職能辭典'!$K:$K,MATCH(F422,'1.職能辭典'!$C:$C,0)))))&gt;0)),INDEX('2.職務職能需求'!$B$2:$F$28,MATCH(F422,'2.職務職能需求'!$A$2:$A$28,0),MATCH(D422,'2.職務職能需求'!$B$1:$F$1,0)),0),""))</f>
        <v/>
      </c>
      <c r="H422" s="94" t="n"/>
      <c r="I422" s="94" t="n"/>
      <c r="J422" s="120">
        <f>IF(OR(G422="",I422="",G422=0),"",I422-G422)</f>
        <v/>
      </c>
      <c r="K422" s="120">
        <f>IF(G422="","",IF(G422=0,"不適用",IF(I422="","待評核",IF(I422&gt;=G422,IF(I422&gt;G422,"超越","達標"),"待發展"))))</f>
        <v/>
      </c>
      <c r="L422" s="91" t="n"/>
      <c r="M422" s="91" t="n"/>
      <c r="N422" s="88" t="n"/>
    </row>
    <row r="423" ht="15.75" customHeight="1" s="64">
      <c r="A423" s="88" t="n"/>
      <c r="B423" s="120">
        <f t="array" ref="B423:B423">IF(A423="","",IFERROR(INDEX('3.員工名單'!$B:$B,MATCH(A423,'3.員工名單'!$A:$A,0)),"查無此員工"))</f>
        <v/>
      </c>
      <c r="C423" s="120">
        <f t="array" ref="C423:C423">IF(A423="","",IFERROR(INDEX('3.員工名單'!$C:$C,MATCH(A423,'3.員工名單'!$A:$A,0)),""))</f>
        <v/>
      </c>
      <c r="D423" s="120">
        <f t="array" ref="D423:D423">IF(A423="","",IFERROR(INDEX('3.員工名單'!$D:$D,MATCH(A423,'3.員工名單'!$A:$A,0)),""))</f>
        <v/>
      </c>
      <c r="E423" s="120">
        <f t="array" ref="E423:E423">IF(F423="","",IFERROR(INDEX('1.職能辭典'!$A:$A,MATCH(F423,'1.職能辭典'!$C:$C,0)),""))</f>
        <v/>
      </c>
      <c r="F423" s="94" t="n"/>
      <c r="G423" s="120">
        <f t="array" ref="G423:G423">IF(OR(D423="",F423=""),"",IFERROR(IF(AND(OR(INDEX('1.職能辭典'!$J:$J,MATCH(F423,'1.職能辭典'!$C:$C,0))="全部",INDEX('3.員工名單'!$H:$H,MATCH(A423,'3.員工名單'!$A:$A,0))="兩款共用",INDEX('3.員工名單'!$H:$H,MATCH(A423,'3.員工名單'!$A:$A,0))=INDEX('1.職能辭典'!$J:$J,MATCH(F423,'1.職能辭典'!$C:$C,0))),OR(INDEX('1.職能辭典'!$K:$K,MATCH(F423,'1.職能辭典'!$C:$C,0))="全部",SUMPRODUCT(ISNUMBER(SEARCH({"經營","管理","財務","企劃","營運","技術","數據","美術","測試","客服"},INDEX('3.員工名單'!$I:$I,MATCH(A423,'3.員工名單'!$A:$A,0))))*ISNUMBER(SEARCH({"經營","管理","財務","企劃","營運","技術","數據","美術","測試","客服"},INDEX('1.職能辭典'!$K:$K,MATCH(F423,'1.職能辭典'!$C:$C,0)))))&gt;0)),INDEX('2.職務職能需求'!$B$2:$F$28,MATCH(F423,'2.職務職能需求'!$A$2:$A$28,0),MATCH(D423,'2.職務職能需求'!$B$1:$F$1,0)),0),""))</f>
        <v/>
      </c>
      <c r="H423" s="94" t="n"/>
      <c r="I423" s="94" t="n"/>
      <c r="J423" s="120">
        <f>IF(OR(G423="",I423="",G423=0),"",I423-G423)</f>
        <v/>
      </c>
      <c r="K423" s="120">
        <f>IF(G423="","",IF(G423=0,"不適用",IF(I423="","待評核",IF(I423&gt;=G423,IF(I423&gt;G423,"超越","達標"),"待發展"))))</f>
        <v/>
      </c>
      <c r="L423" s="91" t="n"/>
      <c r="M423" s="91" t="n"/>
      <c r="N423" s="88" t="n"/>
    </row>
    <row r="424" ht="15.75" customHeight="1" s="64">
      <c r="A424" s="88" t="n"/>
      <c r="B424" s="120">
        <f t="array" ref="B424:B424">IF(A424="","",IFERROR(INDEX('3.員工名單'!$B:$B,MATCH(A424,'3.員工名單'!$A:$A,0)),"查無此員工"))</f>
        <v/>
      </c>
      <c r="C424" s="120">
        <f t="array" ref="C424:C424">IF(A424="","",IFERROR(INDEX('3.員工名單'!$C:$C,MATCH(A424,'3.員工名單'!$A:$A,0)),""))</f>
        <v/>
      </c>
      <c r="D424" s="120">
        <f t="array" ref="D424:D424">IF(A424="","",IFERROR(INDEX('3.員工名單'!$D:$D,MATCH(A424,'3.員工名單'!$A:$A,0)),""))</f>
        <v/>
      </c>
      <c r="E424" s="120">
        <f t="array" ref="E424:E424">IF(F424="","",IFERROR(INDEX('1.職能辭典'!$A:$A,MATCH(F424,'1.職能辭典'!$C:$C,0)),""))</f>
        <v/>
      </c>
      <c r="F424" s="94" t="n"/>
      <c r="G424" s="120">
        <f t="array" ref="G424:G424">IF(OR(D424="",F424=""),"",IFERROR(IF(AND(OR(INDEX('1.職能辭典'!$J:$J,MATCH(F424,'1.職能辭典'!$C:$C,0))="全部",INDEX('3.員工名單'!$H:$H,MATCH(A424,'3.員工名單'!$A:$A,0))="兩款共用",INDEX('3.員工名單'!$H:$H,MATCH(A424,'3.員工名單'!$A:$A,0))=INDEX('1.職能辭典'!$J:$J,MATCH(F424,'1.職能辭典'!$C:$C,0))),OR(INDEX('1.職能辭典'!$K:$K,MATCH(F424,'1.職能辭典'!$C:$C,0))="全部",SUMPRODUCT(ISNUMBER(SEARCH({"經營","管理","財務","企劃","營運","技術","數據","美術","測試","客服"},INDEX('3.員工名單'!$I:$I,MATCH(A424,'3.員工名單'!$A:$A,0))))*ISNUMBER(SEARCH({"經營","管理","財務","企劃","營運","技術","數據","美術","測試","客服"},INDEX('1.職能辭典'!$K:$K,MATCH(F424,'1.職能辭典'!$C:$C,0)))))&gt;0)),INDEX('2.職務職能需求'!$B$2:$F$28,MATCH(F424,'2.職務職能需求'!$A$2:$A$28,0),MATCH(D424,'2.職務職能需求'!$B$1:$F$1,0)),0),""))</f>
        <v/>
      </c>
      <c r="H424" s="94" t="n"/>
      <c r="I424" s="94" t="n"/>
      <c r="J424" s="120">
        <f>IF(OR(G424="",I424="",G424=0),"",I424-G424)</f>
        <v/>
      </c>
      <c r="K424" s="120">
        <f>IF(G424="","",IF(G424=0,"不適用",IF(I424="","待評核",IF(I424&gt;=G424,IF(I424&gt;G424,"超越","達標"),"待發展"))))</f>
        <v/>
      </c>
      <c r="L424" s="91" t="n"/>
      <c r="M424" s="91" t="n"/>
      <c r="N424" s="88" t="n"/>
    </row>
    <row r="425" ht="15.75" customHeight="1" s="64">
      <c r="A425" s="88" t="n"/>
      <c r="B425" s="120">
        <f t="array" ref="B425:B425">IF(A425="","",IFERROR(INDEX('3.員工名單'!$B:$B,MATCH(A425,'3.員工名單'!$A:$A,0)),"查無此員工"))</f>
        <v/>
      </c>
      <c r="C425" s="120">
        <f t="array" ref="C425:C425">IF(A425="","",IFERROR(INDEX('3.員工名單'!$C:$C,MATCH(A425,'3.員工名單'!$A:$A,0)),""))</f>
        <v/>
      </c>
      <c r="D425" s="120">
        <f t="array" ref="D425:D425">IF(A425="","",IFERROR(INDEX('3.員工名單'!$D:$D,MATCH(A425,'3.員工名單'!$A:$A,0)),""))</f>
        <v/>
      </c>
      <c r="E425" s="120">
        <f t="array" ref="E425:E425">IF(F425="","",IFERROR(INDEX('1.職能辭典'!$A:$A,MATCH(F425,'1.職能辭典'!$C:$C,0)),""))</f>
        <v/>
      </c>
      <c r="F425" s="94" t="n"/>
      <c r="G425" s="120">
        <f t="array" ref="G425:G425">IF(OR(D425="",F425=""),"",IFERROR(IF(AND(OR(INDEX('1.職能辭典'!$J:$J,MATCH(F425,'1.職能辭典'!$C:$C,0))="全部",INDEX('3.員工名單'!$H:$H,MATCH(A425,'3.員工名單'!$A:$A,0))="兩款共用",INDEX('3.員工名單'!$H:$H,MATCH(A425,'3.員工名單'!$A:$A,0))=INDEX('1.職能辭典'!$J:$J,MATCH(F425,'1.職能辭典'!$C:$C,0))),OR(INDEX('1.職能辭典'!$K:$K,MATCH(F425,'1.職能辭典'!$C:$C,0))="全部",SUMPRODUCT(ISNUMBER(SEARCH({"經營","管理","財務","企劃","營運","技術","數據","美術","測試","客服"},INDEX('3.員工名單'!$I:$I,MATCH(A425,'3.員工名單'!$A:$A,0))))*ISNUMBER(SEARCH({"經營","管理","財務","企劃","營運","技術","數據","美術","測試","客服"},INDEX('1.職能辭典'!$K:$K,MATCH(F425,'1.職能辭典'!$C:$C,0)))))&gt;0)),INDEX('2.職務職能需求'!$B$2:$F$28,MATCH(F425,'2.職務職能需求'!$A$2:$A$28,0),MATCH(D425,'2.職務職能需求'!$B$1:$F$1,0)),0),""))</f>
        <v/>
      </c>
      <c r="H425" s="94" t="n"/>
      <c r="I425" s="94" t="n"/>
      <c r="J425" s="120">
        <f>IF(OR(G425="",I425="",G425=0),"",I425-G425)</f>
        <v/>
      </c>
      <c r="K425" s="120">
        <f>IF(G425="","",IF(G425=0,"不適用",IF(I425="","待評核",IF(I425&gt;=G425,IF(I425&gt;G425,"超越","達標"),"待發展"))))</f>
        <v/>
      </c>
      <c r="L425" s="91" t="n"/>
      <c r="M425" s="91" t="n"/>
      <c r="N425" s="88" t="n"/>
    </row>
    <row r="426" ht="15.75" customHeight="1" s="64">
      <c r="A426" s="88" t="n"/>
      <c r="B426" s="120">
        <f t="array" ref="B426:B426">IF(A426="","",IFERROR(INDEX('3.員工名單'!$B:$B,MATCH(A426,'3.員工名單'!$A:$A,0)),"查無此員工"))</f>
        <v/>
      </c>
      <c r="C426" s="120">
        <f t="array" ref="C426:C426">IF(A426="","",IFERROR(INDEX('3.員工名單'!$C:$C,MATCH(A426,'3.員工名單'!$A:$A,0)),""))</f>
        <v/>
      </c>
      <c r="D426" s="120">
        <f t="array" ref="D426:D426">IF(A426="","",IFERROR(INDEX('3.員工名單'!$D:$D,MATCH(A426,'3.員工名單'!$A:$A,0)),""))</f>
        <v/>
      </c>
      <c r="E426" s="120">
        <f t="array" ref="E426:E426">IF(F426="","",IFERROR(INDEX('1.職能辭典'!$A:$A,MATCH(F426,'1.職能辭典'!$C:$C,0)),""))</f>
        <v/>
      </c>
      <c r="F426" s="94" t="n"/>
      <c r="G426" s="120">
        <f t="array" ref="G426:G426">IF(OR(D426="",F426=""),"",IFERROR(IF(AND(OR(INDEX('1.職能辭典'!$J:$J,MATCH(F426,'1.職能辭典'!$C:$C,0))="全部",INDEX('3.員工名單'!$H:$H,MATCH(A426,'3.員工名單'!$A:$A,0))="兩款共用",INDEX('3.員工名單'!$H:$H,MATCH(A426,'3.員工名單'!$A:$A,0))=INDEX('1.職能辭典'!$J:$J,MATCH(F426,'1.職能辭典'!$C:$C,0))),OR(INDEX('1.職能辭典'!$K:$K,MATCH(F426,'1.職能辭典'!$C:$C,0))="全部",SUMPRODUCT(ISNUMBER(SEARCH({"經營","管理","財務","企劃","營運","技術","數據","美術","測試","客服"},INDEX('3.員工名單'!$I:$I,MATCH(A426,'3.員工名單'!$A:$A,0))))*ISNUMBER(SEARCH({"經營","管理","財務","企劃","營運","技術","數據","美術","測試","客服"},INDEX('1.職能辭典'!$K:$K,MATCH(F426,'1.職能辭典'!$C:$C,0)))))&gt;0)),INDEX('2.職務職能需求'!$B$2:$F$28,MATCH(F426,'2.職務職能需求'!$A$2:$A$28,0),MATCH(D426,'2.職務職能需求'!$B$1:$F$1,0)),0),""))</f>
        <v/>
      </c>
      <c r="H426" s="94" t="n"/>
      <c r="I426" s="94" t="n"/>
      <c r="J426" s="120">
        <f>IF(OR(G426="",I426="",G426=0),"",I426-G426)</f>
        <v/>
      </c>
      <c r="K426" s="120">
        <f>IF(G426="","",IF(G426=0,"不適用",IF(I426="","待評核",IF(I426&gt;=G426,IF(I426&gt;G426,"超越","達標"),"待發展"))))</f>
        <v/>
      </c>
      <c r="L426" s="91" t="n"/>
      <c r="M426" s="91" t="n"/>
      <c r="N426" s="88" t="n"/>
    </row>
    <row r="427" ht="15.75" customHeight="1" s="64">
      <c r="A427" s="88" t="n"/>
      <c r="B427" s="120">
        <f t="array" ref="B427:B427">IF(A427="","",IFERROR(INDEX('3.員工名單'!$B:$B,MATCH(A427,'3.員工名單'!$A:$A,0)),"查無此員工"))</f>
        <v/>
      </c>
      <c r="C427" s="120">
        <f t="array" ref="C427:C427">IF(A427="","",IFERROR(INDEX('3.員工名單'!$C:$C,MATCH(A427,'3.員工名單'!$A:$A,0)),""))</f>
        <v/>
      </c>
      <c r="D427" s="120">
        <f t="array" ref="D427:D427">IF(A427="","",IFERROR(INDEX('3.員工名單'!$D:$D,MATCH(A427,'3.員工名單'!$A:$A,0)),""))</f>
        <v/>
      </c>
      <c r="E427" s="120">
        <f t="array" ref="E427:E427">IF(F427="","",IFERROR(INDEX('1.職能辭典'!$A:$A,MATCH(F427,'1.職能辭典'!$C:$C,0)),""))</f>
        <v/>
      </c>
      <c r="F427" s="94" t="n"/>
      <c r="G427" s="120">
        <f t="array" ref="G427:G427">IF(OR(D427="",F427=""),"",IFERROR(IF(AND(OR(INDEX('1.職能辭典'!$J:$J,MATCH(F427,'1.職能辭典'!$C:$C,0))="全部",INDEX('3.員工名單'!$H:$H,MATCH(A427,'3.員工名單'!$A:$A,0))="兩款共用",INDEX('3.員工名單'!$H:$H,MATCH(A427,'3.員工名單'!$A:$A,0))=INDEX('1.職能辭典'!$J:$J,MATCH(F427,'1.職能辭典'!$C:$C,0))),OR(INDEX('1.職能辭典'!$K:$K,MATCH(F427,'1.職能辭典'!$C:$C,0))="全部",SUMPRODUCT(ISNUMBER(SEARCH({"經營","管理","財務","企劃","營運","技術","數據","美術","測試","客服"},INDEX('3.員工名單'!$I:$I,MATCH(A427,'3.員工名單'!$A:$A,0))))*ISNUMBER(SEARCH({"經營","管理","財務","企劃","營運","技術","數據","美術","測試","客服"},INDEX('1.職能辭典'!$K:$K,MATCH(F427,'1.職能辭典'!$C:$C,0)))))&gt;0)),INDEX('2.職務職能需求'!$B$2:$F$28,MATCH(F427,'2.職務職能需求'!$A$2:$A$28,0),MATCH(D427,'2.職務職能需求'!$B$1:$F$1,0)),0),""))</f>
        <v/>
      </c>
      <c r="H427" s="94" t="n"/>
      <c r="I427" s="94" t="n"/>
      <c r="J427" s="120">
        <f>IF(OR(G427="",I427="",G427=0),"",I427-G427)</f>
        <v/>
      </c>
      <c r="K427" s="120">
        <f>IF(G427="","",IF(G427=0,"不適用",IF(I427="","待評核",IF(I427&gt;=G427,IF(I427&gt;G427,"超越","達標"),"待發展"))))</f>
        <v/>
      </c>
      <c r="L427" s="91" t="n"/>
      <c r="M427" s="91" t="n"/>
      <c r="N427" s="88" t="n"/>
    </row>
    <row r="428" ht="15.75" customHeight="1" s="64">
      <c r="A428" s="88" t="n"/>
      <c r="B428" s="120">
        <f t="array" ref="B428:B428">IF(A428="","",IFERROR(INDEX('3.員工名單'!$B:$B,MATCH(A428,'3.員工名單'!$A:$A,0)),"查無此員工"))</f>
        <v/>
      </c>
      <c r="C428" s="120">
        <f t="array" ref="C428:C428">IF(A428="","",IFERROR(INDEX('3.員工名單'!$C:$C,MATCH(A428,'3.員工名單'!$A:$A,0)),""))</f>
        <v/>
      </c>
      <c r="D428" s="120">
        <f t="array" ref="D428:D428">IF(A428="","",IFERROR(INDEX('3.員工名單'!$D:$D,MATCH(A428,'3.員工名單'!$A:$A,0)),""))</f>
        <v/>
      </c>
      <c r="E428" s="120">
        <f t="array" ref="E428:E428">IF(F428="","",IFERROR(INDEX('1.職能辭典'!$A:$A,MATCH(F428,'1.職能辭典'!$C:$C,0)),""))</f>
        <v/>
      </c>
      <c r="F428" s="94" t="n"/>
      <c r="G428" s="120">
        <f t="array" ref="G428:G428">IF(OR(D428="",F428=""),"",IFERROR(IF(AND(OR(INDEX('1.職能辭典'!$J:$J,MATCH(F428,'1.職能辭典'!$C:$C,0))="全部",INDEX('3.員工名單'!$H:$H,MATCH(A428,'3.員工名單'!$A:$A,0))="兩款共用",INDEX('3.員工名單'!$H:$H,MATCH(A428,'3.員工名單'!$A:$A,0))=INDEX('1.職能辭典'!$J:$J,MATCH(F428,'1.職能辭典'!$C:$C,0))),OR(INDEX('1.職能辭典'!$K:$K,MATCH(F428,'1.職能辭典'!$C:$C,0))="全部",SUMPRODUCT(ISNUMBER(SEARCH({"經營","管理","財務","企劃","營運","技術","數據","美術","測試","客服"},INDEX('3.員工名單'!$I:$I,MATCH(A428,'3.員工名單'!$A:$A,0))))*ISNUMBER(SEARCH({"經營","管理","財務","企劃","營運","技術","數據","美術","測試","客服"},INDEX('1.職能辭典'!$K:$K,MATCH(F428,'1.職能辭典'!$C:$C,0)))))&gt;0)),INDEX('2.職務職能需求'!$B$2:$F$28,MATCH(F428,'2.職務職能需求'!$A$2:$A$28,0),MATCH(D428,'2.職務職能需求'!$B$1:$F$1,0)),0),""))</f>
        <v/>
      </c>
      <c r="H428" s="94" t="n"/>
      <c r="I428" s="94" t="n"/>
      <c r="J428" s="120">
        <f>IF(OR(G428="",I428="",G428=0),"",I428-G428)</f>
        <v/>
      </c>
      <c r="K428" s="120">
        <f>IF(G428="","",IF(G428=0,"不適用",IF(I428="","待評核",IF(I428&gt;=G428,IF(I428&gt;G428,"超越","達標"),"待發展"))))</f>
        <v/>
      </c>
      <c r="L428" s="91" t="n"/>
      <c r="M428" s="91" t="n"/>
      <c r="N428" s="88" t="n"/>
    </row>
    <row r="429" ht="15.75" customHeight="1" s="64">
      <c r="A429" s="88" t="n"/>
      <c r="B429" s="120">
        <f t="array" ref="B429:B429">IF(A429="","",IFERROR(INDEX('3.員工名單'!$B:$B,MATCH(A429,'3.員工名單'!$A:$A,0)),"查無此員工"))</f>
        <v/>
      </c>
      <c r="C429" s="120">
        <f t="array" ref="C429:C429">IF(A429="","",IFERROR(INDEX('3.員工名單'!$C:$C,MATCH(A429,'3.員工名單'!$A:$A,0)),""))</f>
        <v/>
      </c>
      <c r="D429" s="120">
        <f t="array" ref="D429:D429">IF(A429="","",IFERROR(INDEX('3.員工名單'!$D:$D,MATCH(A429,'3.員工名單'!$A:$A,0)),""))</f>
        <v/>
      </c>
      <c r="E429" s="120">
        <f t="array" ref="E429:E429">IF(F429="","",IFERROR(INDEX('1.職能辭典'!$A:$A,MATCH(F429,'1.職能辭典'!$C:$C,0)),""))</f>
        <v/>
      </c>
      <c r="F429" s="94" t="n"/>
      <c r="G429" s="120">
        <f t="array" ref="G429:G429">IF(OR(D429="",F429=""),"",IFERROR(IF(AND(OR(INDEX('1.職能辭典'!$J:$J,MATCH(F429,'1.職能辭典'!$C:$C,0))="全部",INDEX('3.員工名單'!$H:$H,MATCH(A429,'3.員工名單'!$A:$A,0))="兩款共用",INDEX('3.員工名單'!$H:$H,MATCH(A429,'3.員工名單'!$A:$A,0))=INDEX('1.職能辭典'!$J:$J,MATCH(F429,'1.職能辭典'!$C:$C,0))),OR(INDEX('1.職能辭典'!$K:$K,MATCH(F429,'1.職能辭典'!$C:$C,0))="全部",SUMPRODUCT(ISNUMBER(SEARCH({"經營","管理","財務","企劃","營運","技術","數據","美術","測試","客服"},INDEX('3.員工名單'!$I:$I,MATCH(A429,'3.員工名單'!$A:$A,0))))*ISNUMBER(SEARCH({"經營","管理","財務","企劃","營運","技術","數據","美術","測試","客服"},INDEX('1.職能辭典'!$K:$K,MATCH(F429,'1.職能辭典'!$C:$C,0)))))&gt;0)),INDEX('2.職務職能需求'!$B$2:$F$28,MATCH(F429,'2.職務職能需求'!$A$2:$A$28,0),MATCH(D429,'2.職務職能需求'!$B$1:$F$1,0)),0),""))</f>
        <v/>
      </c>
      <c r="H429" s="94" t="n"/>
      <c r="I429" s="94" t="n"/>
      <c r="J429" s="120">
        <f>IF(OR(G429="",I429="",G429=0),"",I429-G429)</f>
        <v/>
      </c>
      <c r="K429" s="120">
        <f>IF(G429="","",IF(G429=0,"不適用",IF(I429="","待評核",IF(I429&gt;=G429,IF(I429&gt;G429,"超越","達標"),"待發展"))))</f>
        <v/>
      </c>
      <c r="L429" s="91" t="n"/>
      <c r="M429" s="91" t="n"/>
      <c r="N429" s="88" t="n"/>
    </row>
    <row r="430" ht="15.75" customHeight="1" s="64">
      <c r="A430" s="88" t="n"/>
      <c r="B430" s="120">
        <f t="array" ref="B430:B430">IF(A430="","",IFERROR(INDEX('3.員工名單'!$B:$B,MATCH(A430,'3.員工名單'!$A:$A,0)),"查無此員工"))</f>
        <v/>
      </c>
      <c r="C430" s="120">
        <f t="array" ref="C430:C430">IF(A430="","",IFERROR(INDEX('3.員工名單'!$C:$C,MATCH(A430,'3.員工名單'!$A:$A,0)),""))</f>
        <v/>
      </c>
      <c r="D430" s="120">
        <f t="array" ref="D430:D430">IF(A430="","",IFERROR(INDEX('3.員工名單'!$D:$D,MATCH(A430,'3.員工名單'!$A:$A,0)),""))</f>
        <v/>
      </c>
      <c r="E430" s="120">
        <f t="array" ref="E430:E430">IF(F430="","",IFERROR(INDEX('1.職能辭典'!$A:$A,MATCH(F430,'1.職能辭典'!$C:$C,0)),""))</f>
        <v/>
      </c>
      <c r="F430" s="94" t="n"/>
      <c r="G430" s="120">
        <f t="array" ref="G430:G430">IF(OR(D430="",F430=""),"",IFERROR(IF(AND(OR(INDEX('1.職能辭典'!$J:$J,MATCH(F430,'1.職能辭典'!$C:$C,0))="全部",INDEX('3.員工名單'!$H:$H,MATCH(A430,'3.員工名單'!$A:$A,0))="兩款共用",INDEX('3.員工名單'!$H:$H,MATCH(A430,'3.員工名單'!$A:$A,0))=INDEX('1.職能辭典'!$J:$J,MATCH(F430,'1.職能辭典'!$C:$C,0))),OR(INDEX('1.職能辭典'!$K:$K,MATCH(F430,'1.職能辭典'!$C:$C,0))="全部",SUMPRODUCT(ISNUMBER(SEARCH({"經營","管理","財務","企劃","營運","技術","數據","美術","測試","客服"},INDEX('3.員工名單'!$I:$I,MATCH(A430,'3.員工名單'!$A:$A,0))))*ISNUMBER(SEARCH({"經營","管理","財務","企劃","營運","技術","數據","美術","測試","客服"},INDEX('1.職能辭典'!$K:$K,MATCH(F430,'1.職能辭典'!$C:$C,0)))))&gt;0)),INDEX('2.職務職能需求'!$B$2:$F$28,MATCH(F430,'2.職務職能需求'!$A$2:$A$28,0),MATCH(D430,'2.職務職能需求'!$B$1:$F$1,0)),0),""))</f>
        <v/>
      </c>
      <c r="H430" s="94" t="n"/>
      <c r="I430" s="94" t="n"/>
      <c r="J430" s="120">
        <f>IF(OR(G430="",I430="",G430=0),"",I430-G430)</f>
        <v/>
      </c>
      <c r="K430" s="120">
        <f>IF(G430="","",IF(G430=0,"不適用",IF(I430="","待評核",IF(I430&gt;=G430,IF(I430&gt;G430,"超越","達標"),"待發展"))))</f>
        <v/>
      </c>
      <c r="L430" s="91" t="n"/>
      <c r="M430" s="91" t="n"/>
      <c r="N430" s="88" t="n"/>
    </row>
    <row r="431" ht="15.75" customHeight="1" s="64">
      <c r="A431" s="88" t="n"/>
      <c r="B431" s="120">
        <f t="array" ref="B431:B431">IF(A431="","",IFERROR(INDEX('3.員工名單'!$B:$B,MATCH(A431,'3.員工名單'!$A:$A,0)),"查無此員工"))</f>
        <v/>
      </c>
      <c r="C431" s="120">
        <f t="array" ref="C431:C431">IF(A431="","",IFERROR(INDEX('3.員工名單'!$C:$C,MATCH(A431,'3.員工名單'!$A:$A,0)),""))</f>
        <v/>
      </c>
      <c r="D431" s="120">
        <f t="array" ref="D431:D431">IF(A431="","",IFERROR(INDEX('3.員工名單'!$D:$D,MATCH(A431,'3.員工名單'!$A:$A,0)),""))</f>
        <v/>
      </c>
      <c r="E431" s="120">
        <f t="array" ref="E431:E431">IF(F431="","",IFERROR(INDEX('1.職能辭典'!$A:$A,MATCH(F431,'1.職能辭典'!$C:$C,0)),""))</f>
        <v/>
      </c>
      <c r="F431" s="94" t="n"/>
      <c r="G431" s="120">
        <f t="array" ref="G431:G431">IF(OR(D431="",F431=""),"",IFERROR(IF(AND(OR(INDEX('1.職能辭典'!$J:$J,MATCH(F431,'1.職能辭典'!$C:$C,0))="全部",INDEX('3.員工名單'!$H:$H,MATCH(A431,'3.員工名單'!$A:$A,0))="兩款共用",INDEX('3.員工名單'!$H:$H,MATCH(A431,'3.員工名單'!$A:$A,0))=INDEX('1.職能辭典'!$J:$J,MATCH(F431,'1.職能辭典'!$C:$C,0))),OR(INDEX('1.職能辭典'!$K:$K,MATCH(F431,'1.職能辭典'!$C:$C,0))="全部",SUMPRODUCT(ISNUMBER(SEARCH({"經營","管理","財務","企劃","營運","技術","數據","美術","測試","客服"},INDEX('3.員工名單'!$I:$I,MATCH(A431,'3.員工名單'!$A:$A,0))))*ISNUMBER(SEARCH({"經營","管理","財務","企劃","營運","技術","數據","美術","測試","客服"},INDEX('1.職能辭典'!$K:$K,MATCH(F431,'1.職能辭典'!$C:$C,0)))))&gt;0)),INDEX('2.職務職能需求'!$B$2:$F$28,MATCH(F431,'2.職務職能需求'!$A$2:$A$28,0),MATCH(D431,'2.職務職能需求'!$B$1:$F$1,0)),0),""))</f>
        <v/>
      </c>
      <c r="H431" s="94" t="n"/>
      <c r="I431" s="94" t="n"/>
      <c r="J431" s="120">
        <f>IF(OR(G431="",I431="",G431=0),"",I431-G431)</f>
        <v/>
      </c>
      <c r="K431" s="120">
        <f>IF(G431="","",IF(G431=0,"不適用",IF(I431="","待評核",IF(I431&gt;=G431,IF(I431&gt;G431,"超越","達標"),"待發展"))))</f>
        <v/>
      </c>
      <c r="L431" s="91" t="n"/>
      <c r="M431" s="91" t="n"/>
      <c r="N431" s="88" t="n"/>
    </row>
    <row r="432" ht="15.75" customHeight="1" s="64">
      <c r="A432" s="88" t="n"/>
      <c r="B432" s="120">
        <f t="array" ref="B432:B432">IF(A432="","",IFERROR(INDEX('3.員工名單'!$B:$B,MATCH(A432,'3.員工名單'!$A:$A,0)),"查無此員工"))</f>
        <v/>
      </c>
      <c r="C432" s="120">
        <f t="array" ref="C432:C432">IF(A432="","",IFERROR(INDEX('3.員工名單'!$C:$C,MATCH(A432,'3.員工名單'!$A:$A,0)),""))</f>
        <v/>
      </c>
      <c r="D432" s="120">
        <f t="array" ref="D432:D432">IF(A432="","",IFERROR(INDEX('3.員工名單'!$D:$D,MATCH(A432,'3.員工名單'!$A:$A,0)),""))</f>
        <v/>
      </c>
      <c r="E432" s="120">
        <f t="array" ref="E432:E432">IF(F432="","",IFERROR(INDEX('1.職能辭典'!$A:$A,MATCH(F432,'1.職能辭典'!$C:$C,0)),""))</f>
        <v/>
      </c>
      <c r="F432" s="94" t="n"/>
      <c r="G432" s="120">
        <f t="array" ref="G432:G432">IF(OR(D432="",F432=""),"",IFERROR(IF(AND(OR(INDEX('1.職能辭典'!$J:$J,MATCH(F432,'1.職能辭典'!$C:$C,0))="全部",INDEX('3.員工名單'!$H:$H,MATCH(A432,'3.員工名單'!$A:$A,0))="兩款共用",INDEX('3.員工名單'!$H:$H,MATCH(A432,'3.員工名單'!$A:$A,0))=INDEX('1.職能辭典'!$J:$J,MATCH(F432,'1.職能辭典'!$C:$C,0))),OR(INDEX('1.職能辭典'!$K:$K,MATCH(F432,'1.職能辭典'!$C:$C,0))="全部",SUMPRODUCT(ISNUMBER(SEARCH({"經營","管理","財務","企劃","營運","技術","數據","美術","測試","客服"},INDEX('3.員工名單'!$I:$I,MATCH(A432,'3.員工名單'!$A:$A,0))))*ISNUMBER(SEARCH({"經營","管理","財務","企劃","營運","技術","數據","美術","測試","客服"},INDEX('1.職能辭典'!$K:$K,MATCH(F432,'1.職能辭典'!$C:$C,0)))))&gt;0)),INDEX('2.職務職能需求'!$B$2:$F$28,MATCH(F432,'2.職務職能需求'!$A$2:$A$28,0),MATCH(D432,'2.職務職能需求'!$B$1:$F$1,0)),0),""))</f>
        <v/>
      </c>
      <c r="H432" s="94" t="n"/>
      <c r="I432" s="94" t="n"/>
      <c r="J432" s="120">
        <f>IF(OR(G432="",I432="",G432=0),"",I432-G432)</f>
        <v/>
      </c>
      <c r="K432" s="120">
        <f>IF(G432="","",IF(G432=0,"不適用",IF(I432="","待評核",IF(I432&gt;=G432,IF(I432&gt;G432,"超越","達標"),"待發展"))))</f>
        <v/>
      </c>
      <c r="L432" s="91" t="n"/>
      <c r="M432" s="91" t="n"/>
      <c r="N432" s="88" t="n"/>
    </row>
    <row r="433" ht="15.75" customHeight="1" s="64">
      <c r="A433" s="88" t="n"/>
      <c r="B433" s="120">
        <f t="array" ref="B433:B433">IF(A433="","",IFERROR(INDEX('3.員工名單'!$B:$B,MATCH(A433,'3.員工名單'!$A:$A,0)),"查無此員工"))</f>
        <v/>
      </c>
      <c r="C433" s="120">
        <f t="array" ref="C433:C433">IF(A433="","",IFERROR(INDEX('3.員工名單'!$C:$C,MATCH(A433,'3.員工名單'!$A:$A,0)),""))</f>
        <v/>
      </c>
      <c r="D433" s="120">
        <f t="array" ref="D433:D433">IF(A433="","",IFERROR(INDEX('3.員工名單'!$D:$D,MATCH(A433,'3.員工名單'!$A:$A,0)),""))</f>
        <v/>
      </c>
      <c r="E433" s="120">
        <f t="array" ref="E433:E433">IF(F433="","",IFERROR(INDEX('1.職能辭典'!$A:$A,MATCH(F433,'1.職能辭典'!$C:$C,0)),""))</f>
        <v/>
      </c>
      <c r="F433" s="94" t="n"/>
      <c r="G433" s="120">
        <f t="array" ref="G433:G433">IF(OR(D433="",F433=""),"",IFERROR(IF(AND(OR(INDEX('1.職能辭典'!$J:$J,MATCH(F433,'1.職能辭典'!$C:$C,0))="全部",INDEX('3.員工名單'!$H:$H,MATCH(A433,'3.員工名單'!$A:$A,0))="兩款共用",INDEX('3.員工名單'!$H:$H,MATCH(A433,'3.員工名單'!$A:$A,0))=INDEX('1.職能辭典'!$J:$J,MATCH(F433,'1.職能辭典'!$C:$C,0))),OR(INDEX('1.職能辭典'!$K:$K,MATCH(F433,'1.職能辭典'!$C:$C,0))="全部",SUMPRODUCT(ISNUMBER(SEARCH({"經營","管理","財務","企劃","營運","技術","數據","美術","測試","客服"},INDEX('3.員工名單'!$I:$I,MATCH(A433,'3.員工名單'!$A:$A,0))))*ISNUMBER(SEARCH({"經營","管理","財務","企劃","營運","技術","數據","美術","測試","客服"},INDEX('1.職能辭典'!$K:$K,MATCH(F433,'1.職能辭典'!$C:$C,0)))))&gt;0)),INDEX('2.職務職能需求'!$B$2:$F$28,MATCH(F433,'2.職務職能需求'!$A$2:$A$28,0),MATCH(D433,'2.職務職能需求'!$B$1:$F$1,0)),0),""))</f>
        <v/>
      </c>
      <c r="H433" s="94" t="n"/>
      <c r="I433" s="94" t="n"/>
      <c r="J433" s="120">
        <f>IF(OR(G433="",I433="",G433=0),"",I433-G433)</f>
        <v/>
      </c>
      <c r="K433" s="120">
        <f>IF(G433="","",IF(G433=0,"不適用",IF(I433="","待評核",IF(I433&gt;=G433,IF(I433&gt;G433,"超越","達標"),"待發展"))))</f>
        <v/>
      </c>
      <c r="L433" s="91" t="n"/>
      <c r="M433" s="91" t="n"/>
      <c r="N433" s="88" t="n"/>
    </row>
    <row r="434" ht="15.75" customHeight="1" s="64">
      <c r="A434" s="88" t="n"/>
      <c r="B434" s="120">
        <f t="array" ref="B434:B434">IF(A434="","",IFERROR(INDEX('3.員工名單'!$B:$B,MATCH(A434,'3.員工名單'!$A:$A,0)),"查無此員工"))</f>
        <v/>
      </c>
      <c r="C434" s="120">
        <f t="array" ref="C434:C434">IF(A434="","",IFERROR(INDEX('3.員工名單'!$C:$C,MATCH(A434,'3.員工名單'!$A:$A,0)),""))</f>
        <v/>
      </c>
      <c r="D434" s="120">
        <f t="array" ref="D434:D434">IF(A434="","",IFERROR(INDEX('3.員工名單'!$D:$D,MATCH(A434,'3.員工名單'!$A:$A,0)),""))</f>
        <v/>
      </c>
      <c r="E434" s="120">
        <f t="array" ref="E434:E434">IF(F434="","",IFERROR(INDEX('1.職能辭典'!$A:$A,MATCH(F434,'1.職能辭典'!$C:$C,0)),""))</f>
        <v/>
      </c>
      <c r="F434" s="94" t="n"/>
      <c r="G434" s="120">
        <f t="array" ref="G434:G434">IF(OR(D434="",F434=""),"",IFERROR(IF(AND(OR(INDEX('1.職能辭典'!$J:$J,MATCH(F434,'1.職能辭典'!$C:$C,0))="全部",INDEX('3.員工名單'!$H:$H,MATCH(A434,'3.員工名單'!$A:$A,0))="兩款共用",INDEX('3.員工名單'!$H:$H,MATCH(A434,'3.員工名單'!$A:$A,0))=INDEX('1.職能辭典'!$J:$J,MATCH(F434,'1.職能辭典'!$C:$C,0))),OR(INDEX('1.職能辭典'!$K:$K,MATCH(F434,'1.職能辭典'!$C:$C,0))="全部",SUMPRODUCT(ISNUMBER(SEARCH({"經營","管理","財務","企劃","營運","技術","數據","美術","測試","客服"},INDEX('3.員工名單'!$I:$I,MATCH(A434,'3.員工名單'!$A:$A,0))))*ISNUMBER(SEARCH({"經營","管理","財務","企劃","營運","技術","數據","美術","測試","客服"},INDEX('1.職能辭典'!$K:$K,MATCH(F434,'1.職能辭典'!$C:$C,0)))))&gt;0)),INDEX('2.職務職能需求'!$B$2:$F$28,MATCH(F434,'2.職務職能需求'!$A$2:$A$28,0),MATCH(D434,'2.職務職能需求'!$B$1:$F$1,0)),0),""))</f>
        <v/>
      </c>
      <c r="H434" s="94" t="n"/>
      <c r="I434" s="94" t="n"/>
      <c r="J434" s="120">
        <f>IF(OR(G434="",I434="",G434=0),"",I434-G434)</f>
        <v/>
      </c>
      <c r="K434" s="120">
        <f>IF(G434="","",IF(G434=0,"不適用",IF(I434="","待評核",IF(I434&gt;=G434,IF(I434&gt;G434,"超越","達標"),"待發展"))))</f>
        <v/>
      </c>
      <c r="L434" s="91" t="n"/>
      <c r="M434" s="91" t="n"/>
      <c r="N434" s="88" t="n"/>
    </row>
    <row r="435" ht="15.75" customHeight="1" s="64">
      <c r="A435" s="88" t="n"/>
      <c r="B435" s="120">
        <f t="array" ref="B435:B435">IF(A435="","",IFERROR(INDEX('3.員工名單'!$B:$B,MATCH(A435,'3.員工名單'!$A:$A,0)),"查無此員工"))</f>
        <v/>
      </c>
      <c r="C435" s="120">
        <f t="array" ref="C435:C435">IF(A435="","",IFERROR(INDEX('3.員工名單'!$C:$C,MATCH(A435,'3.員工名單'!$A:$A,0)),""))</f>
        <v/>
      </c>
      <c r="D435" s="120">
        <f t="array" ref="D435:D435">IF(A435="","",IFERROR(INDEX('3.員工名單'!$D:$D,MATCH(A435,'3.員工名單'!$A:$A,0)),""))</f>
        <v/>
      </c>
      <c r="E435" s="120">
        <f t="array" ref="E435:E435">IF(F435="","",IFERROR(INDEX('1.職能辭典'!$A:$A,MATCH(F435,'1.職能辭典'!$C:$C,0)),""))</f>
        <v/>
      </c>
      <c r="F435" s="94" t="n"/>
      <c r="G435" s="120">
        <f t="array" ref="G435:G435">IF(OR(D435="",F435=""),"",IFERROR(IF(AND(OR(INDEX('1.職能辭典'!$J:$J,MATCH(F435,'1.職能辭典'!$C:$C,0))="全部",INDEX('3.員工名單'!$H:$H,MATCH(A435,'3.員工名單'!$A:$A,0))="兩款共用",INDEX('3.員工名單'!$H:$H,MATCH(A435,'3.員工名單'!$A:$A,0))=INDEX('1.職能辭典'!$J:$J,MATCH(F435,'1.職能辭典'!$C:$C,0))),OR(INDEX('1.職能辭典'!$K:$K,MATCH(F435,'1.職能辭典'!$C:$C,0))="全部",SUMPRODUCT(ISNUMBER(SEARCH({"經營","管理","財務","企劃","營運","技術","數據","美術","測試","客服"},INDEX('3.員工名單'!$I:$I,MATCH(A435,'3.員工名單'!$A:$A,0))))*ISNUMBER(SEARCH({"經營","管理","財務","企劃","營運","技術","數據","美術","測試","客服"},INDEX('1.職能辭典'!$K:$K,MATCH(F435,'1.職能辭典'!$C:$C,0)))))&gt;0)),INDEX('2.職務職能需求'!$B$2:$F$28,MATCH(F435,'2.職務職能需求'!$A$2:$A$28,0),MATCH(D435,'2.職務職能需求'!$B$1:$F$1,0)),0),""))</f>
        <v/>
      </c>
      <c r="H435" s="94" t="n"/>
      <c r="I435" s="94" t="n"/>
      <c r="J435" s="120">
        <f>IF(OR(G435="",I435="",G435=0),"",I435-G435)</f>
        <v/>
      </c>
      <c r="K435" s="120">
        <f>IF(G435="","",IF(G435=0,"不適用",IF(I435="","待評核",IF(I435&gt;=G435,IF(I435&gt;G435,"超越","達標"),"待發展"))))</f>
        <v/>
      </c>
      <c r="L435" s="91" t="n"/>
      <c r="M435" s="91" t="n"/>
      <c r="N435" s="88" t="n"/>
    </row>
    <row r="436" ht="15.75" customHeight="1" s="64">
      <c r="A436" s="88" t="n"/>
      <c r="B436" s="120">
        <f t="array" ref="B436:B436">IF(A436="","",IFERROR(INDEX('3.員工名單'!$B:$B,MATCH(A436,'3.員工名單'!$A:$A,0)),"查無此員工"))</f>
        <v/>
      </c>
      <c r="C436" s="120">
        <f t="array" ref="C436:C436">IF(A436="","",IFERROR(INDEX('3.員工名單'!$C:$C,MATCH(A436,'3.員工名單'!$A:$A,0)),""))</f>
        <v/>
      </c>
      <c r="D436" s="120">
        <f t="array" ref="D436:D436">IF(A436="","",IFERROR(INDEX('3.員工名單'!$D:$D,MATCH(A436,'3.員工名單'!$A:$A,0)),""))</f>
        <v/>
      </c>
      <c r="E436" s="120">
        <f t="array" ref="E436:E436">IF(F436="","",IFERROR(INDEX('1.職能辭典'!$A:$A,MATCH(F436,'1.職能辭典'!$C:$C,0)),""))</f>
        <v/>
      </c>
      <c r="F436" s="94" t="n"/>
      <c r="G436" s="120">
        <f t="array" ref="G436:G436">IF(OR(D436="",F436=""),"",IFERROR(IF(AND(OR(INDEX('1.職能辭典'!$J:$J,MATCH(F436,'1.職能辭典'!$C:$C,0))="全部",INDEX('3.員工名單'!$H:$H,MATCH(A436,'3.員工名單'!$A:$A,0))="兩款共用",INDEX('3.員工名單'!$H:$H,MATCH(A436,'3.員工名單'!$A:$A,0))=INDEX('1.職能辭典'!$J:$J,MATCH(F436,'1.職能辭典'!$C:$C,0))),OR(INDEX('1.職能辭典'!$K:$K,MATCH(F436,'1.職能辭典'!$C:$C,0))="全部",SUMPRODUCT(ISNUMBER(SEARCH({"經營","管理","財務","企劃","營運","技術","數據","美術","測試","客服"},INDEX('3.員工名單'!$I:$I,MATCH(A436,'3.員工名單'!$A:$A,0))))*ISNUMBER(SEARCH({"經營","管理","財務","企劃","營運","技術","數據","美術","測試","客服"},INDEX('1.職能辭典'!$K:$K,MATCH(F436,'1.職能辭典'!$C:$C,0)))))&gt;0)),INDEX('2.職務職能需求'!$B$2:$F$28,MATCH(F436,'2.職務職能需求'!$A$2:$A$28,0),MATCH(D436,'2.職務職能需求'!$B$1:$F$1,0)),0),""))</f>
        <v/>
      </c>
      <c r="H436" s="94" t="n"/>
      <c r="I436" s="94" t="n"/>
      <c r="J436" s="120">
        <f>IF(OR(G436="",I436="",G436=0),"",I436-G436)</f>
        <v/>
      </c>
      <c r="K436" s="120">
        <f>IF(G436="","",IF(G436=0,"不適用",IF(I436="","待評核",IF(I436&gt;=G436,IF(I436&gt;G436,"超越","達標"),"待發展"))))</f>
        <v/>
      </c>
      <c r="L436" s="91" t="n"/>
      <c r="M436" s="91" t="n"/>
      <c r="N436" s="88" t="n"/>
    </row>
    <row r="437" ht="15.75" customHeight="1" s="64">
      <c r="A437" s="88" t="n"/>
      <c r="B437" s="120">
        <f t="array" ref="B437:B437">IF(A437="","",IFERROR(INDEX('3.員工名單'!$B:$B,MATCH(A437,'3.員工名單'!$A:$A,0)),"查無此員工"))</f>
        <v/>
      </c>
      <c r="C437" s="120">
        <f t="array" ref="C437:C437">IF(A437="","",IFERROR(INDEX('3.員工名單'!$C:$C,MATCH(A437,'3.員工名單'!$A:$A,0)),""))</f>
        <v/>
      </c>
      <c r="D437" s="120">
        <f t="array" ref="D437:D437">IF(A437="","",IFERROR(INDEX('3.員工名單'!$D:$D,MATCH(A437,'3.員工名單'!$A:$A,0)),""))</f>
        <v/>
      </c>
      <c r="E437" s="120">
        <f t="array" ref="E437:E437">IF(F437="","",IFERROR(INDEX('1.職能辭典'!$A:$A,MATCH(F437,'1.職能辭典'!$C:$C,0)),""))</f>
        <v/>
      </c>
      <c r="F437" s="94" t="n"/>
      <c r="G437" s="120">
        <f t="array" ref="G437:G437">IF(OR(D437="",F437=""),"",IFERROR(IF(AND(OR(INDEX('1.職能辭典'!$J:$J,MATCH(F437,'1.職能辭典'!$C:$C,0))="全部",INDEX('3.員工名單'!$H:$H,MATCH(A437,'3.員工名單'!$A:$A,0))="兩款共用",INDEX('3.員工名單'!$H:$H,MATCH(A437,'3.員工名單'!$A:$A,0))=INDEX('1.職能辭典'!$J:$J,MATCH(F437,'1.職能辭典'!$C:$C,0))),OR(INDEX('1.職能辭典'!$K:$K,MATCH(F437,'1.職能辭典'!$C:$C,0))="全部",SUMPRODUCT(ISNUMBER(SEARCH({"經營","管理","財務","企劃","營運","技術","數據","美術","測試","客服"},INDEX('3.員工名單'!$I:$I,MATCH(A437,'3.員工名單'!$A:$A,0))))*ISNUMBER(SEARCH({"經營","管理","財務","企劃","營運","技術","數據","美術","測試","客服"},INDEX('1.職能辭典'!$K:$K,MATCH(F437,'1.職能辭典'!$C:$C,0)))))&gt;0)),INDEX('2.職務職能需求'!$B$2:$F$28,MATCH(F437,'2.職務職能需求'!$A$2:$A$28,0),MATCH(D437,'2.職務職能需求'!$B$1:$F$1,0)),0),""))</f>
        <v/>
      </c>
      <c r="H437" s="94" t="n"/>
      <c r="I437" s="94" t="n"/>
      <c r="J437" s="120">
        <f>IF(OR(G437="",I437="",G437=0),"",I437-G437)</f>
        <v/>
      </c>
      <c r="K437" s="120">
        <f>IF(G437="","",IF(G437=0,"不適用",IF(I437="","待評核",IF(I437&gt;=G437,IF(I437&gt;G437,"超越","達標"),"待發展"))))</f>
        <v/>
      </c>
      <c r="L437" s="91" t="n"/>
      <c r="M437" s="91" t="n"/>
      <c r="N437" s="88" t="n"/>
    </row>
    <row r="438" ht="15.75" customHeight="1" s="64">
      <c r="A438" s="88" t="n"/>
      <c r="B438" s="120">
        <f t="array" ref="B438:B438">IF(A438="","",IFERROR(INDEX('3.員工名單'!$B:$B,MATCH(A438,'3.員工名單'!$A:$A,0)),"查無此員工"))</f>
        <v/>
      </c>
      <c r="C438" s="120">
        <f t="array" ref="C438:C438">IF(A438="","",IFERROR(INDEX('3.員工名單'!$C:$C,MATCH(A438,'3.員工名單'!$A:$A,0)),""))</f>
        <v/>
      </c>
      <c r="D438" s="120">
        <f t="array" ref="D438:D438">IF(A438="","",IFERROR(INDEX('3.員工名單'!$D:$D,MATCH(A438,'3.員工名單'!$A:$A,0)),""))</f>
        <v/>
      </c>
      <c r="E438" s="120">
        <f t="array" ref="E438:E438">IF(F438="","",IFERROR(INDEX('1.職能辭典'!$A:$A,MATCH(F438,'1.職能辭典'!$C:$C,0)),""))</f>
        <v/>
      </c>
      <c r="F438" s="94" t="n"/>
      <c r="G438" s="120">
        <f t="array" ref="G438:G438">IF(OR(D438="",F438=""),"",IFERROR(IF(AND(OR(INDEX('1.職能辭典'!$J:$J,MATCH(F438,'1.職能辭典'!$C:$C,0))="全部",INDEX('3.員工名單'!$H:$H,MATCH(A438,'3.員工名單'!$A:$A,0))="兩款共用",INDEX('3.員工名單'!$H:$H,MATCH(A438,'3.員工名單'!$A:$A,0))=INDEX('1.職能辭典'!$J:$J,MATCH(F438,'1.職能辭典'!$C:$C,0))),OR(INDEX('1.職能辭典'!$K:$K,MATCH(F438,'1.職能辭典'!$C:$C,0))="全部",SUMPRODUCT(ISNUMBER(SEARCH({"經營","管理","財務","企劃","營運","技術","數據","美術","測試","客服"},INDEX('3.員工名單'!$I:$I,MATCH(A438,'3.員工名單'!$A:$A,0))))*ISNUMBER(SEARCH({"經營","管理","財務","企劃","營運","技術","數據","美術","測試","客服"},INDEX('1.職能辭典'!$K:$K,MATCH(F438,'1.職能辭典'!$C:$C,0)))))&gt;0)),INDEX('2.職務職能需求'!$B$2:$F$28,MATCH(F438,'2.職務職能需求'!$A$2:$A$28,0),MATCH(D438,'2.職務職能需求'!$B$1:$F$1,0)),0),""))</f>
        <v/>
      </c>
      <c r="H438" s="94" t="n"/>
      <c r="I438" s="94" t="n"/>
      <c r="J438" s="120">
        <f>IF(OR(G438="",I438="",G438=0),"",I438-G438)</f>
        <v/>
      </c>
      <c r="K438" s="120">
        <f>IF(G438="","",IF(G438=0,"不適用",IF(I438="","待評核",IF(I438&gt;=G438,IF(I438&gt;G438,"超越","達標"),"待發展"))))</f>
        <v/>
      </c>
      <c r="L438" s="91" t="n"/>
      <c r="M438" s="91" t="n"/>
      <c r="N438" s="88" t="n"/>
    </row>
    <row r="439" ht="15.75" customHeight="1" s="64">
      <c r="A439" s="88" t="n"/>
      <c r="B439" s="120">
        <f t="array" ref="B439:B439">IF(A439="","",IFERROR(INDEX('3.員工名單'!$B:$B,MATCH(A439,'3.員工名單'!$A:$A,0)),"查無此員工"))</f>
        <v/>
      </c>
      <c r="C439" s="120">
        <f t="array" ref="C439:C439">IF(A439="","",IFERROR(INDEX('3.員工名單'!$C:$C,MATCH(A439,'3.員工名單'!$A:$A,0)),""))</f>
        <v/>
      </c>
      <c r="D439" s="120">
        <f t="array" ref="D439:D439">IF(A439="","",IFERROR(INDEX('3.員工名單'!$D:$D,MATCH(A439,'3.員工名單'!$A:$A,0)),""))</f>
        <v/>
      </c>
      <c r="E439" s="120">
        <f t="array" ref="E439:E439">IF(F439="","",IFERROR(INDEX('1.職能辭典'!$A:$A,MATCH(F439,'1.職能辭典'!$C:$C,0)),""))</f>
        <v/>
      </c>
      <c r="F439" s="94" t="n"/>
      <c r="G439" s="120">
        <f t="array" ref="G439:G439">IF(OR(D439="",F439=""),"",IFERROR(IF(AND(OR(INDEX('1.職能辭典'!$J:$J,MATCH(F439,'1.職能辭典'!$C:$C,0))="全部",INDEX('3.員工名單'!$H:$H,MATCH(A439,'3.員工名單'!$A:$A,0))="兩款共用",INDEX('3.員工名單'!$H:$H,MATCH(A439,'3.員工名單'!$A:$A,0))=INDEX('1.職能辭典'!$J:$J,MATCH(F439,'1.職能辭典'!$C:$C,0))),OR(INDEX('1.職能辭典'!$K:$K,MATCH(F439,'1.職能辭典'!$C:$C,0))="全部",SUMPRODUCT(ISNUMBER(SEARCH({"經營","管理","財務","企劃","營運","技術","數據","美術","測試","客服"},INDEX('3.員工名單'!$I:$I,MATCH(A439,'3.員工名單'!$A:$A,0))))*ISNUMBER(SEARCH({"經營","管理","財務","企劃","營運","技術","數據","美術","測試","客服"},INDEX('1.職能辭典'!$K:$K,MATCH(F439,'1.職能辭典'!$C:$C,0)))))&gt;0)),INDEX('2.職務職能需求'!$B$2:$F$28,MATCH(F439,'2.職務職能需求'!$A$2:$A$28,0),MATCH(D439,'2.職務職能需求'!$B$1:$F$1,0)),0),""))</f>
        <v/>
      </c>
      <c r="H439" s="94" t="n"/>
      <c r="I439" s="94" t="n"/>
      <c r="J439" s="120">
        <f>IF(OR(G439="",I439="",G439=0),"",I439-G439)</f>
        <v/>
      </c>
      <c r="K439" s="120">
        <f>IF(G439="","",IF(G439=0,"不適用",IF(I439="","待評核",IF(I439&gt;=G439,IF(I439&gt;G439,"超越","達標"),"待發展"))))</f>
        <v/>
      </c>
      <c r="L439" s="91" t="n"/>
      <c r="M439" s="91" t="n"/>
      <c r="N439" s="88" t="n"/>
    </row>
    <row r="440" ht="15.75" customHeight="1" s="64">
      <c r="A440" s="88" t="n"/>
      <c r="B440" s="120">
        <f t="array" ref="B440:B440">IF(A440="","",IFERROR(INDEX('3.員工名單'!$B:$B,MATCH(A440,'3.員工名單'!$A:$A,0)),"查無此員工"))</f>
        <v/>
      </c>
      <c r="C440" s="120">
        <f t="array" ref="C440:C440">IF(A440="","",IFERROR(INDEX('3.員工名單'!$C:$C,MATCH(A440,'3.員工名單'!$A:$A,0)),""))</f>
        <v/>
      </c>
      <c r="D440" s="120">
        <f t="array" ref="D440:D440">IF(A440="","",IFERROR(INDEX('3.員工名單'!$D:$D,MATCH(A440,'3.員工名單'!$A:$A,0)),""))</f>
        <v/>
      </c>
      <c r="E440" s="120">
        <f t="array" ref="E440:E440">IF(F440="","",IFERROR(INDEX('1.職能辭典'!$A:$A,MATCH(F440,'1.職能辭典'!$C:$C,0)),""))</f>
        <v/>
      </c>
      <c r="F440" s="94" t="n"/>
      <c r="G440" s="120">
        <f t="array" ref="G440:G440">IF(OR(D440="",F440=""),"",IFERROR(IF(AND(OR(INDEX('1.職能辭典'!$J:$J,MATCH(F440,'1.職能辭典'!$C:$C,0))="全部",INDEX('3.員工名單'!$H:$H,MATCH(A440,'3.員工名單'!$A:$A,0))="兩款共用",INDEX('3.員工名單'!$H:$H,MATCH(A440,'3.員工名單'!$A:$A,0))=INDEX('1.職能辭典'!$J:$J,MATCH(F440,'1.職能辭典'!$C:$C,0))),OR(INDEX('1.職能辭典'!$K:$K,MATCH(F440,'1.職能辭典'!$C:$C,0))="全部",SUMPRODUCT(ISNUMBER(SEARCH({"經營","管理","財務","企劃","營運","技術","數據","美術","測試","客服"},INDEX('3.員工名單'!$I:$I,MATCH(A440,'3.員工名單'!$A:$A,0))))*ISNUMBER(SEARCH({"經營","管理","財務","企劃","營運","技術","數據","美術","測試","客服"},INDEX('1.職能辭典'!$K:$K,MATCH(F440,'1.職能辭典'!$C:$C,0)))))&gt;0)),INDEX('2.職務職能需求'!$B$2:$F$28,MATCH(F440,'2.職務職能需求'!$A$2:$A$28,0),MATCH(D440,'2.職務職能需求'!$B$1:$F$1,0)),0),""))</f>
        <v/>
      </c>
      <c r="H440" s="94" t="n"/>
      <c r="I440" s="94" t="n"/>
      <c r="J440" s="120">
        <f>IF(OR(G440="",I440="",G440=0),"",I440-G440)</f>
        <v/>
      </c>
      <c r="K440" s="120">
        <f>IF(G440="","",IF(G440=0,"不適用",IF(I440="","待評核",IF(I440&gt;=G440,IF(I440&gt;G440,"超越","達標"),"待發展"))))</f>
        <v/>
      </c>
      <c r="L440" s="91" t="n"/>
      <c r="M440" s="91" t="n"/>
      <c r="N440" s="88" t="n"/>
    </row>
    <row r="441" ht="15.75" customHeight="1" s="64">
      <c r="A441" s="88" t="n"/>
      <c r="B441" s="120">
        <f t="array" ref="B441:B441">IF(A441="","",IFERROR(INDEX('3.員工名單'!$B:$B,MATCH(A441,'3.員工名單'!$A:$A,0)),"查無此員工"))</f>
        <v/>
      </c>
      <c r="C441" s="120">
        <f t="array" ref="C441:C441">IF(A441="","",IFERROR(INDEX('3.員工名單'!$C:$C,MATCH(A441,'3.員工名單'!$A:$A,0)),""))</f>
        <v/>
      </c>
      <c r="D441" s="120">
        <f t="array" ref="D441:D441">IF(A441="","",IFERROR(INDEX('3.員工名單'!$D:$D,MATCH(A441,'3.員工名單'!$A:$A,0)),""))</f>
        <v/>
      </c>
      <c r="E441" s="120">
        <f t="array" ref="E441:E441">IF(F441="","",IFERROR(INDEX('1.職能辭典'!$A:$A,MATCH(F441,'1.職能辭典'!$C:$C,0)),""))</f>
        <v/>
      </c>
      <c r="F441" s="94" t="n"/>
      <c r="G441" s="120">
        <f t="array" ref="G441:G441">IF(OR(D441="",F441=""),"",IFERROR(IF(AND(OR(INDEX('1.職能辭典'!$J:$J,MATCH(F441,'1.職能辭典'!$C:$C,0))="全部",INDEX('3.員工名單'!$H:$H,MATCH(A441,'3.員工名單'!$A:$A,0))="兩款共用",INDEX('3.員工名單'!$H:$H,MATCH(A441,'3.員工名單'!$A:$A,0))=INDEX('1.職能辭典'!$J:$J,MATCH(F441,'1.職能辭典'!$C:$C,0))),OR(INDEX('1.職能辭典'!$K:$K,MATCH(F441,'1.職能辭典'!$C:$C,0))="全部",SUMPRODUCT(ISNUMBER(SEARCH({"經營","管理","財務","企劃","營運","技術","數據","美術","測試","客服"},INDEX('3.員工名單'!$I:$I,MATCH(A441,'3.員工名單'!$A:$A,0))))*ISNUMBER(SEARCH({"經營","管理","財務","企劃","營運","技術","數據","美術","測試","客服"},INDEX('1.職能辭典'!$K:$K,MATCH(F441,'1.職能辭典'!$C:$C,0)))))&gt;0)),INDEX('2.職務職能需求'!$B$2:$F$28,MATCH(F441,'2.職務職能需求'!$A$2:$A$28,0),MATCH(D441,'2.職務職能需求'!$B$1:$F$1,0)),0),""))</f>
        <v/>
      </c>
      <c r="H441" s="94" t="n"/>
      <c r="I441" s="94" t="n"/>
      <c r="J441" s="120">
        <f>IF(OR(G441="",I441="",G441=0),"",I441-G441)</f>
        <v/>
      </c>
      <c r="K441" s="120">
        <f>IF(G441="","",IF(G441=0,"不適用",IF(I441="","待評核",IF(I441&gt;=G441,IF(I441&gt;G441,"超越","達標"),"待發展"))))</f>
        <v/>
      </c>
      <c r="L441" s="91" t="n"/>
      <c r="M441" s="91" t="n"/>
      <c r="N441" s="88" t="n"/>
    </row>
    <row r="442" ht="15.75" customHeight="1" s="64">
      <c r="A442" s="88" t="n"/>
      <c r="B442" s="120">
        <f t="array" ref="B442:B442">IF(A442="","",IFERROR(INDEX('3.員工名單'!$B:$B,MATCH(A442,'3.員工名單'!$A:$A,0)),"查無此員工"))</f>
        <v/>
      </c>
      <c r="C442" s="120">
        <f t="array" ref="C442:C442">IF(A442="","",IFERROR(INDEX('3.員工名單'!$C:$C,MATCH(A442,'3.員工名單'!$A:$A,0)),""))</f>
        <v/>
      </c>
      <c r="D442" s="120">
        <f t="array" ref="D442:D442">IF(A442="","",IFERROR(INDEX('3.員工名單'!$D:$D,MATCH(A442,'3.員工名單'!$A:$A,0)),""))</f>
        <v/>
      </c>
      <c r="E442" s="120">
        <f t="array" ref="E442:E442">IF(F442="","",IFERROR(INDEX('1.職能辭典'!$A:$A,MATCH(F442,'1.職能辭典'!$C:$C,0)),""))</f>
        <v/>
      </c>
      <c r="F442" s="94" t="n"/>
      <c r="G442" s="120">
        <f t="array" ref="G442:G442">IF(OR(D442="",F442=""),"",IFERROR(IF(AND(OR(INDEX('1.職能辭典'!$J:$J,MATCH(F442,'1.職能辭典'!$C:$C,0))="全部",INDEX('3.員工名單'!$H:$H,MATCH(A442,'3.員工名單'!$A:$A,0))="兩款共用",INDEX('3.員工名單'!$H:$H,MATCH(A442,'3.員工名單'!$A:$A,0))=INDEX('1.職能辭典'!$J:$J,MATCH(F442,'1.職能辭典'!$C:$C,0))),OR(INDEX('1.職能辭典'!$K:$K,MATCH(F442,'1.職能辭典'!$C:$C,0))="全部",SUMPRODUCT(ISNUMBER(SEARCH({"經營","管理","財務","企劃","營運","技術","數據","美術","測試","客服"},INDEX('3.員工名單'!$I:$I,MATCH(A442,'3.員工名單'!$A:$A,0))))*ISNUMBER(SEARCH({"經營","管理","財務","企劃","營運","技術","數據","美術","測試","客服"},INDEX('1.職能辭典'!$K:$K,MATCH(F442,'1.職能辭典'!$C:$C,0)))))&gt;0)),INDEX('2.職務職能需求'!$B$2:$F$28,MATCH(F442,'2.職務職能需求'!$A$2:$A$28,0),MATCH(D442,'2.職務職能需求'!$B$1:$F$1,0)),0),""))</f>
        <v/>
      </c>
      <c r="H442" s="94" t="n"/>
      <c r="I442" s="94" t="n"/>
      <c r="J442" s="120">
        <f>IF(OR(G442="",I442="",G442=0),"",I442-G442)</f>
        <v/>
      </c>
      <c r="K442" s="120">
        <f>IF(G442="","",IF(G442=0,"不適用",IF(I442="","待評核",IF(I442&gt;=G442,IF(I442&gt;G442,"超越","達標"),"待發展"))))</f>
        <v/>
      </c>
      <c r="L442" s="91" t="n"/>
      <c r="M442" s="91" t="n"/>
      <c r="N442" s="88" t="n"/>
    </row>
    <row r="443" ht="15.75" customHeight="1" s="64">
      <c r="A443" s="88" t="n"/>
      <c r="B443" s="120">
        <f t="array" ref="B443:B443">IF(A443="","",IFERROR(INDEX('3.員工名單'!$B:$B,MATCH(A443,'3.員工名單'!$A:$A,0)),"查無此員工"))</f>
        <v/>
      </c>
      <c r="C443" s="120">
        <f t="array" ref="C443:C443">IF(A443="","",IFERROR(INDEX('3.員工名單'!$C:$C,MATCH(A443,'3.員工名單'!$A:$A,0)),""))</f>
        <v/>
      </c>
      <c r="D443" s="120">
        <f t="array" ref="D443:D443">IF(A443="","",IFERROR(INDEX('3.員工名單'!$D:$D,MATCH(A443,'3.員工名單'!$A:$A,0)),""))</f>
        <v/>
      </c>
      <c r="E443" s="120">
        <f t="array" ref="E443:E443">IF(F443="","",IFERROR(INDEX('1.職能辭典'!$A:$A,MATCH(F443,'1.職能辭典'!$C:$C,0)),""))</f>
        <v/>
      </c>
      <c r="F443" s="94" t="n"/>
      <c r="G443" s="120">
        <f t="array" ref="G443:G443">IF(OR(D443="",F443=""),"",IFERROR(IF(AND(OR(INDEX('1.職能辭典'!$J:$J,MATCH(F443,'1.職能辭典'!$C:$C,0))="全部",INDEX('3.員工名單'!$H:$H,MATCH(A443,'3.員工名單'!$A:$A,0))="兩款共用",INDEX('3.員工名單'!$H:$H,MATCH(A443,'3.員工名單'!$A:$A,0))=INDEX('1.職能辭典'!$J:$J,MATCH(F443,'1.職能辭典'!$C:$C,0))),OR(INDEX('1.職能辭典'!$K:$K,MATCH(F443,'1.職能辭典'!$C:$C,0))="全部",SUMPRODUCT(ISNUMBER(SEARCH({"經營","管理","財務","企劃","營運","技術","數據","美術","測試","客服"},INDEX('3.員工名單'!$I:$I,MATCH(A443,'3.員工名單'!$A:$A,0))))*ISNUMBER(SEARCH({"經營","管理","財務","企劃","營運","技術","數據","美術","測試","客服"},INDEX('1.職能辭典'!$K:$K,MATCH(F443,'1.職能辭典'!$C:$C,0)))))&gt;0)),INDEX('2.職務職能需求'!$B$2:$F$28,MATCH(F443,'2.職務職能需求'!$A$2:$A$28,0),MATCH(D443,'2.職務職能需求'!$B$1:$F$1,0)),0),""))</f>
        <v/>
      </c>
      <c r="H443" s="94" t="n"/>
      <c r="I443" s="94" t="n"/>
      <c r="J443" s="120">
        <f>IF(OR(G443="",I443="",G443=0),"",I443-G443)</f>
        <v/>
      </c>
      <c r="K443" s="120">
        <f>IF(G443="","",IF(G443=0,"不適用",IF(I443="","待評核",IF(I443&gt;=G443,IF(I443&gt;G443,"超越","達標"),"待發展"))))</f>
        <v/>
      </c>
      <c r="L443" s="91" t="n"/>
      <c r="M443" s="91" t="n"/>
      <c r="N443" s="88" t="n"/>
    </row>
    <row r="444" ht="15.75" customHeight="1" s="64">
      <c r="A444" s="88" t="n"/>
      <c r="B444" s="120">
        <f t="array" ref="B444:B444">IF(A444="","",IFERROR(INDEX('3.員工名單'!$B:$B,MATCH(A444,'3.員工名單'!$A:$A,0)),"查無此員工"))</f>
        <v/>
      </c>
      <c r="C444" s="120">
        <f t="array" ref="C444:C444">IF(A444="","",IFERROR(INDEX('3.員工名單'!$C:$C,MATCH(A444,'3.員工名單'!$A:$A,0)),""))</f>
        <v/>
      </c>
      <c r="D444" s="120">
        <f t="array" ref="D444:D444">IF(A444="","",IFERROR(INDEX('3.員工名單'!$D:$D,MATCH(A444,'3.員工名單'!$A:$A,0)),""))</f>
        <v/>
      </c>
      <c r="E444" s="120">
        <f t="array" ref="E444:E444">IF(F444="","",IFERROR(INDEX('1.職能辭典'!$A:$A,MATCH(F444,'1.職能辭典'!$C:$C,0)),""))</f>
        <v/>
      </c>
      <c r="F444" s="94" t="n"/>
      <c r="G444" s="120">
        <f t="array" ref="G444:G444">IF(OR(D444="",F444=""),"",IFERROR(IF(AND(OR(INDEX('1.職能辭典'!$J:$J,MATCH(F444,'1.職能辭典'!$C:$C,0))="全部",INDEX('3.員工名單'!$H:$H,MATCH(A444,'3.員工名單'!$A:$A,0))="兩款共用",INDEX('3.員工名單'!$H:$H,MATCH(A444,'3.員工名單'!$A:$A,0))=INDEX('1.職能辭典'!$J:$J,MATCH(F444,'1.職能辭典'!$C:$C,0))),OR(INDEX('1.職能辭典'!$K:$K,MATCH(F444,'1.職能辭典'!$C:$C,0))="全部",SUMPRODUCT(ISNUMBER(SEARCH({"經營","管理","財務","企劃","營運","技術","數據","美術","測試","客服"},INDEX('3.員工名單'!$I:$I,MATCH(A444,'3.員工名單'!$A:$A,0))))*ISNUMBER(SEARCH({"經營","管理","財務","企劃","營運","技術","數據","美術","測試","客服"},INDEX('1.職能辭典'!$K:$K,MATCH(F444,'1.職能辭典'!$C:$C,0)))))&gt;0)),INDEX('2.職務職能需求'!$B$2:$F$28,MATCH(F444,'2.職務職能需求'!$A$2:$A$28,0),MATCH(D444,'2.職務職能需求'!$B$1:$F$1,0)),0),""))</f>
        <v/>
      </c>
      <c r="H444" s="94" t="n"/>
      <c r="I444" s="94" t="n"/>
      <c r="J444" s="120">
        <f>IF(OR(G444="",I444="",G444=0),"",I444-G444)</f>
        <v/>
      </c>
      <c r="K444" s="120">
        <f>IF(G444="","",IF(G444=0,"不適用",IF(I444="","待評核",IF(I444&gt;=G444,IF(I444&gt;G444,"超越","達標"),"待發展"))))</f>
        <v/>
      </c>
      <c r="L444" s="91" t="n"/>
      <c r="M444" s="91" t="n"/>
      <c r="N444" s="88" t="n"/>
    </row>
    <row r="445" ht="15.75" customHeight="1" s="64">
      <c r="A445" s="88" t="n"/>
      <c r="B445" s="120">
        <f t="array" ref="B445:B445">IF(A445="","",IFERROR(INDEX('3.員工名單'!$B:$B,MATCH(A445,'3.員工名單'!$A:$A,0)),"查無此員工"))</f>
        <v/>
      </c>
      <c r="C445" s="120">
        <f t="array" ref="C445:C445">IF(A445="","",IFERROR(INDEX('3.員工名單'!$C:$C,MATCH(A445,'3.員工名單'!$A:$A,0)),""))</f>
        <v/>
      </c>
      <c r="D445" s="120">
        <f t="array" ref="D445:D445">IF(A445="","",IFERROR(INDEX('3.員工名單'!$D:$D,MATCH(A445,'3.員工名單'!$A:$A,0)),""))</f>
        <v/>
      </c>
      <c r="E445" s="120">
        <f t="array" ref="E445:E445">IF(F445="","",IFERROR(INDEX('1.職能辭典'!$A:$A,MATCH(F445,'1.職能辭典'!$C:$C,0)),""))</f>
        <v/>
      </c>
      <c r="F445" s="94" t="n"/>
      <c r="G445" s="120">
        <f t="array" ref="G445:G445">IF(OR(D445="",F445=""),"",IFERROR(IF(AND(OR(INDEX('1.職能辭典'!$J:$J,MATCH(F445,'1.職能辭典'!$C:$C,0))="全部",INDEX('3.員工名單'!$H:$H,MATCH(A445,'3.員工名單'!$A:$A,0))="兩款共用",INDEX('3.員工名單'!$H:$H,MATCH(A445,'3.員工名單'!$A:$A,0))=INDEX('1.職能辭典'!$J:$J,MATCH(F445,'1.職能辭典'!$C:$C,0))),OR(INDEX('1.職能辭典'!$K:$K,MATCH(F445,'1.職能辭典'!$C:$C,0))="全部",SUMPRODUCT(ISNUMBER(SEARCH({"經營","管理","財務","企劃","營運","技術","數據","美術","測試","客服"},INDEX('3.員工名單'!$I:$I,MATCH(A445,'3.員工名單'!$A:$A,0))))*ISNUMBER(SEARCH({"經營","管理","財務","企劃","營運","技術","數據","美術","測試","客服"},INDEX('1.職能辭典'!$K:$K,MATCH(F445,'1.職能辭典'!$C:$C,0)))))&gt;0)),INDEX('2.職務職能需求'!$B$2:$F$28,MATCH(F445,'2.職務職能需求'!$A$2:$A$28,0),MATCH(D445,'2.職務職能需求'!$B$1:$F$1,0)),0),""))</f>
        <v/>
      </c>
      <c r="H445" s="94" t="n"/>
      <c r="I445" s="94" t="n"/>
      <c r="J445" s="120">
        <f>IF(OR(G445="",I445="",G445=0),"",I445-G445)</f>
        <v/>
      </c>
      <c r="K445" s="120">
        <f>IF(G445="","",IF(G445=0,"不適用",IF(I445="","待評核",IF(I445&gt;=G445,IF(I445&gt;G445,"超越","達標"),"待發展"))))</f>
        <v/>
      </c>
      <c r="L445" s="91" t="n"/>
      <c r="M445" s="91" t="n"/>
      <c r="N445" s="88" t="n"/>
    </row>
    <row r="446" ht="15.75" customHeight="1" s="64">
      <c r="A446" s="88" t="n"/>
      <c r="B446" s="120">
        <f t="array" ref="B446:B446">IF(A446="","",IFERROR(INDEX('3.員工名單'!$B:$B,MATCH(A446,'3.員工名單'!$A:$A,0)),"查無此員工"))</f>
        <v/>
      </c>
      <c r="C446" s="120">
        <f t="array" ref="C446:C446">IF(A446="","",IFERROR(INDEX('3.員工名單'!$C:$C,MATCH(A446,'3.員工名單'!$A:$A,0)),""))</f>
        <v/>
      </c>
      <c r="D446" s="120">
        <f t="array" ref="D446:D446">IF(A446="","",IFERROR(INDEX('3.員工名單'!$D:$D,MATCH(A446,'3.員工名單'!$A:$A,0)),""))</f>
        <v/>
      </c>
      <c r="E446" s="120">
        <f t="array" ref="E446:E446">IF(F446="","",IFERROR(INDEX('1.職能辭典'!$A:$A,MATCH(F446,'1.職能辭典'!$C:$C,0)),""))</f>
        <v/>
      </c>
      <c r="F446" s="94" t="n"/>
      <c r="G446" s="120">
        <f t="array" ref="G446:G446">IF(OR(D446="",F446=""),"",IFERROR(IF(AND(OR(INDEX('1.職能辭典'!$J:$J,MATCH(F446,'1.職能辭典'!$C:$C,0))="全部",INDEX('3.員工名單'!$H:$H,MATCH(A446,'3.員工名單'!$A:$A,0))="兩款共用",INDEX('3.員工名單'!$H:$H,MATCH(A446,'3.員工名單'!$A:$A,0))=INDEX('1.職能辭典'!$J:$J,MATCH(F446,'1.職能辭典'!$C:$C,0))),OR(INDEX('1.職能辭典'!$K:$K,MATCH(F446,'1.職能辭典'!$C:$C,0))="全部",SUMPRODUCT(ISNUMBER(SEARCH({"經營","管理","財務","企劃","營運","技術","數據","美術","測試","客服"},INDEX('3.員工名單'!$I:$I,MATCH(A446,'3.員工名單'!$A:$A,0))))*ISNUMBER(SEARCH({"經營","管理","財務","企劃","營運","技術","數據","美術","測試","客服"},INDEX('1.職能辭典'!$K:$K,MATCH(F446,'1.職能辭典'!$C:$C,0)))))&gt;0)),INDEX('2.職務職能需求'!$B$2:$F$28,MATCH(F446,'2.職務職能需求'!$A$2:$A$28,0),MATCH(D446,'2.職務職能需求'!$B$1:$F$1,0)),0),""))</f>
        <v/>
      </c>
      <c r="H446" s="94" t="n"/>
      <c r="I446" s="94" t="n"/>
      <c r="J446" s="120">
        <f>IF(OR(G446="",I446="",G446=0),"",I446-G446)</f>
        <v/>
      </c>
      <c r="K446" s="120">
        <f>IF(G446="","",IF(G446=0,"不適用",IF(I446="","待評核",IF(I446&gt;=G446,IF(I446&gt;G446,"超越","達標"),"待發展"))))</f>
        <v/>
      </c>
      <c r="L446" s="91" t="n"/>
      <c r="M446" s="91" t="n"/>
      <c r="N446" s="88" t="n"/>
    </row>
    <row r="447" ht="15.75" customHeight="1" s="64">
      <c r="A447" s="88" t="n"/>
      <c r="B447" s="120">
        <f t="array" ref="B447:B447">IF(A447="","",IFERROR(INDEX('3.員工名單'!$B:$B,MATCH(A447,'3.員工名單'!$A:$A,0)),"查無此員工"))</f>
        <v/>
      </c>
      <c r="C447" s="120">
        <f t="array" ref="C447:C447">IF(A447="","",IFERROR(INDEX('3.員工名單'!$C:$C,MATCH(A447,'3.員工名單'!$A:$A,0)),""))</f>
        <v/>
      </c>
      <c r="D447" s="120">
        <f t="array" ref="D447:D447">IF(A447="","",IFERROR(INDEX('3.員工名單'!$D:$D,MATCH(A447,'3.員工名單'!$A:$A,0)),""))</f>
        <v/>
      </c>
      <c r="E447" s="120">
        <f t="array" ref="E447:E447">IF(F447="","",IFERROR(INDEX('1.職能辭典'!$A:$A,MATCH(F447,'1.職能辭典'!$C:$C,0)),""))</f>
        <v/>
      </c>
      <c r="F447" s="94" t="n"/>
      <c r="G447" s="120">
        <f t="array" ref="G447:G447">IF(OR(D447="",F447=""),"",IFERROR(IF(AND(OR(INDEX('1.職能辭典'!$J:$J,MATCH(F447,'1.職能辭典'!$C:$C,0))="全部",INDEX('3.員工名單'!$H:$H,MATCH(A447,'3.員工名單'!$A:$A,0))="兩款共用",INDEX('3.員工名單'!$H:$H,MATCH(A447,'3.員工名單'!$A:$A,0))=INDEX('1.職能辭典'!$J:$J,MATCH(F447,'1.職能辭典'!$C:$C,0))),OR(INDEX('1.職能辭典'!$K:$K,MATCH(F447,'1.職能辭典'!$C:$C,0))="全部",SUMPRODUCT(ISNUMBER(SEARCH({"經營","管理","財務","企劃","營運","技術","數據","美術","測試","客服"},INDEX('3.員工名單'!$I:$I,MATCH(A447,'3.員工名單'!$A:$A,0))))*ISNUMBER(SEARCH({"經營","管理","財務","企劃","營運","技術","數據","美術","測試","客服"},INDEX('1.職能辭典'!$K:$K,MATCH(F447,'1.職能辭典'!$C:$C,0)))))&gt;0)),INDEX('2.職務職能需求'!$B$2:$F$28,MATCH(F447,'2.職務職能需求'!$A$2:$A$28,0),MATCH(D447,'2.職務職能需求'!$B$1:$F$1,0)),0),""))</f>
        <v/>
      </c>
      <c r="H447" s="94" t="n"/>
      <c r="I447" s="94" t="n"/>
      <c r="J447" s="120">
        <f>IF(OR(G447="",I447="",G447=0),"",I447-G447)</f>
        <v/>
      </c>
      <c r="K447" s="120">
        <f>IF(G447="","",IF(G447=0,"不適用",IF(I447="","待評核",IF(I447&gt;=G447,IF(I447&gt;G447,"超越","達標"),"待發展"))))</f>
        <v/>
      </c>
      <c r="L447" s="91" t="n"/>
      <c r="M447" s="91" t="n"/>
      <c r="N447" s="88" t="n"/>
    </row>
    <row r="448" ht="15.75" customHeight="1" s="64">
      <c r="A448" s="88" t="n"/>
      <c r="B448" s="120">
        <f t="array" ref="B448:B448">IF(A448="","",IFERROR(INDEX('3.員工名單'!$B:$B,MATCH(A448,'3.員工名單'!$A:$A,0)),"查無此員工"))</f>
        <v/>
      </c>
      <c r="C448" s="120">
        <f t="array" ref="C448:C448">IF(A448="","",IFERROR(INDEX('3.員工名單'!$C:$C,MATCH(A448,'3.員工名單'!$A:$A,0)),""))</f>
        <v/>
      </c>
      <c r="D448" s="120">
        <f t="array" ref="D448:D448">IF(A448="","",IFERROR(INDEX('3.員工名單'!$D:$D,MATCH(A448,'3.員工名單'!$A:$A,0)),""))</f>
        <v/>
      </c>
      <c r="E448" s="120">
        <f t="array" ref="E448:E448">IF(F448="","",IFERROR(INDEX('1.職能辭典'!$A:$A,MATCH(F448,'1.職能辭典'!$C:$C,0)),""))</f>
        <v/>
      </c>
      <c r="F448" s="94" t="n"/>
      <c r="G448" s="120">
        <f t="array" ref="G448:G448">IF(OR(D448="",F448=""),"",IFERROR(IF(AND(OR(INDEX('1.職能辭典'!$J:$J,MATCH(F448,'1.職能辭典'!$C:$C,0))="全部",INDEX('3.員工名單'!$H:$H,MATCH(A448,'3.員工名單'!$A:$A,0))="兩款共用",INDEX('3.員工名單'!$H:$H,MATCH(A448,'3.員工名單'!$A:$A,0))=INDEX('1.職能辭典'!$J:$J,MATCH(F448,'1.職能辭典'!$C:$C,0))),OR(INDEX('1.職能辭典'!$K:$K,MATCH(F448,'1.職能辭典'!$C:$C,0))="全部",SUMPRODUCT(ISNUMBER(SEARCH({"經營","管理","財務","企劃","營運","技術","數據","美術","測試","客服"},INDEX('3.員工名單'!$I:$I,MATCH(A448,'3.員工名單'!$A:$A,0))))*ISNUMBER(SEARCH({"經營","管理","財務","企劃","營運","技術","數據","美術","測試","客服"},INDEX('1.職能辭典'!$K:$K,MATCH(F448,'1.職能辭典'!$C:$C,0)))))&gt;0)),INDEX('2.職務職能需求'!$B$2:$F$28,MATCH(F448,'2.職務職能需求'!$A$2:$A$28,0),MATCH(D448,'2.職務職能需求'!$B$1:$F$1,0)),0),""))</f>
        <v/>
      </c>
      <c r="H448" s="94" t="n"/>
      <c r="I448" s="94" t="n"/>
      <c r="J448" s="120">
        <f>IF(OR(G448="",I448="",G448=0),"",I448-G448)</f>
        <v/>
      </c>
      <c r="K448" s="120">
        <f>IF(G448="","",IF(G448=0,"不適用",IF(I448="","待評核",IF(I448&gt;=G448,IF(I448&gt;G448,"超越","達標"),"待發展"))))</f>
        <v/>
      </c>
      <c r="L448" s="91" t="n"/>
      <c r="M448" s="91" t="n"/>
      <c r="N448" s="88" t="n"/>
    </row>
    <row r="449" ht="15.75" customHeight="1" s="64">
      <c r="A449" s="88" t="n"/>
      <c r="B449" s="120">
        <f t="array" ref="B449:B449">IF(A449="","",IFERROR(INDEX('3.員工名單'!$B:$B,MATCH(A449,'3.員工名單'!$A:$A,0)),"查無此員工"))</f>
        <v/>
      </c>
      <c r="C449" s="120">
        <f t="array" ref="C449:C449">IF(A449="","",IFERROR(INDEX('3.員工名單'!$C:$C,MATCH(A449,'3.員工名單'!$A:$A,0)),""))</f>
        <v/>
      </c>
      <c r="D449" s="120">
        <f t="array" ref="D449:D449">IF(A449="","",IFERROR(INDEX('3.員工名單'!$D:$D,MATCH(A449,'3.員工名單'!$A:$A,0)),""))</f>
        <v/>
      </c>
      <c r="E449" s="120">
        <f t="array" ref="E449:E449">IF(F449="","",IFERROR(INDEX('1.職能辭典'!$A:$A,MATCH(F449,'1.職能辭典'!$C:$C,0)),""))</f>
        <v/>
      </c>
      <c r="F449" s="94" t="n"/>
      <c r="G449" s="120">
        <f t="array" ref="G449:G449">IF(OR(D449="",F449=""),"",IFERROR(IF(AND(OR(INDEX('1.職能辭典'!$J:$J,MATCH(F449,'1.職能辭典'!$C:$C,0))="全部",INDEX('3.員工名單'!$H:$H,MATCH(A449,'3.員工名單'!$A:$A,0))="兩款共用",INDEX('3.員工名單'!$H:$H,MATCH(A449,'3.員工名單'!$A:$A,0))=INDEX('1.職能辭典'!$J:$J,MATCH(F449,'1.職能辭典'!$C:$C,0))),OR(INDEX('1.職能辭典'!$K:$K,MATCH(F449,'1.職能辭典'!$C:$C,0))="全部",SUMPRODUCT(ISNUMBER(SEARCH({"經營","管理","財務","企劃","營運","技術","數據","美術","測試","客服"},INDEX('3.員工名單'!$I:$I,MATCH(A449,'3.員工名單'!$A:$A,0))))*ISNUMBER(SEARCH({"經營","管理","財務","企劃","營運","技術","數據","美術","測試","客服"},INDEX('1.職能辭典'!$K:$K,MATCH(F449,'1.職能辭典'!$C:$C,0)))))&gt;0)),INDEX('2.職務職能需求'!$B$2:$F$28,MATCH(F449,'2.職務職能需求'!$A$2:$A$28,0),MATCH(D449,'2.職務職能需求'!$B$1:$F$1,0)),0),""))</f>
        <v/>
      </c>
      <c r="H449" s="94" t="n"/>
      <c r="I449" s="94" t="n"/>
      <c r="J449" s="120">
        <f>IF(OR(G449="",I449="",G449=0),"",I449-G449)</f>
        <v/>
      </c>
      <c r="K449" s="120">
        <f>IF(G449="","",IF(G449=0,"不適用",IF(I449="","待評核",IF(I449&gt;=G449,IF(I449&gt;G449,"超越","達標"),"待發展"))))</f>
        <v/>
      </c>
      <c r="L449" s="91" t="n"/>
      <c r="M449" s="91" t="n"/>
      <c r="N449" s="88" t="n"/>
    </row>
    <row r="450" ht="15.75" customHeight="1" s="64">
      <c r="A450" s="88" t="n"/>
      <c r="B450" s="120">
        <f t="array" ref="B450:B450">IF(A450="","",IFERROR(INDEX('3.員工名單'!$B:$B,MATCH(A450,'3.員工名單'!$A:$A,0)),"查無此員工"))</f>
        <v/>
      </c>
      <c r="C450" s="120">
        <f t="array" ref="C450:C450">IF(A450="","",IFERROR(INDEX('3.員工名單'!$C:$C,MATCH(A450,'3.員工名單'!$A:$A,0)),""))</f>
        <v/>
      </c>
      <c r="D450" s="120">
        <f t="array" ref="D450:D450">IF(A450="","",IFERROR(INDEX('3.員工名單'!$D:$D,MATCH(A450,'3.員工名單'!$A:$A,0)),""))</f>
        <v/>
      </c>
      <c r="E450" s="120">
        <f t="array" ref="E450:E450">IF(F450="","",IFERROR(INDEX('1.職能辭典'!$A:$A,MATCH(F450,'1.職能辭典'!$C:$C,0)),""))</f>
        <v/>
      </c>
      <c r="F450" s="94" t="n"/>
      <c r="G450" s="120">
        <f t="array" ref="G450:G450">IF(OR(D450="",F450=""),"",IFERROR(IF(AND(OR(INDEX('1.職能辭典'!$J:$J,MATCH(F450,'1.職能辭典'!$C:$C,0))="全部",INDEX('3.員工名單'!$H:$H,MATCH(A450,'3.員工名單'!$A:$A,0))="兩款共用",INDEX('3.員工名單'!$H:$H,MATCH(A450,'3.員工名單'!$A:$A,0))=INDEX('1.職能辭典'!$J:$J,MATCH(F450,'1.職能辭典'!$C:$C,0))),OR(INDEX('1.職能辭典'!$K:$K,MATCH(F450,'1.職能辭典'!$C:$C,0))="全部",SUMPRODUCT(ISNUMBER(SEARCH({"經營","管理","財務","企劃","營運","技術","數據","美術","測試","客服"},INDEX('3.員工名單'!$I:$I,MATCH(A450,'3.員工名單'!$A:$A,0))))*ISNUMBER(SEARCH({"經營","管理","財務","企劃","營運","技術","數據","美術","測試","客服"},INDEX('1.職能辭典'!$K:$K,MATCH(F450,'1.職能辭典'!$C:$C,0)))))&gt;0)),INDEX('2.職務職能需求'!$B$2:$F$28,MATCH(F450,'2.職務職能需求'!$A$2:$A$28,0),MATCH(D450,'2.職務職能需求'!$B$1:$F$1,0)),0),""))</f>
        <v/>
      </c>
      <c r="H450" s="94" t="n"/>
      <c r="I450" s="94" t="n"/>
      <c r="J450" s="120">
        <f>IF(OR(G450="",I450="",G450=0),"",I450-G450)</f>
        <v/>
      </c>
      <c r="K450" s="120">
        <f>IF(G450="","",IF(G450=0,"不適用",IF(I450="","待評核",IF(I450&gt;=G450,IF(I450&gt;G450,"超越","達標"),"待發展"))))</f>
        <v/>
      </c>
      <c r="L450" s="91" t="n"/>
      <c r="M450" s="91" t="n"/>
      <c r="N450" s="88" t="n"/>
    </row>
    <row r="451" ht="15.75" customHeight="1" s="64">
      <c r="A451" s="88" t="n"/>
      <c r="B451" s="120">
        <f t="array" ref="B451:B451">IF(A451="","",IFERROR(INDEX('3.員工名單'!$B:$B,MATCH(A451,'3.員工名單'!$A:$A,0)),"查無此員工"))</f>
        <v/>
      </c>
      <c r="C451" s="120">
        <f t="array" ref="C451:C451">IF(A451="","",IFERROR(INDEX('3.員工名單'!$C:$C,MATCH(A451,'3.員工名單'!$A:$A,0)),""))</f>
        <v/>
      </c>
      <c r="D451" s="120">
        <f t="array" ref="D451:D451">IF(A451="","",IFERROR(INDEX('3.員工名單'!$D:$D,MATCH(A451,'3.員工名單'!$A:$A,0)),""))</f>
        <v/>
      </c>
      <c r="E451" s="120">
        <f t="array" ref="E451:E451">IF(F451="","",IFERROR(INDEX('1.職能辭典'!$A:$A,MATCH(F451,'1.職能辭典'!$C:$C,0)),""))</f>
        <v/>
      </c>
      <c r="F451" s="94" t="n"/>
      <c r="G451" s="120">
        <f t="array" ref="G451:G451">IF(OR(D451="",F451=""),"",IFERROR(IF(AND(OR(INDEX('1.職能辭典'!$J:$J,MATCH(F451,'1.職能辭典'!$C:$C,0))="全部",INDEX('3.員工名單'!$H:$H,MATCH(A451,'3.員工名單'!$A:$A,0))="兩款共用",INDEX('3.員工名單'!$H:$H,MATCH(A451,'3.員工名單'!$A:$A,0))=INDEX('1.職能辭典'!$J:$J,MATCH(F451,'1.職能辭典'!$C:$C,0))),OR(INDEX('1.職能辭典'!$K:$K,MATCH(F451,'1.職能辭典'!$C:$C,0))="全部",SUMPRODUCT(ISNUMBER(SEARCH({"經營","管理","財務","企劃","營運","技術","數據","美術","測試","客服"},INDEX('3.員工名單'!$I:$I,MATCH(A451,'3.員工名單'!$A:$A,0))))*ISNUMBER(SEARCH({"經營","管理","財務","企劃","營運","技術","數據","美術","測試","客服"},INDEX('1.職能辭典'!$K:$K,MATCH(F451,'1.職能辭典'!$C:$C,0)))))&gt;0)),INDEX('2.職務職能需求'!$B$2:$F$28,MATCH(F451,'2.職務職能需求'!$A$2:$A$28,0),MATCH(D451,'2.職務職能需求'!$B$1:$F$1,0)),0),""))</f>
        <v/>
      </c>
      <c r="H451" s="94" t="n"/>
      <c r="I451" s="94" t="n"/>
      <c r="J451" s="120">
        <f>IF(OR(G451="",I451="",G451=0),"",I451-G451)</f>
        <v/>
      </c>
      <c r="K451" s="120">
        <f>IF(G451="","",IF(G451=0,"不適用",IF(I451="","待評核",IF(I451&gt;=G451,IF(I451&gt;G451,"超越","達標"),"待發展"))))</f>
        <v/>
      </c>
      <c r="L451" s="91" t="n"/>
      <c r="M451" s="91" t="n"/>
      <c r="N451" s="88" t="n"/>
    </row>
    <row r="452" ht="15.75" customHeight="1" s="64">
      <c r="A452" s="88" t="n"/>
      <c r="B452" s="120">
        <f t="array" ref="B452:B452">IF(A452="","",IFERROR(INDEX('3.員工名單'!$B:$B,MATCH(A452,'3.員工名單'!$A:$A,0)),"查無此員工"))</f>
        <v/>
      </c>
      <c r="C452" s="120">
        <f t="array" ref="C452:C452">IF(A452="","",IFERROR(INDEX('3.員工名單'!$C:$C,MATCH(A452,'3.員工名單'!$A:$A,0)),""))</f>
        <v/>
      </c>
      <c r="D452" s="120">
        <f t="array" ref="D452:D452">IF(A452="","",IFERROR(INDEX('3.員工名單'!$D:$D,MATCH(A452,'3.員工名單'!$A:$A,0)),""))</f>
        <v/>
      </c>
      <c r="E452" s="120">
        <f t="array" ref="E452:E452">IF(F452="","",IFERROR(INDEX('1.職能辭典'!$A:$A,MATCH(F452,'1.職能辭典'!$C:$C,0)),""))</f>
        <v/>
      </c>
      <c r="F452" s="94" t="n"/>
      <c r="G452" s="120">
        <f t="array" ref="G452:G452">IF(OR(D452="",F452=""),"",IFERROR(IF(AND(OR(INDEX('1.職能辭典'!$J:$J,MATCH(F452,'1.職能辭典'!$C:$C,0))="全部",INDEX('3.員工名單'!$H:$H,MATCH(A452,'3.員工名單'!$A:$A,0))="兩款共用",INDEX('3.員工名單'!$H:$H,MATCH(A452,'3.員工名單'!$A:$A,0))=INDEX('1.職能辭典'!$J:$J,MATCH(F452,'1.職能辭典'!$C:$C,0))),OR(INDEX('1.職能辭典'!$K:$K,MATCH(F452,'1.職能辭典'!$C:$C,0))="全部",SUMPRODUCT(ISNUMBER(SEARCH({"經營","管理","財務","企劃","營運","技術","數據","美術","測試","客服"},INDEX('3.員工名單'!$I:$I,MATCH(A452,'3.員工名單'!$A:$A,0))))*ISNUMBER(SEARCH({"經營","管理","財務","企劃","營運","技術","數據","美術","測試","客服"},INDEX('1.職能辭典'!$K:$K,MATCH(F452,'1.職能辭典'!$C:$C,0)))))&gt;0)),INDEX('2.職務職能需求'!$B$2:$F$28,MATCH(F452,'2.職務職能需求'!$A$2:$A$28,0),MATCH(D452,'2.職務職能需求'!$B$1:$F$1,0)),0),""))</f>
        <v/>
      </c>
      <c r="H452" s="94" t="n"/>
      <c r="I452" s="94" t="n"/>
      <c r="J452" s="120">
        <f>IF(OR(G452="",I452="",G452=0),"",I452-G452)</f>
        <v/>
      </c>
      <c r="K452" s="120">
        <f>IF(G452="","",IF(G452=0,"不適用",IF(I452="","待評核",IF(I452&gt;=G452,IF(I452&gt;G452,"超越","達標"),"待發展"))))</f>
        <v/>
      </c>
      <c r="L452" s="91" t="n"/>
      <c r="M452" s="91" t="n"/>
      <c r="N452" s="88" t="n"/>
    </row>
    <row r="453" ht="15.75" customHeight="1" s="64">
      <c r="A453" s="88" t="n"/>
      <c r="B453" s="120">
        <f t="array" ref="B453:B453">IF(A453="","",IFERROR(INDEX('3.員工名單'!$B:$B,MATCH(A453,'3.員工名單'!$A:$A,0)),"查無此員工"))</f>
        <v/>
      </c>
      <c r="C453" s="120">
        <f t="array" ref="C453:C453">IF(A453="","",IFERROR(INDEX('3.員工名單'!$C:$C,MATCH(A453,'3.員工名單'!$A:$A,0)),""))</f>
        <v/>
      </c>
      <c r="D453" s="120">
        <f t="array" ref="D453:D453">IF(A453="","",IFERROR(INDEX('3.員工名單'!$D:$D,MATCH(A453,'3.員工名單'!$A:$A,0)),""))</f>
        <v/>
      </c>
      <c r="E453" s="120">
        <f t="array" ref="E453:E453">IF(F453="","",IFERROR(INDEX('1.職能辭典'!$A:$A,MATCH(F453,'1.職能辭典'!$C:$C,0)),""))</f>
        <v/>
      </c>
      <c r="F453" s="94" t="n"/>
      <c r="G453" s="120">
        <f t="array" ref="G453:G453">IF(OR(D453="",F453=""),"",IFERROR(IF(AND(OR(INDEX('1.職能辭典'!$J:$J,MATCH(F453,'1.職能辭典'!$C:$C,0))="全部",INDEX('3.員工名單'!$H:$H,MATCH(A453,'3.員工名單'!$A:$A,0))="兩款共用",INDEX('3.員工名單'!$H:$H,MATCH(A453,'3.員工名單'!$A:$A,0))=INDEX('1.職能辭典'!$J:$J,MATCH(F453,'1.職能辭典'!$C:$C,0))),OR(INDEX('1.職能辭典'!$K:$K,MATCH(F453,'1.職能辭典'!$C:$C,0))="全部",SUMPRODUCT(ISNUMBER(SEARCH({"經營","管理","財務","企劃","營運","技術","數據","美術","測試","客服"},INDEX('3.員工名單'!$I:$I,MATCH(A453,'3.員工名單'!$A:$A,0))))*ISNUMBER(SEARCH({"經營","管理","財務","企劃","營運","技術","數據","美術","測試","客服"},INDEX('1.職能辭典'!$K:$K,MATCH(F453,'1.職能辭典'!$C:$C,0)))))&gt;0)),INDEX('2.職務職能需求'!$B$2:$F$28,MATCH(F453,'2.職務職能需求'!$A$2:$A$28,0),MATCH(D453,'2.職務職能需求'!$B$1:$F$1,0)),0),""))</f>
        <v/>
      </c>
      <c r="H453" s="94" t="n"/>
      <c r="I453" s="94" t="n"/>
      <c r="J453" s="120">
        <f>IF(OR(G453="",I453="",G453=0),"",I453-G453)</f>
        <v/>
      </c>
      <c r="K453" s="120">
        <f>IF(G453="","",IF(G453=0,"不適用",IF(I453="","待評核",IF(I453&gt;=G453,IF(I453&gt;G453,"超越","達標"),"待發展"))))</f>
        <v/>
      </c>
      <c r="L453" s="91" t="n"/>
      <c r="M453" s="91" t="n"/>
      <c r="N453" s="88" t="n"/>
    </row>
    <row r="454" ht="15.75" customHeight="1" s="64">
      <c r="A454" s="88" t="n"/>
      <c r="B454" s="120">
        <f t="array" ref="B454:B454">IF(A454="","",IFERROR(INDEX('3.員工名單'!$B:$B,MATCH(A454,'3.員工名單'!$A:$A,0)),"查無此員工"))</f>
        <v/>
      </c>
      <c r="C454" s="120">
        <f t="array" ref="C454:C454">IF(A454="","",IFERROR(INDEX('3.員工名單'!$C:$C,MATCH(A454,'3.員工名單'!$A:$A,0)),""))</f>
        <v/>
      </c>
      <c r="D454" s="120">
        <f t="array" ref="D454:D454">IF(A454="","",IFERROR(INDEX('3.員工名單'!$D:$D,MATCH(A454,'3.員工名單'!$A:$A,0)),""))</f>
        <v/>
      </c>
      <c r="E454" s="120">
        <f t="array" ref="E454:E454">IF(F454="","",IFERROR(INDEX('1.職能辭典'!$A:$A,MATCH(F454,'1.職能辭典'!$C:$C,0)),""))</f>
        <v/>
      </c>
      <c r="F454" s="94" t="n"/>
      <c r="G454" s="120">
        <f t="array" ref="G454:G454">IF(OR(D454="",F454=""),"",IFERROR(IF(AND(OR(INDEX('1.職能辭典'!$J:$J,MATCH(F454,'1.職能辭典'!$C:$C,0))="全部",INDEX('3.員工名單'!$H:$H,MATCH(A454,'3.員工名單'!$A:$A,0))="兩款共用",INDEX('3.員工名單'!$H:$H,MATCH(A454,'3.員工名單'!$A:$A,0))=INDEX('1.職能辭典'!$J:$J,MATCH(F454,'1.職能辭典'!$C:$C,0))),OR(INDEX('1.職能辭典'!$K:$K,MATCH(F454,'1.職能辭典'!$C:$C,0))="全部",SUMPRODUCT(ISNUMBER(SEARCH({"經營","管理","財務","企劃","營運","技術","數據","美術","測試","客服"},INDEX('3.員工名單'!$I:$I,MATCH(A454,'3.員工名單'!$A:$A,0))))*ISNUMBER(SEARCH({"經營","管理","財務","企劃","營運","技術","數據","美術","測試","客服"},INDEX('1.職能辭典'!$K:$K,MATCH(F454,'1.職能辭典'!$C:$C,0)))))&gt;0)),INDEX('2.職務職能需求'!$B$2:$F$28,MATCH(F454,'2.職務職能需求'!$A$2:$A$28,0),MATCH(D454,'2.職務職能需求'!$B$1:$F$1,0)),0),""))</f>
        <v/>
      </c>
      <c r="H454" s="94" t="n"/>
      <c r="I454" s="94" t="n"/>
      <c r="J454" s="120">
        <f>IF(OR(G454="",I454="",G454=0),"",I454-G454)</f>
        <v/>
      </c>
      <c r="K454" s="120">
        <f>IF(G454="","",IF(G454=0,"不適用",IF(I454="","待評核",IF(I454&gt;=G454,IF(I454&gt;G454,"超越","達標"),"待發展"))))</f>
        <v/>
      </c>
      <c r="L454" s="91" t="n"/>
      <c r="M454" s="91" t="n"/>
      <c r="N454" s="88" t="n"/>
    </row>
    <row r="455" ht="15.75" customHeight="1" s="64">
      <c r="A455" s="88" t="n"/>
      <c r="B455" s="120">
        <f t="array" ref="B455:B455">IF(A455="","",IFERROR(INDEX('3.員工名單'!$B:$B,MATCH(A455,'3.員工名單'!$A:$A,0)),"查無此員工"))</f>
        <v/>
      </c>
      <c r="C455" s="120">
        <f t="array" ref="C455:C455">IF(A455="","",IFERROR(INDEX('3.員工名單'!$C:$C,MATCH(A455,'3.員工名單'!$A:$A,0)),""))</f>
        <v/>
      </c>
      <c r="D455" s="120">
        <f t="array" ref="D455:D455">IF(A455="","",IFERROR(INDEX('3.員工名單'!$D:$D,MATCH(A455,'3.員工名單'!$A:$A,0)),""))</f>
        <v/>
      </c>
      <c r="E455" s="120">
        <f t="array" ref="E455:E455">IF(F455="","",IFERROR(INDEX('1.職能辭典'!$A:$A,MATCH(F455,'1.職能辭典'!$C:$C,0)),""))</f>
        <v/>
      </c>
      <c r="F455" s="94" t="n"/>
      <c r="G455" s="120">
        <f t="array" ref="G455:G455">IF(OR(D455="",F455=""),"",IFERROR(IF(AND(OR(INDEX('1.職能辭典'!$J:$J,MATCH(F455,'1.職能辭典'!$C:$C,0))="全部",INDEX('3.員工名單'!$H:$H,MATCH(A455,'3.員工名單'!$A:$A,0))="兩款共用",INDEX('3.員工名單'!$H:$H,MATCH(A455,'3.員工名單'!$A:$A,0))=INDEX('1.職能辭典'!$J:$J,MATCH(F455,'1.職能辭典'!$C:$C,0))),OR(INDEX('1.職能辭典'!$K:$K,MATCH(F455,'1.職能辭典'!$C:$C,0))="全部",SUMPRODUCT(ISNUMBER(SEARCH({"經營","管理","財務","企劃","營運","技術","數據","美術","測試","客服"},INDEX('3.員工名單'!$I:$I,MATCH(A455,'3.員工名單'!$A:$A,0))))*ISNUMBER(SEARCH({"經營","管理","財務","企劃","營運","技術","數據","美術","測試","客服"},INDEX('1.職能辭典'!$K:$K,MATCH(F455,'1.職能辭典'!$C:$C,0)))))&gt;0)),INDEX('2.職務職能需求'!$B$2:$F$28,MATCH(F455,'2.職務職能需求'!$A$2:$A$28,0),MATCH(D455,'2.職務職能需求'!$B$1:$F$1,0)),0),""))</f>
        <v/>
      </c>
      <c r="H455" s="94" t="n"/>
      <c r="I455" s="94" t="n"/>
      <c r="J455" s="120">
        <f>IF(OR(G455="",I455="",G455=0),"",I455-G455)</f>
        <v/>
      </c>
      <c r="K455" s="120">
        <f>IF(G455="","",IF(G455=0,"不適用",IF(I455="","待評核",IF(I455&gt;=G455,IF(I455&gt;G455,"超越","達標"),"待發展"))))</f>
        <v/>
      </c>
      <c r="L455" s="91" t="n"/>
      <c r="M455" s="91" t="n"/>
      <c r="N455" s="88" t="n"/>
    </row>
    <row r="456" ht="15.75" customHeight="1" s="64">
      <c r="A456" s="88" t="n"/>
      <c r="B456" s="120">
        <f t="array" ref="B456:B456">IF(A456="","",IFERROR(INDEX('3.員工名單'!$B:$B,MATCH(A456,'3.員工名單'!$A:$A,0)),"查無此員工"))</f>
        <v/>
      </c>
      <c r="C456" s="120">
        <f t="array" ref="C456:C456">IF(A456="","",IFERROR(INDEX('3.員工名單'!$C:$C,MATCH(A456,'3.員工名單'!$A:$A,0)),""))</f>
        <v/>
      </c>
      <c r="D456" s="120">
        <f t="array" ref="D456:D456">IF(A456="","",IFERROR(INDEX('3.員工名單'!$D:$D,MATCH(A456,'3.員工名單'!$A:$A,0)),""))</f>
        <v/>
      </c>
      <c r="E456" s="120">
        <f t="array" ref="E456:E456">IF(F456="","",IFERROR(INDEX('1.職能辭典'!$A:$A,MATCH(F456,'1.職能辭典'!$C:$C,0)),""))</f>
        <v/>
      </c>
      <c r="F456" s="94" t="n"/>
      <c r="G456" s="120">
        <f t="array" ref="G456:G456">IF(OR(D456="",F456=""),"",IFERROR(IF(AND(OR(INDEX('1.職能辭典'!$J:$J,MATCH(F456,'1.職能辭典'!$C:$C,0))="全部",INDEX('3.員工名單'!$H:$H,MATCH(A456,'3.員工名單'!$A:$A,0))="兩款共用",INDEX('3.員工名單'!$H:$H,MATCH(A456,'3.員工名單'!$A:$A,0))=INDEX('1.職能辭典'!$J:$J,MATCH(F456,'1.職能辭典'!$C:$C,0))),OR(INDEX('1.職能辭典'!$K:$K,MATCH(F456,'1.職能辭典'!$C:$C,0))="全部",SUMPRODUCT(ISNUMBER(SEARCH({"經營","管理","財務","企劃","營運","技術","數據","美術","測試","客服"},INDEX('3.員工名單'!$I:$I,MATCH(A456,'3.員工名單'!$A:$A,0))))*ISNUMBER(SEARCH({"經營","管理","財務","企劃","營運","技術","數據","美術","測試","客服"},INDEX('1.職能辭典'!$K:$K,MATCH(F456,'1.職能辭典'!$C:$C,0)))))&gt;0)),INDEX('2.職務職能需求'!$B$2:$F$28,MATCH(F456,'2.職務職能需求'!$A$2:$A$28,0),MATCH(D456,'2.職務職能需求'!$B$1:$F$1,0)),0),""))</f>
        <v/>
      </c>
      <c r="H456" s="94" t="n"/>
      <c r="I456" s="94" t="n"/>
      <c r="J456" s="120">
        <f>IF(OR(G456="",I456="",G456=0),"",I456-G456)</f>
        <v/>
      </c>
      <c r="K456" s="120">
        <f>IF(G456="","",IF(G456=0,"不適用",IF(I456="","待評核",IF(I456&gt;=G456,IF(I456&gt;G456,"超越","達標"),"待發展"))))</f>
        <v/>
      </c>
      <c r="L456" s="91" t="n"/>
      <c r="M456" s="91" t="n"/>
      <c r="N456" s="88" t="n"/>
    </row>
    <row r="457" ht="15.75" customHeight="1" s="64">
      <c r="A457" s="88" t="n"/>
      <c r="B457" s="120">
        <f t="array" ref="B457:B457">IF(A457="","",IFERROR(INDEX('3.員工名單'!$B:$B,MATCH(A457,'3.員工名單'!$A:$A,0)),"查無此員工"))</f>
        <v/>
      </c>
      <c r="C457" s="120">
        <f t="array" ref="C457:C457">IF(A457="","",IFERROR(INDEX('3.員工名單'!$C:$C,MATCH(A457,'3.員工名單'!$A:$A,0)),""))</f>
        <v/>
      </c>
      <c r="D457" s="120">
        <f t="array" ref="D457:D457">IF(A457="","",IFERROR(INDEX('3.員工名單'!$D:$D,MATCH(A457,'3.員工名單'!$A:$A,0)),""))</f>
        <v/>
      </c>
      <c r="E457" s="120">
        <f t="array" ref="E457:E457">IF(F457="","",IFERROR(INDEX('1.職能辭典'!$A:$A,MATCH(F457,'1.職能辭典'!$C:$C,0)),""))</f>
        <v/>
      </c>
      <c r="F457" s="94" t="n"/>
      <c r="G457" s="120">
        <f t="array" ref="G457:G457">IF(OR(D457="",F457=""),"",IFERROR(IF(AND(OR(INDEX('1.職能辭典'!$J:$J,MATCH(F457,'1.職能辭典'!$C:$C,0))="全部",INDEX('3.員工名單'!$H:$H,MATCH(A457,'3.員工名單'!$A:$A,0))="兩款共用",INDEX('3.員工名單'!$H:$H,MATCH(A457,'3.員工名單'!$A:$A,0))=INDEX('1.職能辭典'!$J:$J,MATCH(F457,'1.職能辭典'!$C:$C,0))),OR(INDEX('1.職能辭典'!$K:$K,MATCH(F457,'1.職能辭典'!$C:$C,0))="全部",SUMPRODUCT(ISNUMBER(SEARCH({"經營","管理","財務","企劃","營運","技術","數據","美術","測試","客服"},INDEX('3.員工名單'!$I:$I,MATCH(A457,'3.員工名單'!$A:$A,0))))*ISNUMBER(SEARCH({"經營","管理","財務","企劃","營運","技術","數據","美術","測試","客服"},INDEX('1.職能辭典'!$K:$K,MATCH(F457,'1.職能辭典'!$C:$C,0)))))&gt;0)),INDEX('2.職務職能需求'!$B$2:$F$28,MATCH(F457,'2.職務職能需求'!$A$2:$A$28,0),MATCH(D457,'2.職務職能需求'!$B$1:$F$1,0)),0),""))</f>
        <v/>
      </c>
      <c r="H457" s="94" t="n"/>
      <c r="I457" s="94" t="n"/>
      <c r="J457" s="120">
        <f>IF(OR(G457="",I457="",G457=0),"",I457-G457)</f>
        <v/>
      </c>
      <c r="K457" s="120">
        <f>IF(G457="","",IF(G457=0,"不適用",IF(I457="","待評核",IF(I457&gt;=G457,IF(I457&gt;G457,"超越","達標"),"待發展"))))</f>
        <v/>
      </c>
      <c r="L457" s="91" t="n"/>
      <c r="M457" s="91" t="n"/>
      <c r="N457" s="88" t="n"/>
    </row>
    <row r="458" ht="15.75" customHeight="1" s="64">
      <c r="A458" s="88" t="n"/>
      <c r="B458" s="120">
        <f t="array" ref="B458:B458">IF(A458="","",IFERROR(INDEX('3.員工名單'!$B:$B,MATCH(A458,'3.員工名單'!$A:$A,0)),"查無此員工"))</f>
        <v/>
      </c>
      <c r="C458" s="120">
        <f t="array" ref="C458:C458">IF(A458="","",IFERROR(INDEX('3.員工名單'!$C:$C,MATCH(A458,'3.員工名單'!$A:$A,0)),""))</f>
        <v/>
      </c>
      <c r="D458" s="120">
        <f t="array" ref="D458:D458">IF(A458="","",IFERROR(INDEX('3.員工名單'!$D:$D,MATCH(A458,'3.員工名單'!$A:$A,0)),""))</f>
        <v/>
      </c>
      <c r="E458" s="120">
        <f t="array" ref="E458:E458">IF(F458="","",IFERROR(INDEX('1.職能辭典'!$A:$A,MATCH(F458,'1.職能辭典'!$C:$C,0)),""))</f>
        <v/>
      </c>
      <c r="F458" s="94" t="n"/>
      <c r="G458" s="120">
        <f t="array" ref="G458:G458">IF(OR(D458="",F458=""),"",IFERROR(IF(AND(OR(INDEX('1.職能辭典'!$J:$J,MATCH(F458,'1.職能辭典'!$C:$C,0))="全部",INDEX('3.員工名單'!$H:$H,MATCH(A458,'3.員工名單'!$A:$A,0))="兩款共用",INDEX('3.員工名單'!$H:$H,MATCH(A458,'3.員工名單'!$A:$A,0))=INDEX('1.職能辭典'!$J:$J,MATCH(F458,'1.職能辭典'!$C:$C,0))),OR(INDEX('1.職能辭典'!$K:$K,MATCH(F458,'1.職能辭典'!$C:$C,0))="全部",SUMPRODUCT(ISNUMBER(SEARCH({"經營","管理","財務","企劃","營運","技術","數據","美術","測試","客服"},INDEX('3.員工名單'!$I:$I,MATCH(A458,'3.員工名單'!$A:$A,0))))*ISNUMBER(SEARCH({"經營","管理","財務","企劃","營運","技術","數據","美術","測試","客服"},INDEX('1.職能辭典'!$K:$K,MATCH(F458,'1.職能辭典'!$C:$C,0)))))&gt;0)),INDEX('2.職務職能需求'!$B$2:$F$28,MATCH(F458,'2.職務職能需求'!$A$2:$A$28,0),MATCH(D458,'2.職務職能需求'!$B$1:$F$1,0)),0),""))</f>
        <v/>
      </c>
      <c r="H458" s="94" t="n"/>
      <c r="I458" s="94" t="n"/>
      <c r="J458" s="120">
        <f>IF(OR(G458="",I458="",G458=0),"",I458-G458)</f>
        <v/>
      </c>
      <c r="K458" s="120">
        <f>IF(G458="","",IF(G458=0,"不適用",IF(I458="","待評核",IF(I458&gt;=G458,IF(I458&gt;G458,"超越","達標"),"待發展"))))</f>
        <v/>
      </c>
      <c r="L458" s="91" t="n"/>
      <c r="M458" s="91" t="n"/>
      <c r="N458" s="88" t="n"/>
    </row>
    <row r="459" ht="15.75" customHeight="1" s="64">
      <c r="A459" s="88" t="n"/>
      <c r="B459" s="120">
        <f t="array" ref="B459:B459">IF(A459="","",IFERROR(INDEX('3.員工名單'!$B:$B,MATCH(A459,'3.員工名單'!$A:$A,0)),"查無此員工"))</f>
        <v/>
      </c>
      <c r="C459" s="120">
        <f t="array" ref="C459:C459">IF(A459="","",IFERROR(INDEX('3.員工名單'!$C:$C,MATCH(A459,'3.員工名單'!$A:$A,0)),""))</f>
        <v/>
      </c>
      <c r="D459" s="120">
        <f t="array" ref="D459:D459">IF(A459="","",IFERROR(INDEX('3.員工名單'!$D:$D,MATCH(A459,'3.員工名單'!$A:$A,0)),""))</f>
        <v/>
      </c>
      <c r="E459" s="120">
        <f t="array" ref="E459:E459">IF(F459="","",IFERROR(INDEX('1.職能辭典'!$A:$A,MATCH(F459,'1.職能辭典'!$C:$C,0)),""))</f>
        <v/>
      </c>
      <c r="F459" s="94" t="n"/>
      <c r="G459" s="120">
        <f t="array" ref="G459:G459">IF(OR(D459="",F459=""),"",IFERROR(IF(AND(OR(INDEX('1.職能辭典'!$J:$J,MATCH(F459,'1.職能辭典'!$C:$C,0))="全部",INDEX('3.員工名單'!$H:$H,MATCH(A459,'3.員工名單'!$A:$A,0))="兩款共用",INDEX('3.員工名單'!$H:$H,MATCH(A459,'3.員工名單'!$A:$A,0))=INDEX('1.職能辭典'!$J:$J,MATCH(F459,'1.職能辭典'!$C:$C,0))),OR(INDEX('1.職能辭典'!$K:$K,MATCH(F459,'1.職能辭典'!$C:$C,0))="全部",SUMPRODUCT(ISNUMBER(SEARCH({"經營","管理","財務","企劃","營運","技術","數據","美術","測試","客服"},INDEX('3.員工名單'!$I:$I,MATCH(A459,'3.員工名單'!$A:$A,0))))*ISNUMBER(SEARCH({"經營","管理","財務","企劃","營運","技術","數據","美術","測試","客服"},INDEX('1.職能辭典'!$K:$K,MATCH(F459,'1.職能辭典'!$C:$C,0)))))&gt;0)),INDEX('2.職務職能需求'!$B$2:$F$28,MATCH(F459,'2.職務職能需求'!$A$2:$A$28,0),MATCH(D459,'2.職務職能需求'!$B$1:$F$1,0)),0),""))</f>
        <v/>
      </c>
      <c r="H459" s="94" t="n"/>
      <c r="I459" s="94" t="n"/>
      <c r="J459" s="120">
        <f>IF(OR(G459="",I459="",G459=0),"",I459-G459)</f>
        <v/>
      </c>
      <c r="K459" s="120">
        <f>IF(G459="","",IF(G459=0,"不適用",IF(I459="","待評核",IF(I459&gt;=G459,IF(I459&gt;G459,"超越","達標"),"待發展"))))</f>
        <v/>
      </c>
      <c r="L459" s="91" t="n"/>
      <c r="M459" s="91" t="n"/>
      <c r="N459" s="88" t="n"/>
    </row>
    <row r="460" ht="15.75" customHeight="1" s="64">
      <c r="A460" s="88" t="n"/>
      <c r="B460" s="120">
        <f t="array" ref="B460:B460">IF(A460="","",IFERROR(INDEX('3.員工名單'!$B:$B,MATCH(A460,'3.員工名單'!$A:$A,0)),"查無此員工"))</f>
        <v/>
      </c>
      <c r="C460" s="120">
        <f t="array" ref="C460:C460">IF(A460="","",IFERROR(INDEX('3.員工名單'!$C:$C,MATCH(A460,'3.員工名單'!$A:$A,0)),""))</f>
        <v/>
      </c>
      <c r="D460" s="120">
        <f t="array" ref="D460:D460">IF(A460="","",IFERROR(INDEX('3.員工名單'!$D:$D,MATCH(A460,'3.員工名單'!$A:$A,0)),""))</f>
        <v/>
      </c>
      <c r="E460" s="120">
        <f t="array" ref="E460:E460">IF(F460="","",IFERROR(INDEX('1.職能辭典'!$A:$A,MATCH(F460,'1.職能辭典'!$C:$C,0)),""))</f>
        <v/>
      </c>
      <c r="F460" s="94" t="n"/>
      <c r="G460" s="120">
        <f t="array" ref="G460:G460">IF(OR(D460="",F460=""),"",IFERROR(IF(AND(OR(INDEX('1.職能辭典'!$J:$J,MATCH(F460,'1.職能辭典'!$C:$C,0))="全部",INDEX('3.員工名單'!$H:$H,MATCH(A460,'3.員工名單'!$A:$A,0))="兩款共用",INDEX('3.員工名單'!$H:$H,MATCH(A460,'3.員工名單'!$A:$A,0))=INDEX('1.職能辭典'!$J:$J,MATCH(F460,'1.職能辭典'!$C:$C,0))),OR(INDEX('1.職能辭典'!$K:$K,MATCH(F460,'1.職能辭典'!$C:$C,0))="全部",SUMPRODUCT(ISNUMBER(SEARCH({"經營","管理","財務","企劃","營運","技術","數據","美術","測試","客服"},INDEX('3.員工名單'!$I:$I,MATCH(A460,'3.員工名單'!$A:$A,0))))*ISNUMBER(SEARCH({"經營","管理","財務","企劃","營運","技術","數據","美術","測試","客服"},INDEX('1.職能辭典'!$K:$K,MATCH(F460,'1.職能辭典'!$C:$C,0)))))&gt;0)),INDEX('2.職務職能需求'!$B$2:$F$28,MATCH(F460,'2.職務職能需求'!$A$2:$A$28,0),MATCH(D460,'2.職務職能需求'!$B$1:$F$1,0)),0),""))</f>
        <v/>
      </c>
      <c r="H460" s="94" t="n"/>
      <c r="I460" s="94" t="n"/>
      <c r="J460" s="120">
        <f>IF(OR(G460="",I460="",G460=0),"",I460-G460)</f>
        <v/>
      </c>
      <c r="K460" s="120">
        <f>IF(G460="","",IF(G460=0,"不適用",IF(I460="","待評核",IF(I460&gt;=G460,IF(I460&gt;G460,"超越","達標"),"待發展"))))</f>
        <v/>
      </c>
      <c r="L460" s="91" t="n"/>
      <c r="M460" s="91" t="n"/>
      <c r="N460" s="88" t="n"/>
    </row>
    <row r="461" ht="15.75" customHeight="1" s="64">
      <c r="A461" s="88" t="n"/>
      <c r="B461" s="120">
        <f t="array" ref="B461:B461">IF(A461="","",IFERROR(INDEX('3.員工名單'!$B:$B,MATCH(A461,'3.員工名單'!$A:$A,0)),"查無此員工"))</f>
        <v/>
      </c>
      <c r="C461" s="120">
        <f t="array" ref="C461:C461">IF(A461="","",IFERROR(INDEX('3.員工名單'!$C:$C,MATCH(A461,'3.員工名單'!$A:$A,0)),""))</f>
        <v/>
      </c>
      <c r="D461" s="120">
        <f t="array" ref="D461:D461">IF(A461="","",IFERROR(INDEX('3.員工名單'!$D:$D,MATCH(A461,'3.員工名單'!$A:$A,0)),""))</f>
        <v/>
      </c>
      <c r="E461" s="120">
        <f t="array" ref="E461:E461">IF(F461="","",IFERROR(INDEX('1.職能辭典'!$A:$A,MATCH(F461,'1.職能辭典'!$C:$C,0)),""))</f>
        <v/>
      </c>
      <c r="F461" s="94" t="n"/>
      <c r="G461" s="120">
        <f t="array" ref="G461:G461">IF(OR(D461="",F461=""),"",IFERROR(IF(AND(OR(INDEX('1.職能辭典'!$J:$J,MATCH(F461,'1.職能辭典'!$C:$C,0))="全部",INDEX('3.員工名單'!$H:$H,MATCH(A461,'3.員工名單'!$A:$A,0))="兩款共用",INDEX('3.員工名單'!$H:$H,MATCH(A461,'3.員工名單'!$A:$A,0))=INDEX('1.職能辭典'!$J:$J,MATCH(F461,'1.職能辭典'!$C:$C,0))),OR(INDEX('1.職能辭典'!$K:$K,MATCH(F461,'1.職能辭典'!$C:$C,0))="全部",SUMPRODUCT(ISNUMBER(SEARCH({"經營","管理","財務","企劃","營運","技術","數據","美術","測試","客服"},INDEX('3.員工名單'!$I:$I,MATCH(A461,'3.員工名單'!$A:$A,0))))*ISNUMBER(SEARCH({"經營","管理","財務","企劃","營運","技術","數據","美術","測試","客服"},INDEX('1.職能辭典'!$K:$K,MATCH(F461,'1.職能辭典'!$C:$C,0)))))&gt;0)),INDEX('2.職務職能需求'!$B$2:$F$28,MATCH(F461,'2.職務職能需求'!$A$2:$A$28,0),MATCH(D461,'2.職務職能需求'!$B$1:$F$1,0)),0),""))</f>
        <v/>
      </c>
      <c r="H461" s="94" t="n"/>
      <c r="I461" s="94" t="n"/>
      <c r="J461" s="120">
        <f>IF(OR(G461="",I461="",G461=0),"",I461-G461)</f>
        <v/>
      </c>
      <c r="K461" s="120">
        <f>IF(G461="","",IF(G461=0,"不適用",IF(I461="","待評核",IF(I461&gt;=G461,IF(I461&gt;G461,"超越","達標"),"待發展"))))</f>
        <v/>
      </c>
      <c r="L461" s="91" t="n"/>
      <c r="M461" s="91" t="n"/>
      <c r="N461" s="88" t="n"/>
    </row>
    <row r="462" ht="15.75" customHeight="1" s="64">
      <c r="A462" s="88" t="n"/>
      <c r="B462" s="120">
        <f t="array" ref="B462:B462">IF(A462="","",IFERROR(INDEX('3.員工名單'!$B:$B,MATCH(A462,'3.員工名單'!$A:$A,0)),"查無此員工"))</f>
        <v/>
      </c>
      <c r="C462" s="120">
        <f t="array" ref="C462:C462">IF(A462="","",IFERROR(INDEX('3.員工名單'!$C:$C,MATCH(A462,'3.員工名單'!$A:$A,0)),""))</f>
        <v/>
      </c>
      <c r="D462" s="120">
        <f t="array" ref="D462:D462">IF(A462="","",IFERROR(INDEX('3.員工名單'!$D:$D,MATCH(A462,'3.員工名單'!$A:$A,0)),""))</f>
        <v/>
      </c>
      <c r="E462" s="120">
        <f t="array" ref="E462:E462">IF(F462="","",IFERROR(INDEX('1.職能辭典'!$A:$A,MATCH(F462,'1.職能辭典'!$C:$C,0)),""))</f>
        <v/>
      </c>
      <c r="F462" s="94" t="n"/>
      <c r="G462" s="120">
        <f t="array" ref="G462:G462">IF(OR(D462="",F462=""),"",IFERROR(IF(AND(OR(INDEX('1.職能辭典'!$J:$J,MATCH(F462,'1.職能辭典'!$C:$C,0))="全部",INDEX('3.員工名單'!$H:$H,MATCH(A462,'3.員工名單'!$A:$A,0))="兩款共用",INDEX('3.員工名單'!$H:$H,MATCH(A462,'3.員工名單'!$A:$A,0))=INDEX('1.職能辭典'!$J:$J,MATCH(F462,'1.職能辭典'!$C:$C,0))),OR(INDEX('1.職能辭典'!$K:$K,MATCH(F462,'1.職能辭典'!$C:$C,0))="全部",SUMPRODUCT(ISNUMBER(SEARCH({"經營","管理","財務","企劃","營運","技術","數據","美術","測試","客服"},INDEX('3.員工名單'!$I:$I,MATCH(A462,'3.員工名單'!$A:$A,0))))*ISNUMBER(SEARCH({"經營","管理","財務","企劃","營運","技術","數據","美術","測試","客服"},INDEX('1.職能辭典'!$K:$K,MATCH(F462,'1.職能辭典'!$C:$C,0)))))&gt;0)),INDEX('2.職務職能需求'!$B$2:$F$28,MATCH(F462,'2.職務職能需求'!$A$2:$A$28,0),MATCH(D462,'2.職務職能需求'!$B$1:$F$1,0)),0),""))</f>
        <v/>
      </c>
      <c r="H462" s="94" t="n"/>
      <c r="I462" s="94" t="n"/>
      <c r="J462" s="120">
        <f>IF(OR(G462="",I462="",G462=0),"",I462-G462)</f>
        <v/>
      </c>
      <c r="K462" s="120">
        <f>IF(G462="","",IF(G462=0,"不適用",IF(I462="","待評核",IF(I462&gt;=G462,IF(I462&gt;G462,"超越","達標"),"待發展"))))</f>
        <v/>
      </c>
      <c r="L462" s="91" t="n"/>
      <c r="M462" s="91" t="n"/>
      <c r="N462" s="88" t="n"/>
    </row>
    <row r="463" ht="15.75" customHeight="1" s="64">
      <c r="A463" s="88" t="n"/>
      <c r="B463" s="120">
        <f t="array" ref="B463:B463">IF(A463="","",IFERROR(INDEX('3.員工名單'!$B:$B,MATCH(A463,'3.員工名單'!$A:$A,0)),"查無此員工"))</f>
        <v/>
      </c>
      <c r="C463" s="120">
        <f t="array" ref="C463:C463">IF(A463="","",IFERROR(INDEX('3.員工名單'!$C:$C,MATCH(A463,'3.員工名單'!$A:$A,0)),""))</f>
        <v/>
      </c>
      <c r="D463" s="120">
        <f t="array" ref="D463:D463">IF(A463="","",IFERROR(INDEX('3.員工名單'!$D:$D,MATCH(A463,'3.員工名單'!$A:$A,0)),""))</f>
        <v/>
      </c>
      <c r="E463" s="120">
        <f t="array" ref="E463:E463">IF(F463="","",IFERROR(INDEX('1.職能辭典'!$A:$A,MATCH(F463,'1.職能辭典'!$C:$C,0)),""))</f>
        <v/>
      </c>
      <c r="F463" s="94" t="n"/>
      <c r="G463" s="120">
        <f t="array" ref="G463:G463">IF(OR(D463="",F463=""),"",IFERROR(IF(AND(OR(INDEX('1.職能辭典'!$J:$J,MATCH(F463,'1.職能辭典'!$C:$C,0))="全部",INDEX('3.員工名單'!$H:$H,MATCH(A463,'3.員工名單'!$A:$A,0))="兩款共用",INDEX('3.員工名單'!$H:$H,MATCH(A463,'3.員工名單'!$A:$A,0))=INDEX('1.職能辭典'!$J:$J,MATCH(F463,'1.職能辭典'!$C:$C,0))),OR(INDEX('1.職能辭典'!$K:$K,MATCH(F463,'1.職能辭典'!$C:$C,0))="全部",SUMPRODUCT(ISNUMBER(SEARCH({"經營","管理","財務","企劃","營運","技術","數據","美術","測試","客服"},INDEX('3.員工名單'!$I:$I,MATCH(A463,'3.員工名單'!$A:$A,0))))*ISNUMBER(SEARCH({"經營","管理","財務","企劃","營運","技術","數據","美術","測試","客服"},INDEX('1.職能辭典'!$K:$K,MATCH(F463,'1.職能辭典'!$C:$C,0)))))&gt;0)),INDEX('2.職務職能需求'!$B$2:$F$28,MATCH(F463,'2.職務職能需求'!$A$2:$A$28,0),MATCH(D463,'2.職務職能需求'!$B$1:$F$1,0)),0),""))</f>
        <v/>
      </c>
      <c r="H463" s="94" t="n"/>
      <c r="I463" s="94" t="n"/>
      <c r="J463" s="120">
        <f>IF(OR(G463="",I463="",G463=0),"",I463-G463)</f>
        <v/>
      </c>
      <c r="K463" s="120">
        <f>IF(G463="","",IF(G463=0,"不適用",IF(I463="","待評核",IF(I463&gt;=G463,IF(I463&gt;G463,"超越","達標"),"待發展"))))</f>
        <v/>
      </c>
      <c r="L463" s="91" t="n"/>
      <c r="M463" s="91" t="n"/>
      <c r="N463" s="88" t="n"/>
    </row>
    <row r="464" ht="15.75" customHeight="1" s="64">
      <c r="A464" s="88" t="n"/>
      <c r="B464" s="120">
        <f t="array" ref="B464:B464">IF(A464="","",IFERROR(INDEX('3.員工名單'!$B:$B,MATCH(A464,'3.員工名單'!$A:$A,0)),"查無此員工"))</f>
        <v/>
      </c>
      <c r="C464" s="120">
        <f t="array" ref="C464:C464">IF(A464="","",IFERROR(INDEX('3.員工名單'!$C:$C,MATCH(A464,'3.員工名單'!$A:$A,0)),""))</f>
        <v/>
      </c>
      <c r="D464" s="120">
        <f t="array" ref="D464:D464">IF(A464="","",IFERROR(INDEX('3.員工名單'!$D:$D,MATCH(A464,'3.員工名單'!$A:$A,0)),""))</f>
        <v/>
      </c>
      <c r="E464" s="120">
        <f t="array" ref="E464:E464">IF(F464="","",IFERROR(INDEX('1.職能辭典'!$A:$A,MATCH(F464,'1.職能辭典'!$C:$C,0)),""))</f>
        <v/>
      </c>
      <c r="F464" s="94" t="n"/>
      <c r="G464" s="120">
        <f t="array" ref="G464:G464">IF(OR(D464="",F464=""),"",IFERROR(IF(AND(OR(INDEX('1.職能辭典'!$J:$J,MATCH(F464,'1.職能辭典'!$C:$C,0))="全部",INDEX('3.員工名單'!$H:$H,MATCH(A464,'3.員工名單'!$A:$A,0))="兩款共用",INDEX('3.員工名單'!$H:$H,MATCH(A464,'3.員工名單'!$A:$A,0))=INDEX('1.職能辭典'!$J:$J,MATCH(F464,'1.職能辭典'!$C:$C,0))),OR(INDEX('1.職能辭典'!$K:$K,MATCH(F464,'1.職能辭典'!$C:$C,0))="全部",SUMPRODUCT(ISNUMBER(SEARCH({"經營","管理","財務","企劃","營運","技術","數據","美術","測試","客服"},INDEX('3.員工名單'!$I:$I,MATCH(A464,'3.員工名單'!$A:$A,0))))*ISNUMBER(SEARCH({"經營","管理","財務","企劃","營運","技術","數據","美術","測試","客服"},INDEX('1.職能辭典'!$K:$K,MATCH(F464,'1.職能辭典'!$C:$C,0)))))&gt;0)),INDEX('2.職務職能需求'!$B$2:$F$28,MATCH(F464,'2.職務職能需求'!$A$2:$A$28,0),MATCH(D464,'2.職務職能需求'!$B$1:$F$1,0)),0),""))</f>
        <v/>
      </c>
      <c r="H464" s="94" t="n"/>
      <c r="I464" s="94" t="n"/>
      <c r="J464" s="120">
        <f>IF(OR(G464="",I464="",G464=0),"",I464-G464)</f>
        <v/>
      </c>
      <c r="K464" s="120">
        <f>IF(G464="","",IF(G464=0,"不適用",IF(I464="","待評核",IF(I464&gt;=G464,IF(I464&gt;G464,"超越","達標"),"待發展"))))</f>
        <v/>
      </c>
      <c r="L464" s="91" t="n"/>
      <c r="M464" s="91" t="n"/>
      <c r="N464" s="88" t="n"/>
    </row>
    <row r="465" ht="15.75" customHeight="1" s="64">
      <c r="A465" s="88" t="n"/>
      <c r="B465" s="120">
        <f t="array" ref="B465:B465">IF(A465="","",IFERROR(INDEX('3.員工名單'!$B:$B,MATCH(A465,'3.員工名單'!$A:$A,0)),"查無此員工"))</f>
        <v/>
      </c>
      <c r="C465" s="120">
        <f t="array" ref="C465:C465">IF(A465="","",IFERROR(INDEX('3.員工名單'!$C:$C,MATCH(A465,'3.員工名單'!$A:$A,0)),""))</f>
        <v/>
      </c>
      <c r="D465" s="120">
        <f t="array" ref="D465:D465">IF(A465="","",IFERROR(INDEX('3.員工名單'!$D:$D,MATCH(A465,'3.員工名單'!$A:$A,0)),""))</f>
        <v/>
      </c>
      <c r="E465" s="120">
        <f t="array" ref="E465:E465">IF(F465="","",IFERROR(INDEX('1.職能辭典'!$A:$A,MATCH(F465,'1.職能辭典'!$C:$C,0)),""))</f>
        <v/>
      </c>
      <c r="F465" s="94" t="n"/>
      <c r="G465" s="120">
        <f t="array" ref="G465:G465">IF(OR(D465="",F465=""),"",IFERROR(IF(AND(OR(INDEX('1.職能辭典'!$J:$J,MATCH(F465,'1.職能辭典'!$C:$C,0))="全部",INDEX('3.員工名單'!$H:$H,MATCH(A465,'3.員工名單'!$A:$A,0))="兩款共用",INDEX('3.員工名單'!$H:$H,MATCH(A465,'3.員工名單'!$A:$A,0))=INDEX('1.職能辭典'!$J:$J,MATCH(F465,'1.職能辭典'!$C:$C,0))),OR(INDEX('1.職能辭典'!$K:$K,MATCH(F465,'1.職能辭典'!$C:$C,0))="全部",SUMPRODUCT(ISNUMBER(SEARCH({"經營","管理","財務","企劃","營運","技術","數據","美術","測試","客服"},INDEX('3.員工名單'!$I:$I,MATCH(A465,'3.員工名單'!$A:$A,0))))*ISNUMBER(SEARCH({"經營","管理","財務","企劃","營運","技術","數據","美術","測試","客服"},INDEX('1.職能辭典'!$K:$K,MATCH(F465,'1.職能辭典'!$C:$C,0)))))&gt;0)),INDEX('2.職務職能需求'!$B$2:$F$28,MATCH(F465,'2.職務職能需求'!$A$2:$A$28,0),MATCH(D465,'2.職務職能需求'!$B$1:$F$1,0)),0),""))</f>
        <v/>
      </c>
      <c r="H465" s="94" t="n"/>
      <c r="I465" s="94" t="n"/>
      <c r="J465" s="120">
        <f>IF(OR(G465="",I465="",G465=0),"",I465-G465)</f>
        <v/>
      </c>
      <c r="K465" s="120">
        <f>IF(G465="","",IF(G465=0,"不適用",IF(I465="","待評核",IF(I465&gt;=G465,IF(I465&gt;G465,"超越","達標"),"待發展"))))</f>
        <v/>
      </c>
      <c r="L465" s="91" t="n"/>
      <c r="M465" s="91" t="n"/>
      <c r="N465" s="88" t="n"/>
    </row>
    <row r="466" ht="15.75" customHeight="1" s="64">
      <c r="A466" s="88" t="n"/>
      <c r="B466" s="120">
        <f t="array" ref="B466:B466">IF(A466="","",IFERROR(INDEX('3.員工名單'!$B:$B,MATCH(A466,'3.員工名單'!$A:$A,0)),"查無此員工"))</f>
        <v/>
      </c>
      <c r="C466" s="120">
        <f t="array" ref="C466:C466">IF(A466="","",IFERROR(INDEX('3.員工名單'!$C:$C,MATCH(A466,'3.員工名單'!$A:$A,0)),""))</f>
        <v/>
      </c>
      <c r="D466" s="120">
        <f t="array" ref="D466:D466">IF(A466="","",IFERROR(INDEX('3.員工名單'!$D:$D,MATCH(A466,'3.員工名單'!$A:$A,0)),""))</f>
        <v/>
      </c>
      <c r="E466" s="120">
        <f t="array" ref="E466:E466">IF(F466="","",IFERROR(INDEX('1.職能辭典'!$A:$A,MATCH(F466,'1.職能辭典'!$C:$C,0)),""))</f>
        <v/>
      </c>
      <c r="F466" s="94" t="n"/>
      <c r="G466" s="120">
        <f t="array" ref="G466:G466">IF(OR(D466="",F466=""),"",IFERROR(IF(AND(OR(INDEX('1.職能辭典'!$J:$J,MATCH(F466,'1.職能辭典'!$C:$C,0))="全部",INDEX('3.員工名單'!$H:$H,MATCH(A466,'3.員工名單'!$A:$A,0))="兩款共用",INDEX('3.員工名單'!$H:$H,MATCH(A466,'3.員工名單'!$A:$A,0))=INDEX('1.職能辭典'!$J:$J,MATCH(F466,'1.職能辭典'!$C:$C,0))),OR(INDEX('1.職能辭典'!$K:$K,MATCH(F466,'1.職能辭典'!$C:$C,0))="全部",SUMPRODUCT(ISNUMBER(SEARCH({"經營","管理","財務","企劃","營運","技術","數據","美術","測試","客服"},INDEX('3.員工名單'!$I:$I,MATCH(A466,'3.員工名單'!$A:$A,0))))*ISNUMBER(SEARCH({"經營","管理","財務","企劃","營運","技術","數據","美術","測試","客服"},INDEX('1.職能辭典'!$K:$K,MATCH(F466,'1.職能辭典'!$C:$C,0)))))&gt;0)),INDEX('2.職務職能需求'!$B$2:$F$28,MATCH(F466,'2.職務職能需求'!$A$2:$A$28,0),MATCH(D466,'2.職務職能需求'!$B$1:$F$1,0)),0),""))</f>
        <v/>
      </c>
      <c r="H466" s="94" t="n"/>
      <c r="I466" s="94" t="n"/>
      <c r="J466" s="120">
        <f>IF(OR(G466="",I466="",G466=0),"",I466-G466)</f>
        <v/>
      </c>
      <c r="K466" s="120">
        <f>IF(G466="","",IF(G466=0,"不適用",IF(I466="","待評核",IF(I466&gt;=G466,IF(I466&gt;G466,"超越","達標"),"待發展"))))</f>
        <v/>
      </c>
      <c r="L466" s="91" t="n"/>
      <c r="M466" s="91" t="n"/>
      <c r="N466" s="88" t="n"/>
    </row>
    <row r="467" ht="15.75" customHeight="1" s="64">
      <c r="A467" s="88" t="n"/>
      <c r="B467" s="120">
        <f t="array" ref="B467:B467">IF(A467="","",IFERROR(INDEX('3.員工名單'!$B:$B,MATCH(A467,'3.員工名單'!$A:$A,0)),"查無此員工"))</f>
        <v/>
      </c>
      <c r="C467" s="120">
        <f t="array" ref="C467:C467">IF(A467="","",IFERROR(INDEX('3.員工名單'!$C:$C,MATCH(A467,'3.員工名單'!$A:$A,0)),""))</f>
        <v/>
      </c>
      <c r="D467" s="120">
        <f t="array" ref="D467:D467">IF(A467="","",IFERROR(INDEX('3.員工名單'!$D:$D,MATCH(A467,'3.員工名單'!$A:$A,0)),""))</f>
        <v/>
      </c>
      <c r="E467" s="120">
        <f t="array" ref="E467:E467">IF(F467="","",IFERROR(INDEX('1.職能辭典'!$A:$A,MATCH(F467,'1.職能辭典'!$C:$C,0)),""))</f>
        <v/>
      </c>
      <c r="F467" s="94" t="n"/>
      <c r="G467" s="120">
        <f t="array" ref="G467:G467">IF(OR(D467="",F467=""),"",IFERROR(IF(AND(OR(INDEX('1.職能辭典'!$J:$J,MATCH(F467,'1.職能辭典'!$C:$C,0))="全部",INDEX('3.員工名單'!$H:$H,MATCH(A467,'3.員工名單'!$A:$A,0))="兩款共用",INDEX('3.員工名單'!$H:$H,MATCH(A467,'3.員工名單'!$A:$A,0))=INDEX('1.職能辭典'!$J:$J,MATCH(F467,'1.職能辭典'!$C:$C,0))),OR(INDEX('1.職能辭典'!$K:$K,MATCH(F467,'1.職能辭典'!$C:$C,0))="全部",SUMPRODUCT(ISNUMBER(SEARCH({"經營","管理","財務","企劃","營運","技術","數據","美術","測試","客服"},INDEX('3.員工名單'!$I:$I,MATCH(A467,'3.員工名單'!$A:$A,0))))*ISNUMBER(SEARCH({"經營","管理","財務","企劃","營運","技術","數據","美術","測試","客服"},INDEX('1.職能辭典'!$K:$K,MATCH(F467,'1.職能辭典'!$C:$C,0)))))&gt;0)),INDEX('2.職務職能需求'!$B$2:$F$28,MATCH(F467,'2.職務職能需求'!$A$2:$A$28,0),MATCH(D467,'2.職務職能需求'!$B$1:$F$1,0)),0),""))</f>
        <v/>
      </c>
      <c r="H467" s="94" t="n"/>
      <c r="I467" s="94" t="n"/>
      <c r="J467" s="120">
        <f>IF(OR(G467="",I467="",G467=0),"",I467-G467)</f>
        <v/>
      </c>
      <c r="K467" s="120">
        <f>IF(G467="","",IF(G467=0,"不適用",IF(I467="","待評核",IF(I467&gt;=G467,IF(I467&gt;G467,"超越","達標"),"待發展"))))</f>
        <v/>
      </c>
      <c r="L467" s="91" t="n"/>
      <c r="M467" s="91" t="n"/>
      <c r="N467" s="88" t="n"/>
    </row>
    <row r="468" ht="15.75" customHeight="1" s="64">
      <c r="A468" s="88" t="n"/>
      <c r="B468" s="120">
        <f t="array" ref="B468:B468">IF(A468="","",IFERROR(INDEX('3.員工名單'!$B:$B,MATCH(A468,'3.員工名單'!$A:$A,0)),"查無此員工"))</f>
        <v/>
      </c>
      <c r="C468" s="120">
        <f t="array" ref="C468:C468">IF(A468="","",IFERROR(INDEX('3.員工名單'!$C:$C,MATCH(A468,'3.員工名單'!$A:$A,0)),""))</f>
        <v/>
      </c>
      <c r="D468" s="120">
        <f t="array" ref="D468:D468">IF(A468="","",IFERROR(INDEX('3.員工名單'!$D:$D,MATCH(A468,'3.員工名單'!$A:$A,0)),""))</f>
        <v/>
      </c>
      <c r="E468" s="120">
        <f t="array" ref="E468:E468">IF(F468="","",IFERROR(INDEX('1.職能辭典'!$A:$A,MATCH(F468,'1.職能辭典'!$C:$C,0)),""))</f>
        <v/>
      </c>
      <c r="F468" s="94" t="n"/>
      <c r="G468" s="120">
        <f t="array" ref="G468:G468">IF(OR(D468="",F468=""),"",IFERROR(IF(AND(OR(INDEX('1.職能辭典'!$J:$J,MATCH(F468,'1.職能辭典'!$C:$C,0))="全部",INDEX('3.員工名單'!$H:$H,MATCH(A468,'3.員工名單'!$A:$A,0))="兩款共用",INDEX('3.員工名單'!$H:$H,MATCH(A468,'3.員工名單'!$A:$A,0))=INDEX('1.職能辭典'!$J:$J,MATCH(F468,'1.職能辭典'!$C:$C,0))),OR(INDEX('1.職能辭典'!$K:$K,MATCH(F468,'1.職能辭典'!$C:$C,0))="全部",SUMPRODUCT(ISNUMBER(SEARCH({"經營","管理","財務","企劃","營運","技術","數據","美術","測試","客服"},INDEX('3.員工名單'!$I:$I,MATCH(A468,'3.員工名單'!$A:$A,0))))*ISNUMBER(SEARCH({"經營","管理","財務","企劃","營運","技術","數據","美術","測試","客服"},INDEX('1.職能辭典'!$K:$K,MATCH(F468,'1.職能辭典'!$C:$C,0)))))&gt;0)),INDEX('2.職務職能需求'!$B$2:$F$28,MATCH(F468,'2.職務職能需求'!$A$2:$A$28,0),MATCH(D468,'2.職務職能需求'!$B$1:$F$1,0)),0),""))</f>
        <v/>
      </c>
      <c r="H468" s="94" t="n"/>
      <c r="I468" s="94" t="n"/>
      <c r="J468" s="120">
        <f>IF(OR(G468="",I468="",G468=0),"",I468-G468)</f>
        <v/>
      </c>
      <c r="K468" s="120">
        <f>IF(G468="","",IF(G468=0,"不適用",IF(I468="","待評核",IF(I468&gt;=G468,IF(I468&gt;G468,"超越","達標"),"待發展"))))</f>
        <v/>
      </c>
      <c r="L468" s="91" t="n"/>
      <c r="M468" s="91" t="n"/>
      <c r="N468" s="88" t="n"/>
    </row>
    <row r="469" ht="15.75" customHeight="1" s="64">
      <c r="A469" s="88" t="n"/>
      <c r="B469" s="120">
        <f t="array" ref="B469:B469">IF(A469="","",IFERROR(INDEX('3.員工名單'!$B:$B,MATCH(A469,'3.員工名單'!$A:$A,0)),"查無此員工"))</f>
        <v/>
      </c>
      <c r="C469" s="120">
        <f t="array" ref="C469:C469">IF(A469="","",IFERROR(INDEX('3.員工名單'!$C:$C,MATCH(A469,'3.員工名單'!$A:$A,0)),""))</f>
        <v/>
      </c>
      <c r="D469" s="120">
        <f t="array" ref="D469:D469">IF(A469="","",IFERROR(INDEX('3.員工名單'!$D:$D,MATCH(A469,'3.員工名單'!$A:$A,0)),""))</f>
        <v/>
      </c>
      <c r="E469" s="120">
        <f t="array" ref="E469:E469">IF(F469="","",IFERROR(INDEX('1.職能辭典'!$A:$A,MATCH(F469,'1.職能辭典'!$C:$C,0)),""))</f>
        <v/>
      </c>
      <c r="F469" s="94" t="n"/>
      <c r="G469" s="120">
        <f t="array" ref="G469:G469">IF(OR(D469="",F469=""),"",IFERROR(IF(AND(OR(INDEX('1.職能辭典'!$J:$J,MATCH(F469,'1.職能辭典'!$C:$C,0))="全部",INDEX('3.員工名單'!$H:$H,MATCH(A469,'3.員工名單'!$A:$A,0))="兩款共用",INDEX('3.員工名單'!$H:$H,MATCH(A469,'3.員工名單'!$A:$A,0))=INDEX('1.職能辭典'!$J:$J,MATCH(F469,'1.職能辭典'!$C:$C,0))),OR(INDEX('1.職能辭典'!$K:$K,MATCH(F469,'1.職能辭典'!$C:$C,0))="全部",SUMPRODUCT(ISNUMBER(SEARCH({"經營","管理","財務","企劃","營運","技術","數據","美術","測試","客服"},INDEX('3.員工名單'!$I:$I,MATCH(A469,'3.員工名單'!$A:$A,0))))*ISNUMBER(SEARCH({"經營","管理","財務","企劃","營運","技術","數據","美術","測試","客服"},INDEX('1.職能辭典'!$K:$K,MATCH(F469,'1.職能辭典'!$C:$C,0)))))&gt;0)),INDEX('2.職務職能需求'!$B$2:$F$28,MATCH(F469,'2.職務職能需求'!$A$2:$A$28,0),MATCH(D469,'2.職務職能需求'!$B$1:$F$1,0)),0),""))</f>
        <v/>
      </c>
      <c r="H469" s="94" t="n"/>
      <c r="I469" s="94" t="n"/>
      <c r="J469" s="120">
        <f>IF(OR(G469="",I469="",G469=0),"",I469-G469)</f>
        <v/>
      </c>
      <c r="K469" s="120">
        <f>IF(G469="","",IF(G469=0,"不適用",IF(I469="","待評核",IF(I469&gt;=G469,IF(I469&gt;G469,"超越","達標"),"待發展"))))</f>
        <v/>
      </c>
      <c r="L469" s="91" t="n"/>
      <c r="M469" s="91" t="n"/>
      <c r="N469" s="88" t="n"/>
    </row>
    <row r="470" ht="15.75" customHeight="1" s="64">
      <c r="A470" s="88" t="n"/>
      <c r="B470" s="120">
        <f t="array" ref="B470:B470">IF(A470="","",IFERROR(INDEX('3.員工名單'!$B:$B,MATCH(A470,'3.員工名單'!$A:$A,0)),"查無此員工"))</f>
        <v/>
      </c>
      <c r="C470" s="120">
        <f t="array" ref="C470:C470">IF(A470="","",IFERROR(INDEX('3.員工名單'!$C:$C,MATCH(A470,'3.員工名單'!$A:$A,0)),""))</f>
        <v/>
      </c>
      <c r="D470" s="120">
        <f t="array" ref="D470:D470">IF(A470="","",IFERROR(INDEX('3.員工名單'!$D:$D,MATCH(A470,'3.員工名單'!$A:$A,0)),""))</f>
        <v/>
      </c>
      <c r="E470" s="120">
        <f t="array" ref="E470:E470">IF(F470="","",IFERROR(INDEX('1.職能辭典'!$A:$A,MATCH(F470,'1.職能辭典'!$C:$C,0)),""))</f>
        <v/>
      </c>
      <c r="F470" s="94" t="n"/>
      <c r="G470" s="120">
        <f t="array" ref="G470:G470">IF(OR(D470="",F470=""),"",IFERROR(IF(AND(OR(INDEX('1.職能辭典'!$J:$J,MATCH(F470,'1.職能辭典'!$C:$C,0))="全部",INDEX('3.員工名單'!$H:$H,MATCH(A470,'3.員工名單'!$A:$A,0))="兩款共用",INDEX('3.員工名單'!$H:$H,MATCH(A470,'3.員工名單'!$A:$A,0))=INDEX('1.職能辭典'!$J:$J,MATCH(F470,'1.職能辭典'!$C:$C,0))),OR(INDEX('1.職能辭典'!$K:$K,MATCH(F470,'1.職能辭典'!$C:$C,0))="全部",SUMPRODUCT(ISNUMBER(SEARCH({"經營","管理","財務","企劃","營運","技術","數據","美術","測試","客服"},INDEX('3.員工名單'!$I:$I,MATCH(A470,'3.員工名單'!$A:$A,0))))*ISNUMBER(SEARCH({"經營","管理","財務","企劃","營運","技術","數據","美術","測試","客服"},INDEX('1.職能辭典'!$K:$K,MATCH(F470,'1.職能辭典'!$C:$C,0)))))&gt;0)),INDEX('2.職務職能需求'!$B$2:$F$28,MATCH(F470,'2.職務職能需求'!$A$2:$A$28,0),MATCH(D470,'2.職務職能需求'!$B$1:$F$1,0)),0),""))</f>
        <v/>
      </c>
      <c r="H470" s="94" t="n"/>
      <c r="I470" s="94" t="n"/>
      <c r="J470" s="120">
        <f>IF(OR(G470="",I470="",G470=0),"",I470-G470)</f>
        <v/>
      </c>
      <c r="K470" s="120">
        <f>IF(G470="","",IF(G470=0,"不適用",IF(I470="","待評核",IF(I470&gt;=G470,IF(I470&gt;G470,"超越","達標"),"待發展"))))</f>
        <v/>
      </c>
      <c r="L470" s="91" t="n"/>
      <c r="M470" s="91" t="n"/>
      <c r="N470" s="88" t="n"/>
    </row>
    <row r="471" ht="15.75" customHeight="1" s="64">
      <c r="A471" s="88" t="n"/>
      <c r="B471" s="120">
        <f t="array" ref="B471:B471">IF(A471="","",IFERROR(INDEX('3.員工名單'!$B:$B,MATCH(A471,'3.員工名單'!$A:$A,0)),"查無此員工"))</f>
        <v/>
      </c>
      <c r="C471" s="120">
        <f t="array" ref="C471:C471">IF(A471="","",IFERROR(INDEX('3.員工名單'!$C:$C,MATCH(A471,'3.員工名單'!$A:$A,0)),""))</f>
        <v/>
      </c>
      <c r="D471" s="120">
        <f t="array" ref="D471:D471">IF(A471="","",IFERROR(INDEX('3.員工名單'!$D:$D,MATCH(A471,'3.員工名單'!$A:$A,0)),""))</f>
        <v/>
      </c>
      <c r="E471" s="120">
        <f t="array" ref="E471:E471">IF(F471="","",IFERROR(INDEX('1.職能辭典'!$A:$A,MATCH(F471,'1.職能辭典'!$C:$C,0)),""))</f>
        <v/>
      </c>
      <c r="F471" s="94" t="n"/>
      <c r="G471" s="120">
        <f t="array" ref="G471:G471">IF(OR(D471="",F471=""),"",IFERROR(IF(AND(OR(INDEX('1.職能辭典'!$J:$J,MATCH(F471,'1.職能辭典'!$C:$C,0))="全部",INDEX('3.員工名單'!$H:$H,MATCH(A471,'3.員工名單'!$A:$A,0))="兩款共用",INDEX('3.員工名單'!$H:$H,MATCH(A471,'3.員工名單'!$A:$A,0))=INDEX('1.職能辭典'!$J:$J,MATCH(F471,'1.職能辭典'!$C:$C,0))),OR(INDEX('1.職能辭典'!$K:$K,MATCH(F471,'1.職能辭典'!$C:$C,0))="全部",SUMPRODUCT(ISNUMBER(SEARCH({"經營","管理","財務","企劃","營運","技術","數據","美術","測試","客服"},INDEX('3.員工名單'!$I:$I,MATCH(A471,'3.員工名單'!$A:$A,0))))*ISNUMBER(SEARCH({"經營","管理","財務","企劃","營運","技術","數據","美術","測試","客服"},INDEX('1.職能辭典'!$K:$K,MATCH(F471,'1.職能辭典'!$C:$C,0)))))&gt;0)),INDEX('2.職務職能需求'!$B$2:$F$28,MATCH(F471,'2.職務職能需求'!$A$2:$A$28,0),MATCH(D471,'2.職務職能需求'!$B$1:$F$1,0)),0),""))</f>
        <v/>
      </c>
      <c r="H471" s="94" t="n"/>
      <c r="I471" s="94" t="n"/>
      <c r="J471" s="120">
        <f>IF(OR(G471="",I471="",G471=0),"",I471-G471)</f>
        <v/>
      </c>
      <c r="K471" s="120">
        <f>IF(G471="","",IF(G471=0,"不適用",IF(I471="","待評核",IF(I471&gt;=G471,IF(I471&gt;G471,"超越","達標"),"待發展"))))</f>
        <v/>
      </c>
      <c r="L471" s="91" t="n"/>
      <c r="M471" s="91" t="n"/>
      <c r="N471" s="88" t="n"/>
    </row>
    <row r="472" ht="15.75" customHeight="1" s="64">
      <c r="A472" s="88" t="n"/>
      <c r="B472" s="120">
        <f t="array" ref="B472:B472">IF(A472="","",IFERROR(INDEX('3.員工名單'!$B:$B,MATCH(A472,'3.員工名單'!$A:$A,0)),"查無此員工"))</f>
        <v/>
      </c>
      <c r="C472" s="120">
        <f t="array" ref="C472:C472">IF(A472="","",IFERROR(INDEX('3.員工名單'!$C:$C,MATCH(A472,'3.員工名單'!$A:$A,0)),""))</f>
        <v/>
      </c>
      <c r="D472" s="120">
        <f t="array" ref="D472:D472">IF(A472="","",IFERROR(INDEX('3.員工名單'!$D:$D,MATCH(A472,'3.員工名單'!$A:$A,0)),""))</f>
        <v/>
      </c>
      <c r="E472" s="120">
        <f t="array" ref="E472:E472">IF(F472="","",IFERROR(INDEX('1.職能辭典'!$A:$A,MATCH(F472,'1.職能辭典'!$C:$C,0)),""))</f>
        <v/>
      </c>
      <c r="F472" s="94" t="n"/>
      <c r="G472" s="120">
        <f t="array" ref="G472:G472">IF(OR(D472="",F472=""),"",IFERROR(IF(AND(OR(INDEX('1.職能辭典'!$J:$J,MATCH(F472,'1.職能辭典'!$C:$C,0))="全部",INDEX('3.員工名單'!$H:$H,MATCH(A472,'3.員工名單'!$A:$A,0))="兩款共用",INDEX('3.員工名單'!$H:$H,MATCH(A472,'3.員工名單'!$A:$A,0))=INDEX('1.職能辭典'!$J:$J,MATCH(F472,'1.職能辭典'!$C:$C,0))),OR(INDEX('1.職能辭典'!$K:$K,MATCH(F472,'1.職能辭典'!$C:$C,0))="全部",SUMPRODUCT(ISNUMBER(SEARCH({"經營","管理","財務","企劃","營運","技術","數據","美術","測試","客服"},INDEX('3.員工名單'!$I:$I,MATCH(A472,'3.員工名單'!$A:$A,0))))*ISNUMBER(SEARCH({"經營","管理","財務","企劃","營運","技術","數據","美術","測試","客服"},INDEX('1.職能辭典'!$K:$K,MATCH(F472,'1.職能辭典'!$C:$C,0)))))&gt;0)),INDEX('2.職務職能需求'!$B$2:$F$28,MATCH(F472,'2.職務職能需求'!$A$2:$A$28,0),MATCH(D472,'2.職務職能需求'!$B$1:$F$1,0)),0),""))</f>
        <v/>
      </c>
      <c r="H472" s="94" t="n"/>
      <c r="I472" s="94" t="n"/>
      <c r="J472" s="120">
        <f>IF(OR(G472="",I472="",G472=0),"",I472-G472)</f>
        <v/>
      </c>
      <c r="K472" s="120">
        <f>IF(G472="","",IF(G472=0,"不適用",IF(I472="","待評核",IF(I472&gt;=G472,IF(I472&gt;G472,"超越","達標"),"待發展"))))</f>
        <v/>
      </c>
      <c r="L472" s="91" t="n"/>
      <c r="M472" s="91" t="n"/>
      <c r="N472" s="88" t="n"/>
    </row>
    <row r="473" ht="15.75" customHeight="1" s="64">
      <c r="A473" s="88" t="n"/>
      <c r="B473" s="120">
        <f t="array" ref="B473:B473">IF(A473="","",IFERROR(INDEX('3.員工名單'!$B:$B,MATCH(A473,'3.員工名單'!$A:$A,0)),"查無此員工"))</f>
        <v/>
      </c>
      <c r="C473" s="120">
        <f t="array" ref="C473:C473">IF(A473="","",IFERROR(INDEX('3.員工名單'!$C:$C,MATCH(A473,'3.員工名單'!$A:$A,0)),""))</f>
        <v/>
      </c>
      <c r="D473" s="120">
        <f t="array" ref="D473:D473">IF(A473="","",IFERROR(INDEX('3.員工名單'!$D:$D,MATCH(A473,'3.員工名單'!$A:$A,0)),""))</f>
        <v/>
      </c>
      <c r="E473" s="120">
        <f t="array" ref="E473:E473">IF(F473="","",IFERROR(INDEX('1.職能辭典'!$A:$A,MATCH(F473,'1.職能辭典'!$C:$C,0)),""))</f>
        <v/>
      </c>
      <c r="F473" s="94" t="n"/>
      <c r="G473" s="120">
        <f t="array" ref="G473:G473">IF(OR(D473="",F473=""),"",IFERROR(IF(AND(OR(INDEX('1.職能辭典'!$J:$J,MATCH(F473,'1.職能辭典'!$C:$C,0))="全部",INDEX('3.員工名單'!$H:$H,MATCH(A473,'3.員工名單'!$A:$A,0))="兩款共用",INDEX('3.員工名單'!$H:$H,MATCH(A473,'3.員工名單'!$A:$A,0))=INDEX('1.職能辭典'!$J:$J,MATCH(F473,'1.職能辭典'!$C:$C,0))),OR(INDEX('1.職能辭典'!$K:$K,MATCH(F473,'1.職能辭典'!$C:$C,0))="全部",SUMPRODUCT(ISNUMBER(SEARCH({"經營","管理","財務","企劃","營運","技術","數據","美術","測試","客服"},INDEX('3.員工名單'!$I:$I,MATCH(A473,'3.員工名單'!$A:$A,0))))*ISNUMBER(SEARCH({"經營","管理","財務","企劃","營運","技術","數據","美術","測試","客服"},INDEX('1.職能辭典'!$K:$K,MATCH(F473,'1.職能辭典'!$C:$C,0)))))&gt;0)),INDEX('2.職務職能需求'!$B$2:$F$28,MATCH(F473,'2.職務職能需求'!$A$2:$A$28,0),MATCH(D473,'2.職務職能需求'!$B$1:$F$1,0)),0),""))</f>
        <v/>
      </c>
      <c r="H473" s="94" t="n"/>
      <c r="I473" s="94" t="n"/>
      <c r="J473" s="120">
        <f>IF(OR(G473="",I473="",G473=0),"",I473-G473)</f>
        <v/>
      </c>
      <c r="K473" s="120">
        <f>IF(G473="","",IF(G473=0,"不適用",IF(I473="","待評核",IF(I473&gt;=G473,IF(I473&gt;G473,"超越","達標"),"待發展"))))</f>
        <v/>
      </c>
      <c r="L473" s="91" t="n"/>
      <c r="M473" s="91" t="n"/>
      <c r="N473" s="88" t="n"/>
    </row>
    <row r="474" ht="15.75" customHeight="1" s="64">
      <c r="A474" s="88" t="n"/>
      <c r="B474" s="120">
        <f t="array" ref="B474:B474">IF(A474="","",IFERROR(INDEX('3.員工名單'!$B:$B,MATCH(A474,'3.員工名單'!$A:$A,0)),"查無此員工"))</f>
        <v/>
      </c>
      <c r="C474" s="120">
        <f t="array" ref="C474:C474">IF(A474="","",IFERROR(INDEX('3.員工名單'!$C:$C,MATCH(A474,'3.員工名單'!$A:$A,0)),""))</f>
        <v/>
      </c>
      <c r="D474" s="120">
        <f t="array" ref="D474:D474">IF(A474="","",IFERROR(INDEX('3.員工名單'!$D:$D,MATCH(A474,'3.員工名單'!$A:$A,0)),""))</f>
        <v/>
      </c>
      <c r="E474" s="120">
        <f t="array" ref="E474:E474">IF(F474="","",IFERROR(INDEX('1.職能辭典'!$A:$A,MATCH(F474,'1.職能辭典'!$C:$C,0)),""))</f>
        <v/>
      </c>
      <c r="F474" s="94" t="n"/>
      <c r="G474" s="120">
        <f t="array" ref="G474:G474">IF(OR(D474="",F474=""),"",IFERROR(IF(AND(OR(INDEX('1.職能辭典'!$J:$J,MATCH(F474,'1.職能辭典'!$C:$C,0))="全部",INDEX('3.員工名單'!$H:$H,MATCH(A474,'3.員工名單'!$A:$A,0))="兩款共用",INDEX('3.員工名單'!$H:$H,MATCH(A474,'3.員工名單'!$A:$A,0))=INDEX('1.職能辭典'!$J:$J,MATCH(F474,'1.職能辭典'!$C:$C,0))),OR(INDEX('1.職能辭典'!$K:$K,MATCH(F474,'1.職能辭典'!$C:$C,0))="全部",SUMPRODUCT(ISNUMBER(SEARCH({"經營","管理","財務","企劃","營運","技術","數據","美術","測試","客服"},INDEX('3.員工名單'!$I:$I,MATCH(A474,'3.員工名單'!$A:$A,0))))*ISNUMBER(SEARCH({"經營","管理","財務","企劃","營運","技術","數據","美術","測試","客服"},INDEX('1.職能辭典'!$K:$K,MATCH(F474,'1.職能辭典'!$C:$C,0)))))&gt;0)),INDEX('2.職務職能需求'!$B$2:$F$28,MATCH(F474,'2.職務職能需求'!$A$2:$A$28,0),MATCH(D474,'2.職務職能需求'!$B$1:$F$1,0)),0),""))</f>
        <v/>
      </c>
      <c r="H474" s="94" t="n"/>
      <c r="I474" s="94" t="n"/>
      <c r="J474" s="120">
        <f>IF(OR(G474="",I474="",G474=0),"",I474-G474)</f>
        <v/>
      </c>
      <c r="K474" s="120">
        <f>IF(G474="","",IF(G474=0,"不適用",IF(I474="","待評核",IF(I474&gt;=G474,IF(I474&gt;G474,"超越","達標"),"待發展"))))</f>
        <v/>
      </c>
      <c r="L474" s="91" t="n"/>
      <c r="M474" s="91" t="n"/>
      <c r="N474" s="88" t="n"/>
    </row>
    <row r="475" ht="15.75" customHeight="1" s="64">
      <c r="A475" s="88" t="n"/>
      <c r="B475" s="120">
        <f t="array" ref="B475:B475">IF(A475="","",IFERROR(INDEX('3.員工名單'!$B:$B,MATCH(A475,'3.員工名單'!$A:$A,0)),"查無此員工"))</f>
        <v/>
      </c>
      <c r="C475" s="120">
        <f t="array" ref="C475:C475">IF(A475="","",IFERROR(INDEX('3.員工名單'!$C:$C,MATCH(A475,'3.員工名單'!$A:$A,0)),""))</f>
        <v/>
      </c>
      <c r="D475" s="120">
        <f t="array" ref="D475:D475">IF(A475="","",IFERROR(INDEX('3.員工名單'!$D:$D,MATCH(A475,'3.員工名單'!$A:$A,0)),""))</f>
        <v/>
      </c>
      <c r="E475" s="120">
        <f t="array" ref="E475:E475">IF(F475="","",IFERROR(INDEX('1.職能辭典'!$A:$A,MATCH(F475,'1.職能辭典'!$C:$C,0)),""))</f>
        <v/>
      </c>
      <c r="F475" s="94" t="n"/>
      <c r="G475" s="120">
        <f t="array" ref="G475:G475">IF(OR(D475="",F475=""),"",IFERROR(IF(AND(OR(INDEX('1.職能辭典'!$J:$J,MATCH(F475,'1.職能辭典'!$C:$C,0))="全部",INDEX('3.員工名單'!$H:$H,MATCH(A475,'3.員工名單'!$A:$A,0))="兩款共用",INDEX('3.員工名單'!$H:$H,MATCH(A475,'3.員工名單'!$A:$A,0))=INDEX('1.職能辭典'!$J:$J,MATCH(F475,'1.職能辭典'!$C:$C,0))),OR(INDEX('1.職能辭典'!$K:$K,MATCH(F475,'1.職能辭典'!$C:$C,0))="全部",SUMPRODUCT(ISNUMBER(SEARCH({"經營","管理","財務","企劃","營運","技術","數據","美術","測試","客服"},INDEX('3.員工名單'!$I:$I,MATCH(A475,'3.員工名單'!$A:$A,0))))*ISNUMBER(SEARCH({"經營","管理","財務","企劃","營運","技術","數據","美術","測試","客服"},INDEX('1.職能辭典'!$K:$K,MATCH(F475,'1.職能辭典'!$C:$C,0)))))&gt;0)),INDEX('2.職務職能需求'!$B$2:$F$28,MATCH(F475,'2.職務職能需求'!$A$2:$A$28,0),MATCH(D475,'2.職務職能需求'!$B$1:$F$1,0)),0),""))</f>
        <v/>
      </c>
      <c r="H475" s="94" t="n"/>
      <c r="I475" s="94" t="n"/>
      <c r="J475" s="120">
        <f>IF(OR(G475="",I475="",G475=0),"",I475-G475)</f>
        <v/>
      </c>
      <c r="K475" s="120">
        <f>IF(G475="","",IF(G475=0,"不適用",IF(I475="","待評核",IF(I475&gt;=G475,IF(I475&gt;G475,"超越","達標"),"待發展"))))</f>
        <v/>
      </c>
      <c r="L475" s="91" t="n"/>
      <c r="M475" s="91" t="n"/>
      <c r="N475" s="88" t="n"/>
    </row>
    <row r="476" ht="15.75" customHeight="1" s="64">
      <c r="A476" s="88" t="n"/>
      <c r="B476" s="120">
        <f t="array" ref="B476:B476">IF(A476="","",IFERROR(INDEX('3.員工名單'!$B:$B,MATCH(A476,'3.員工名單'!$A:$A,0)),"查無此員工"))</f>
        <v/>
      </c>
      <c r="C476" s="120">
        <f t="array" ref="C476:C476">IF(A476="","",IFERROR(INDEX('3.員工名單'!$C:$C,MATCH(A476,'3.員工名單'!$A:$A,0)),""))</f>
        <v/>
      </c>
      <c r="D476" s="120">
        <f t="array" ref="D476:D476">IF(A476="","",IFERROR(INDEX('3.員工名單'!$D:$D,MATCH(A476,'3.員工名單'!$A:$A,0)),""))</f>
        <v/>
      </c>
      <c r="E476" s="120">
        <f t="array" ref="E476:E476">IF(F476="","",IFERROR(INDEX('1.職能辭典'!$A:$A,MATCH(F476,'1.職能辭典'!$C:$C,0)),""))</f>
        <v/>
      </c>
      <c r="F476" s="94" t="n"/>
      <c r="G476" s="120">
        <f t="array" ref="G476:G476">IF(OR(D476="",F476=""),"",IFERROR(IF(AND(OR(INDEX('1.職能辭典'!$J:$J,MATCH(F476,'1.職能辭典'!$C:$C,0))="全部",INDEX('3.員工名單'!$H:$H,MATCH(A476,'3.員工名單'!$A:$A,0))="兩款共用",INDEX('3.員工名單'!$H:$H,MATCH(A476,'3.員工名單'!$A:$A,0))=INDEX('1.職能辭典'!$J:$J,MATCH(F476,'1.職能辭典'!$C:$C,0))),OR(INDEX('1.職能辭典'!$K:$K,MATCH(F476,'1.職能辭典'!$C:$C,0))="全部",SUMPRODUCT(ISNUMBER(SEARCH({"經營","管理","財務","企劃","營運","技術","數據","美術","測試","客服"},INDEX('3.員工名單'!$I:$I,MATCH(A476,'3.員工名單'!$A:$A,0))))*ISNUMBER(SEARCH({"經營","管理","財務","企劃","營運","技術","數據","美術","測試","客服"},INDEX('1.職能辭典'!$K:$K,MATCH(F476,'1.職能辭典'!$C:$C,0)))))&gt;0)),INDEX('2.職務職能需求'!$B$2:$F$28,MATCH(F476,'2.職務職能需求'!$A$2:$A$28,0),MATCH(D476,'2.職務職能需求'!$B$1:$F$1,0)),0),""))</f>
        <v/>
      </c>
      <c r="H476" s="94" t="n"/>
      <c r="I476" s="94" t="n"/>
      <c r="J476" s="120">
        <f>IF(OR(G476="",I476="",G476=0),"",I476-G476)</f>
        <v/>
      </c>
      <c r="K476" s="120">
        <f>IF(G476="","",IF(G476=0,"不適用",IF(I476="","待評核",IF(I476&gt;=G476,IF(I476&gt;G476,"超越","達標"),"待發展"))))</f>
        <v/>
      </c>
      <c r="L476" s="91" t="n"/>
      <c r="M476" s="91" t="n"/>
      <c r="N476" s="88" t="n"/>
    </row>
    <row r="477" ht="15.75" customHeight="1" s="64">
      <c r="A477" s="88" t="n"/>
      <c r="B477" s="120">
        <f t="array" ref="B477:B477">IF(A477="","",IFERROR(INDEX('3.員工名單'!$B:$B,MATCH(A477,'3.員工名單'!$A:$A,0)),"查無此員工"))</f>
        <v/>
      </c>
      <c r="C477" s="120">
        <f t="array" ref="C477:C477">IF(A477="","",IFERROR(INDEX('3.員工名單'!$C:$C,MATCH(A477,'3.員工名單'!$A:$A,0)),""))</f>
        <v/>
      </c>
      <c r="D477" s="120">
        <f t="array" ref="D477:D477">IF(A477="","",IFERROR(INDEX('3.員工名單'!$D:$D,MATCH(A477,'3.員工名單'!$A:$A,0)),""))</f>
        <v/>
      </c>
      <c r="E477" s="120">
        <f t="array" ref="E477:E477">IF(F477="","",IFERROR(INDEX('1.職能辭典'!$A:$A,MATCH(F477,'1.職能辭典'!$C:$C,0)),""))</f>
        <v/>
      </c>
      <c r="F477" s="94" t="n"/>
      <c r="G477" s="120">
        <f t="array" ref="G477:G477">IF(OR(D477="",F477=""),"",IFERROR(IF(AND(OR(INDEX('1.職能辭典'!$J:$J,MATCH(F477,'1.職能辭典'!$C:$C,0))="全部",INDEX('3.員工名單'!$H:$H,MATCH(A477,'3.員工名單'!$A:$A,0))="兩款共用",INDEX('3.員工名單'!$H:$H,MATCH(A477,'3.員工名單'!$A:$A,0))=INDEX('1.職能辭典'!$J:$J,MATCH(F477,'1.職能辭典'!$C:$C,0))),OR(INDEX('1.職能辭典'!$K:$K,MATCH(F477,'1.職能辭典'!$C:$C,0))="全部",SUMPRODUCT(ISNUMBER(SEARCH({"經營","管理","財務","企劃","營運","技術","數據","美術","測試","客服"},INDEX('3.員工名單'!$I:$I,MATCH(A477,'3.員工名單'!$A:$A,0))))*ISNUMBER(SEARCH({"經營","管理","財務","企劃","營運","技術","數據","美術","測試","客服"},INDEX('1.職能辭典'!$K:$K,MATCH(F477,'1.職能辭典'!$C:$C,0)))))&gt;0)),INDEX('2.職務職能需求'!$B$2:$F$28,MATCH(F477,'2.職務職能需求'!$A$2:$A$28,0),MATCH(D477,'2.職務職能需求'!$B$1:$F$1,0)),0),""))</f>
        <v/>
      </c>
      <c r="H477" s="94" t="n"/>
      <c r="I477" s="94" t="n"/>
      <c r="J477" s="120">
        <f>IF(OR(G477="",I477="",G477=0),"",I477-G477)</f>
        <v/>
      </c>
      <c r="K477" s="120">
        <f>IF(G477="","",IF(G477=0,"不適用",IF(I477="","待評核",IF(I477&gt;=G477,IF(I477&gt;G477,"超越","達標"),"待發展"))))</f>
        <v/>
      </c>
      <c r="L477" s="91" t="n"/>
      <c r="M477" s="91" t="n"/>
      <c r="N477" s="88" t="n"/>
    </row>
    <row r="478" ht="15.75" customHeight="1" s="64">
      <c r="A478" s="88" t="n"/>
      <c r="B478" s="120">
        <f t="array" ref="B478:B478">IF(A478="","",IFERROR(INDEX('3.員工名單'!$B:$B,MATCH(A478,'3.員工名單'!$A:$A,0)),"查無此員工"))</f>
        <v/>
      </c>
      <c r="C478" s="120">
        <f t="array" ref="C478:C478">IF(A478="","",IFERROR(INDEX('3.員工名單'!$C:$C,MATCH(A478,'3.員工名單'!$A:$A,0)),""))</f>
        <v/>
      </c>
      <c r="D478" s="120">
        <f t="array" ref="D478:D478">IF(A478="","",IFERROR(INDEX('3.員工名單'!$D:$D,MATCH(A478,'3.員工名單'!$A:$A,0)),""))</f>
        <v/>
      </c>
      <c r="E478" s="120">
        <f t="array" ref="E478:E478">IF(F478="","",IFERROR(INDEX('1.職能辭典'!$A:$A,MATCH(F478,'1.職能辭典'!$C:$C,0)),""))</f>
        <v/>
      </c>
      <c r="F478" s="94" t="n"/>
      <c r="G478" s="120">
        <f t="array" ref="G478:G478">IF(OR(D478="",F478=""),"",IFERROR(IF(AND(OR(INDEX('1.職能辭典'!$J:$J,MATCH(F478,'1.職能辭典'!$C:$C,0))="全部",INDEX('3.員工名單'!$H:$H,MATCH(A478,'3.員工名單'!$A:$A,0))="兩款共用",INDEX('3.員工名單'!$H:$H,MATCH(A478,'3.員工名單'!$A:$A,0))=INDEX('1.職能辭典'!$J:$J,MATCH(F478,'1.職能辭典'!$C:$C,0))),OR(INDEX('1.職能辭典'!$K:$K,MATCH(F478,'1.職能辭典'!$C:$C,0))="全部",SUMPRODUCT(ISNUMBER(SEARCH({"經營","管理","財務","企劃","營運","技術","數據","美術","測試","客服"},INDEX('3.員工名單'!$I:$I,MATCH(A478,'3.員工名單'!$A:$A,0))))*ISNUMBER(SEARCH({"經營","管理","財務","企劃","營運","技術","數據","美術","測試","客服"},INDEX('1.職能辭典'!$K:$K,MATCH(F478,'1.職能辭典'!$C:$C,0)))))&gt;0)),INDEX('2.職務職能需求'!$B$2:$F$28,MATCH(F478,'2.職務職能需求'!$A$2:$A$28,0),MATCH(D478,'2.職務職能需求'!$B$1:$F$1,0)),0),""))</f>
        <v/>
      </c>
      <c r="H478" s="94" t="n"/>
      <c r="I478" s="94" t="n"/>
      <c r="J478" s="120">
        <f>IF(OR(G478="",I478="",G478=0),"",I478-G478)</f>
        <v/>
      </c>
      <c r="K478" s="120">
        <f>IF(G478="","",IF(G478=0,"不適用",IF(I478="","待評核",IF(I478&gt;=G478,IF(I478&gt;G478,"超越","達標"),"待發展"))))</f>
        <v/>
      </c>
      <c r="L478" s="91" t="n"/>
      <c r="M478" s="91" t="n"/>
      <c r="N478" s="88" t="n"/>
    </row>
    <row r="479" ht="15.75" customHeight="1" s="64">
      <c r="A479" s="88" t="n"/>
      <c r="B479" s="120">
        <f t="array" ref="B479:B479">IF(A479="","",IFERROR(INDEX('3.員工名單'!$B:$B,MATCH(A479,'3.員工名單'!$A:$A,0)),"查無此員工"))</f>
        <v/>
      </c>
      <c r="C479" s="120">
        <f t="array" ref="C479:C479">IF(A479="","",IFERROR(INDEX('3.員工名單'!$C:$C,MATCH(A479,'3.員工名單'!$A:$A,0)),""))</f>
        <v/>
      </c>
      <c r="D479" s="120">
        <f t="array" ref="D479:D479">IF(A479="","",IFERROR(INDEX('3.員工名單'!$D:$D,MATCH(A479,'3.員工名單'!$A:$A,0)),""))</f>
        <v/>
      </c>
      <c r="E479" s="120">
        <f t="array" ref="E479:E479">IF(F479="","",IFERROR(INDEX('1.職能辭典'!$A:$A,MATCH(F479,'1.職能辭典'!$C:$C,0)),""))</f>
        <v/>
      </c>
      <c r="F479" s="94" t="n"/>
      <c r="G479" s="120">
        <f t="array" ref="G479:G479">IF(OR(D479="",F479=""),"",IFERROR(IF(AND(OR(INDEX('1.職能辭典'!$J:$J,MATCH(F479,'1.職能辭典'!$C:$C,0))="全部",INDEX('3.員工名單'!$H:$H,MATCH(A479,'3.員工名單'!$A:$A,0))="兩款共用",INDEX('3.員工名單'!$H:$H,MATCH(A479,'3.員工名單'!$A:$A,0))=INDEX('1.職能辭典'!$J:$J,MATCH(F479,'1.職能辭典'!$C:$C,0))),OR(INDEX('1.職能辭典'!$K:$K,MATCH(F479,'1.職能辭典'!$C:$C,0))="全部",SUMPRODUCT(ISNUMBER(SEARCH({"經營","管理","財務","企劃","營運","技術","數據","美術","測試","客服"},INDEX('3.員工名單'!$I:$I,MATCH(A479,'3.員工名單'!$A:$A,0))))*ISNUMBER(SEARCH({"經營","管理","財務","企劃","營運","技術","數據","美術","測試","客服"},INDEX('1.職能辭典'!$K:$K,MATCH(F479,'1.職能辭典'!$C:$C,0)))))&gt;0)),INDEX('2.職務職能需求'!$B$2:$F$28,MATCH(F479,'2.職務職能需求'!$A$2:$A$28,0),MATCH(D479,'2.職務職能需求'!$B$1:$F$1,0)),0),""))</f>
        <v/>
      </c>
      <c r="H479" s="94" t="n"/>
      <c r="I479" s="94" t="n"/>
      <c r="J479" s="120">
        <f>IF(OR(G479="",I479="",G479=0),"",I479-G479)</f>
        <v/>
      </c>
      <c r="K479" s="120">
        <f>IF(G479="","",IF(G479=0,"不適用",IF(I479="","待評核",IF(I479&gt;=G479,IF(I479&gt;G479,"超越","達標"),"待發展"))))</f>
        <v/>
      </c>
      <c r="L479" s="91" t="n"/>
      <c r="M479" s="91" t="n"/>
      <c r="N479" s="88" t="n"/>
    </row>
    <row r="480" ht="15.75" customHeight="1" s="64">
      <c r="A480" s="88" t="n"/>
      <c r="B480" s="120">
        <f t="array" ref="B480:B480">IF(A480="","",IFERROR(INDEX('3.員工名單'!$B:$B,MATCH(A480,'3.員工名單'!$A:$A,0)),"查無此員工"))</f>
        <v/>
      </c>
      <c r="C480" s="120">
        <f t="array" ref="C480:C480">IF(A480="","",IFERROR(INDEX('3.員工名單'!$C:$C,MATCH(A480,'3.員工名單'!$A:$A,0)),""))</f>
        <v/>
      </c>
      <c r="D480" s="120">
        <f t="array" ref="D480:D480">IF(A480="","",IFERROR(INDEX('3.員工名單'!$D:$D,MATCH(A480,'3.員工名單'!$A:$A,0)),""))</f>
        <v/>
      </c>
      <c r="E480" s="120">
        <f t="array" ref="E480:E480">IF(F480="","",IFERROR(INDEX('1.職能辭典'!$A:$A,MATCH(F480,'1.職能辭典'!$C:$C,0)),""))</f>
        <v/>
      </c>
      <c r="F480" s="94" t="n"/>
      <c r="G480" s="120">
        <f t="array" ref="G480:G480">IF(OR(D480="",F480=""),"",IFERROR(IF(AND(OR(INDEX('1.職能辭典'!$J:$J,MATCH(F480,'1.職能辭典'!$C:$C,0))="全部",INDEX('3.員工名單'!$H:$H,MATCH(A480,'3.員工名單'!$A:$A,0))="兩款共用",INDEX('3.員工名單'!$H:$H,MATCH(A480,'3.員工名單'!$A:$A,0))=INDEX('1.職能辭典'!$J:$J,MATCH(F480,'1.職能辭典'!$C:$C,0))),OR(INDEX('1.職能辭典'!$K:$K,MATCH(F480,'1.職能辭典'!$C:$C,0))="全部",SUMPRODUCT(ISNUMBER(SEARCH({"經營","管理","財務","企劃","營運","技術","數據","美術","測試","客服"},INDEX('3.員工名單'!$I:$I,MATCH(A480,'3.員工名單'!$A:$A,0))))*ISNUMBER(SEARCH({"經營","管理","財務","企劃","營運","技術","數據","美術","測試","客服"},INDEX('1.職能辭典'!$K:$K,MATCH(F480,'1.職能辭典'!$C:$C,0)))))&gt;0)),INDEX('2.職務職能需求'!$B$2:$F$28,MATCH(F480,'2.職務職能需求'!$A$2:$A$28,0),MATCH(D480,'2.職務職能需求'!$B$1:$F$1,0)),0),""))</f>
        <v/>
      </c>
      <c r="H480" s="94" t="n"/>
      <c r="I480" s="94" t="n"/>
      <c r="J480" s="120">
        <f>IF(OR(G480="",I480="",G480=0),"",I480-G480)</f>
        <v/>
      </c>
      <c r="K480" s="120">
        <f>IF(G480="","",IF(G480=0,"不適用",IF(I480="","待評核",IF(I480&gt;=G480,IF(I480&gt;G480,"超越","達標"),"待發展"))))</f>
        <v/>
      </c>
      <c r="L480" s="91" t="n"/>
      <c r="M480" s="91" t="n"/>
      <c r="N480" s="88" t="n"/>
    </row>
    <row r="481" ht="15.75" customHeight="1" s="64">
      <c r="A481" s="88" t="n"/>
      <c r="B481" s="120">
        <f t="array" ref="B481:B481">IF(A481="","",IFERROR(INDEX('3.員工名單'!$B:$B,MATCH(A481,'3.員工名單'!$A:$A,0)),"查無此員工"))</f>
        <v/>
      </c>
      <c r="C481" s="120">
        <f t="array" ref="C481:C481">IF(A481="","",IFERROR(INDEX('3.員工名單'!$C:$C,MATCH(A481,'3.員工名單'!$A:$A,0)),""))</f>
        <v/>
      </c>
      <c r="D481" s="120">
        <f t="array" ref="D481:D481">IF(A481="","",IFERROR(INDEX('3.員工名單'!$D:$D,MATCH(A481,'3.員工名單'!$A:$A,0)),""))</f>
        <v/>
      </c>
      <c r="E481" s="120">
        <f t="array" ref="E481:E481">IF(F481="","",IFERROR(INDEX('1.職能辭典'!$A:$A,MATCH(F481,'1.職能辭典'!$C:$C,0)),""))</f>
        <v/>
      </c>
      <c r="F481" s="94" t="n"/>
      <c r="G481" s="120">
        <f t="array" ref="G481:G481">IF(OR(D481="",F481=""),"",IFERROR(IF(AND(OR(INDEX('1.職能辭典'!$J:$J,MATCH(F481,'1.職能辭典'!$C:$C,0))="全部",INDEX('3.員工名單'!$H:$H,MATCH(A481,'3.員工名單'!$A:$A,0))="兩款共用",INDEX('3.員工名單'!$H:$H,MATCH(A481,'3.員工名單'!$A:$A,0))=INDEX('1.職能辭典'!$J:$J,MATCH(F481,'1.職能辭典'!$C:$C,0))),OR(INDEX('1.職能辭典'!$K:$K,MATCH(F481,'1.職能辭典'!$C:$C,0))="全部",SUMPRODUCT(ISNUMBER(SEARCH({"經營","管理","財務","企劃","營運","技術","數據","美術","測試","客服"},INDEX('3.員工名單'!$I:$I,MATCH(A481,'3.員工名單'!$A:$A,0))))*ISNUMBER(SEARCH({"經營","管理","財務","企劃","營運","技術","數據","美術","測試","客服"},INDEX('1.職能辭典'!$K:$K,MATCH(F481,'1.職能辭典'!$C:$C,0)))))&gt;0)),INDEX('2.職務職能需求'!$B$2:$F$28,MATCH(F481,'2.職務職能需求'!$A$2:$A$28,0),MATCH(D481,'2.職務職能需求'!$B$1:$F$1,0)),0),""))</f>
        <v/>
      </c>
      <c r="H481" s="94" t="n"/>
      <c r="I481" s="94" t="n"/>
      <c r="J481" s="120">
        <f>IF(OR(G481="",I481="",G481=0),"",I481-G481)</f>
        <v/>
      </c>
      <c r="K481" s="120">
        <f>IF(G481="","",IF(G481=0,"不適用",IF(I481="","待評核",IF(I481&gt;=G481,IF(I481&gt;G481,"超越","達標"),"待發展"))))</f>
        <v/>
      </c>
      <c r="L481" s="91" t="n"/>
      <c r="M481" s="91" t="n"/>
      <c r="N481" s="88" t="n"/>
    </row>
    <row r="482" ht="15.75" customHeight="1" s="64">
      <c r="A482" s="88" t="n"/>
      <c r="B482" s="120">
        <f t="array" ref="B482:B482">IF(A482="","",IFERROR(INDEX('3.員工名單'!$B:$B,MATCH(A482,'3.員工名單'!$A:$A,0)),"查無此員工"))</f>
        <v/>
      </c>
      <c r="C482" s="120">
        <f t="array" ref="C482:C482">IF(A482="","",IFERROR(INDEX('3.員工名單'!$C:$C,MATCH(A482,'3.員工名單'!$A:$A,0)),""))</f>
        <v/>
      </c>
      <c r="D482" s="120">
        <f t="array" ref="D482:D482">IF(A482="","",IFERROR(INDEX('3.員工名單'!$D:$D,MATCH(A482,'3.員工名單'!$A:$A,0)),""))</f>
        <v/>
      </c>
      <c r="E482" s="120">
        <f t="array" ref="E482:E482">IF(F482="","",IFERROR(INDEX('1.職能辭典'!$A:$A,MATCH(F482,'1.職能辭典'!$C:$C,0)),""))</f>
        <v/>
      </c>
      <c r="F482" s="94" t="n"/>
      <c r="G482" s="120">
        <f t="array" ref="G482:G482">IF(OR(D482="",F482=""),"",IFERROR(IF(AND(OR(INDEX('1.職能辭典'!$J:$J,MATCH(F482,'1.職能辭典'!$C:$C,0))="全部",INDEX('3.員工名單'!$H:$H,MATCH(A482,'3.員工名單'!$A:$A,0))="兩款共用",INDEX('3.員工名單'!$H:$H,MATCH(A482,'3.員工名單'!$A:$A,0))=INDEX('1.職能辭典'!$J:$J,MATCH(F482,'1.職能辭典'!$C:$C,0))),OR(INDEX('1.職能辭典'!$K:$K,MATCH(F482,'1.職能辭典'!$C:$C,0))="全部",SUMPRODUCT(ISNUMBER(SEARCH({"經營","管理","財務","企劃","營運","技術","數據","美術","測試","客服"},INDEX('3.員工名單'!$I:$I,MATCH(A482,'3.員工名單'!$A:$A,0))))*ISNUMBER(SEARCH({"經營","管理","財務","企劃","營運","技術","數據","美術","測試","客服"},INDEX('1.職能辭典'!$K:$K,MATCH(F482,'1.職能辭典'!$C:$C,0)))))&gt;0)),INDEX('2.職務職能需求'!$B$2:$F$28,MATCH(F482,'2.職務職能需求'!$A$2:$A$28,0),MATCH(D482,'2.職務職能需求'!$B$1:$F$1,0)),0),""))</f>
        <v/>
      </c>
      <c r="H482" s="94" t="n"/>
      <c r="I482" s="94" t="n"/>
      <c r="J482" s="120">
        <f>IF(OR(G482="",I482="",G482=0),"",I482-G482)</f>
        <v/>
      </c>
      <c r="K482" s="120">
        <f>IF(G482="","",IF(G482=0,"不適用",IF(I482="","待評核",IF(I482&gt;=G482,IF(I482&gt;G482,"超越","達標"),"待發展"))))</f>
        <v/>
      </c>
      <c r="L482" s="91" t="n"/>
      <c r="M482" s="91" t="n"/>
      <c r="N482" s="88" t="n"/>
    </row>
    <row r="483" ht="15.75" customHeight="1" s="64">
      <c r="A483" s="88" t="n"/>
      <c r="B483" s="120">
        <f t="array" ref="B483:B483">IF(A483="","",IFERROR(INDEX('3.員工名單'!$B:$B,MATCH(A483,'3.員工名單'!$A:$A,0)),"查無此員工"))</f>
        <v/>
      </c>
      <c r="C483" s="120">
        <f t="array" ref="C483:C483">IF(A483="","",IFERROR(INDEX('3.員工名單'!$C:$C,MATCH(A483,'3.員工名單'!$A:$A,0)),""))</f>
        <v/>
      </c>
      <c r="D483" s="120">
        <f t="array" ref="D483:D483">IF(A483="","",IFERROR(INDEX('3.員工名單'!$D:$D,MATCH(A483,'3.員工名單'!$A:$A,0)),""))</f>
        <v/>
      </c>
      <c r="E483" s="120">
        <f t="array" ref="E483:E483">IF(F483="","",IFERROR(INDEX('1.職能辭典'!$A:$A,MATCH(F483,'1.職能辭典'!$C:$C,0)),""))</f>
        <v/>
      </c>
      <c r="F483" s="94" t="n"/>
      <c r="G483" s="120">
        <f t="array" ref="G483:G483">IF(OR(D483="",F483=""),"",IFERROR(IF(AND(OR(INDEX('1.職能辭典'!$J:$J,MATCH(F483,'1.職能辭典'!$C:$C,0))="全部",INDEX('3.員工名單'!$H:$H,MATCH(A483,'3.員工名單'!$A:$A,0))="兩款共用",INDEX('3.員工名單'!$H:$H,MATCH(A483,'3.員工名單'!$A:$A,0))=INDEX('1.職能辭典'!$J:$J,MATCH(F483,'1.職能辭典'!$C:$C,0))),OR(INDEX('1.職能辭典'!$K:$K,MATCH(F483,'1.職能辭典'!$C:$C,0))="全部",SUMPRODUCT(ISNUMBER(SEARCH({"經營","管理","財務","企劃","營運","技術","數據","美術","測試","客服"},INDEX('3.員工名單'!$I:$I,MATCH(A483,'3.員工名單'!$A:$A,0))))*ISNUMBER(SEARCH({"經營","管理","財務","企劃","營運","技術","數據","美術","測試","客服"},INDEX('1.職能辭典'!$K:$K,MATCH(F483,'1.職能辭典'!$C:$C,0)))))&gt;0)),INDEX('2.職務職能需求'!$B$2:$F$28,MATCH(F483,'2.職務職能需求'!$A$2:$A$28,0),MATCH(D483,'2.職務職能需求'!$B$1:$F$1,0)),0),""))</f>
        <v/>
      </c>
      <c r="H483" s="94" t="n"/>
      <c r="I483" s="94" t="n"/>
      <c r="J483" s="120">
        <f>IF(OR(G483="",I483="",G483=0),"",I483-G483)</f>
        <v/>
      </c>
      <c r="K483" s="120">
        <f>IF(G483="","",IF(G483=0,"不適用",IF(I483="","待評核",IF(I483&gt;=G483,IF(I483&gt;G483,"超越","達標"),"待發展"))))</f>
        <v/>
      </c>
      <c r="L483" s="91" t="n"/>
      <c r="M483" s="91" t="n"/>
      <c r="N483" s="88" t="n"/>
    </row>
    <row r="484" ht="15.75" customHeight="1" s="64">
      <c r="A484" s="88" t="n"/>
      <c r="B484" s="120">
        <f t="array" ref="B484:B484">IF(A484="","",IFERROR(INDEX('3.員工名單'!$B:$B,MATCH(A484,'3.員工名單'!$A:$A,0)),"查無此員工"))</f>
        <v/>
      </c>
      <c r="C484" s="120">
        <f t="array" ref="C484:C484">IF(A484="","",IFERROR(INDEX('3.員工名單'!$C:$C,MATCH(A484,'3.員工名單'!$A:$A,0)),""))</f>
        <v/>
      </c>
      <c r="D484" s="120">
        <f t="array" ref="D484:D484">IF(A484="","",IFERROR(INDEX('3.員工名單'!$D:$D,MATCH(A484,'3.員工名單'!$A:$A,0)),""))</f>
        <v/>
      </c>
      <c r="E484" s="120">
        <f t="array" ref="E484:E484">IF(F484="","",IFERROR(INDEX('1.職能辭典'!$A:$A,MATCH(F484,'1.職能辭典'!$C:$C,0)),""))</f>
        <v/>
      </c>
      <c r="F484" s="94" t="n"/>
      <c r="G484" s="120">
        <f t="array" ref="G484:G484">IF(OR(D484="",F484=""),"",IFERROR(IF(AND(OR(INDEX('1.職能辭典'!$J:$J,MATCH(F484,'1.職能辭典'!$C:$C,0))="全部",INDEX('3.員工名單'!$H:$H,MATCH(A484,'3.員工名單'!$A:$A,0))="兩款共用",INDEX('3.員工名單'!$H:$H,MATCH(A484,'3.員工名單'!$A:$A,0))=INDEX('1.職能辭典'!$J:$J,MATCH(F484,'1.職能辭典'!$C:$C,0))),OR(INDEX('1.職能辭典'!$K:$K,MATCH(F484,'1.職能辭典'!$C:$C,0))="全部",SUMPRODUCT(ISNUMBER(SEARCH({"經營","管理","財務","企劃","營運","技術","數據","美術","測試","客服"},INDEX('3.員工名單'!$I:$I,MATCH(A484,'3.員工名單'!$A:$A,0))))*ISNUMBER(SEARCH({"經營","管理","財務","企劃","營運","技術","數據","美術","測試","客服"},INDEX('1.職能辭典'!$K:$K,MATCH(F484,'1.職能辭典'!$C:$C,0)))))&gt;0)),INDEX('2.職務職能需求'!$B$2:$F$28,MATCH(F484,'2.職務職能需求'!$A$2:$A$28,0),MATCH(D484,'2.職務職能需求'!$B$1:$F$1,0)),0),""))</f>
        <v/>
      </c>
      <c r="H484" s="94" t="n"/>
      <c r="I484" s="94" t="n"/>
      <c r="J484" s="120">
        <f>IF(OR(G484="",I484="",G484=0),"",I484-G484)</f>
        <v/>
      </c>
      <c r="K484" s="120">
        <f>IF(G484="","",IF(G484=0,"不適用",IF(I484="","待評核",IF(I484&gt;=G484,IF(I484&gt;G484,"超越","達標"),"待發展"))))</f>
        <v/>
      </c>
      <c r="L484" s="91" t="n"/>
      <c r="M484" s="91" t="n"/>
      <c r="N484" s="88" t="n"/>
    </row>
    <row r="485" ht="15.75" customHeight="1" s="64">
      <c r="A485" s="88" t="n"/>
      <c r="B485" s="120">
        <f t="array" ref="B485:B485">IF(A485="","",IFERROR(INDEX('3.員工名單'!$B:$B,MATCH(A485,'3.員工名單'!$A:$A,0)),"查無此員工"))</f>
        <v/>
      </c>
      <c r="C485" s="120">
        <f t="array" ref="C485:C485">IF(A485="","",IFERROR(INDEX('3.員工名單'!$C:$C,MATCH(A485,'3.員工名單'!$A:$A,0)),""))</f>
        <v/>
      </c>
      <c r="D485" s="120">
        <f t="array" ref="D485:D485">IF(A485="","",IFERROR(INDEX('3.員工名單'!$D:$D,MATCH(A485,'3.員工名單'!$A:$A,0)),""))</f>
        <v/>
      </c>
      <c r="E485" s="120">
        <f t="array" ref="E485:E485">IF(F485="","",IFERROR(INDEX('1.職能辭典'!$A:$A,MATCH(F485,'1.職能辭典'!$C:$C,0)),""))</f>
        <v/>
      </c>
      <c r="F485" s="94" t="n"/>
      <c r="G485" s="120">
        <f t="array" ref="G485:G485">IF(OR(D485="",F485=""),"",IFERROR(IF(AND(OR(INDEX('1.職能辭典'!$J:$J,MATCH(F485,'1.職能辭典'!$C:$C,0))="全部",INDEX('3.員工名單'!$H:$H,MATCH(A485,'3.員工名單'!$A:$A,0))="兩款共用",INDEX('3.員工名單'!$H:$H,MATCH(A485,'3.員工名單'!$A:$A,0))=INDEX('1.職能辭典'!$J:$J,MATCH(F485,'1.職能辭典'!$C:$C,0))),OR(INDEX('1.職能辭典'!$K:$K,MATCH(F485,'1.職能辭典'!$C:$C,0))="全部",SUMPRODUCT(ISNUMBER(SEARCH({"經營","管理","財務","企劃","營運","技術","數據","美術","測試","客服"},INDEX('3.員工名單'!$I:$I,MATCH(A485,'3.員工名單'!$A:$A,0))))*ISNUMBER(SEARCH({"經營","管理","財務","企劃","營運","技術","數據","美術","測試","客服"},INDEX('1.職能辭典'!$K:$K,MATCH(F485,'1.職能辭典'!$C:$C,0)))))&gt;0)),INDEX('2.職務職能需求'!$B$2:$F$28,MATCH(F485,'2.職務職能需求'!$A$2:$A$28,0),MATCH(D485,'2.職務職能需求'!$B$1:$F$1,0)),0),""))</f>
        <v/>
      </c>
      <c r="H485" s="94" t="n"/>
      <c r="I485" s="94" t="n"/>
      <c r="J485" s="120">
        <f>IF(OR(G485="",I485="",G485=0),"",I485-G485)</f>
        <v/>
      </c>
      <c r="K485" s="120">
        <f>IF(G485="","",IF(G485=0,"不適用",IF(I485="","待評核",IF(I485&gt;=G485,IF(I485&gt;G485,"超越","達標"),"待發展"))))</f>
        <v/>
      </c>
      <c r="L485" s="91" t="n"/>
      <c r="M485" s="91" t="n"/>
      <c r="N485" s="88" t="n"/>
    </row>
    <row r="486" ht="15.75" customHeight="1" s="64">
      <c r="A486" s="88" t="n"/>
      <c r="B486" s="120">
        <f t="array" ref="B486:B486">IF(A486="","",IFERROR(INDEX('3.員工名單'!$B:$B,MATCH(A486,'3.員工名單'!$A:$A,0)),"查無此員工"))</f>
        <v/>
      </c>
      <c r="C486" s="120">
        <f t="array" ref="C486:C486">IF(A486="","",IFERROR(INDEX('3.員工名單'!$C:$C,MATCH(A486,'3.員工名單'!$A:$A,0)),""))</f>
        <v/>
      </c>
      <c r="D486" s="120">
        <f t="array" ref="D486:D486">IF(A486="","",IFERROR(INDEX('3.員工名單'!$D:$D,MATCH(A486,'3.員工名單'!$A:$A,0)),""))</f>
        <v/>
      </c>
      <c r="E486" s="120">
        <f t="array" ref="E486:E486">IF(F486="","",IFERROR(INDEX('1.職能辭典'!$A:$A,MATCH(F486,'1.職能辭典'!$C:$C,0)),""))</f>
        <v/>
      </c>
      <c r="F486" s="94" t="n"/>
      <c r="G486" s="120">
        <f t="array" ref="G486:G486">IF(OR(D486="",F486=""),"",IFERROR(IF(AND(OR(INDEX('1.職能辭典'!$J:$J,MATCH(F486,'1.職能辭典'!$C:$C,0))="全部",INDEX('3.員工名單'!$H:$H,MATCH(A486,'3.員工名單'!$A:$A,0))="兩款共用",INDEX('3.員工名單'!$H:$H,MATCH(A486,'3.員工名單'!$A:$A,0))=INDEX('1.職能辭典'!$J:$J,MATCH(F486,'1.職能辭典'!$C:$C,0))),OR(INDEX('1.職能辭典'!$K:$K,MATCH(F486,'1.職能辭典'!$C:$C,0))="全部",SUMPRODUCT(ISNUMBER(SEARCH({"經營","管理","財務","企劃","營運","技術","數據","美術","測試","客服"},INDEX('3.員工名單'!$I:$I,MATCH(A486,'3.員工名單'!$A:$A,0))))*ISNUMBER(SEARCH({"經營","管理","財務","企劃","營運","技術","數據","美術","測試","客服"},INDEX('1.職能辭典'!$K:$K,MATCH(F486,'1.職能辭典'!$C:$C,0)))))&gt;0)),INDEX('2.職務職能需求'!$B$2:$F$28,MATCH(F486,'2.職務職能需求'!$A$2:$A$28,0),MATCH(D486,'2.職務職能需求'!$B$1:$F$1,0)),0),""))</f>
        <v/>
      </c>
      <c r="H486" s="94" t="n"/>
      <c r="I486" s="94" t="n"/>
      <c r="J486" s="120">
        <f>IF(OR(G486="",I486="",G486=0),"",I486-G486)</f>
        <v/>
      </c>
      <c r="K486" s="120">
        <f>IF(G486="","",IF(G486=0,"不適用",IF(I486="","待評核",IF(I486&gt;=G486,IF(I486&gt;G486,"超越","達標"),"待發展"))))</f>
        <v/>
      </c>
      <c r="L486" s="91" t="n"/>
      <c r="M486" s="91" t="n"/>
      <c r="N486" s="88" t="n"/>
    </row>
    <row r="487" ht="15.75" customHeight="1" s="64">
      <c r="A487" s="88" t="n"/>
      <c r="B487" s="120">
        <f t="array" ref="B487:B487">IF(A487="","",IFERROR(INDEX('3.員工名單'!$B:$B,MATCH(A487,'3.員工名單'!$A:$A,0)),"查無此員工"))</f>
        <v/>
      </c>
      <c r="C487" s="120">
        <f t="array" ref="C487:C487">IF(A487="","",IFERROR(INDEX('3.員工名單'!$C:$C,MATCH(A487,'3.員工名單'!$A:$A,0)),""))</f>
        <v/>
      </c>
      <c r="D487" s="120">
        <f t="array" ref="D487:D487">IF(A487="","",IFERROR(INDEX('3.員工名單'!$D:$D,MATCH(A487,'3.員工名單'!$A:$A,0)),""))</f>
        <v/>
      </c>
      <c r="E487" s="120">
        <f t="array" ref="E487:E487">IF(F487="","",IFERROR(INDEX('1.職能辭典'!$A:$A,MATCH(F487,'1.職能辭典'!$C:$C,0)),""))</f>
        <v/>
      </c>
      <c r="F487" s="94" t="n"/>
      <c r="G487" s="120">
        <f t="array" ref="G487:G487">IF(OR(D487="",F487=""),"",IFERROR(IF(AND(OR(INDEX('1.職能辭典'!$J:$J,MATCH(F487,'1.職能辭典'!$C:$C,0))="全部",INDEX('3.員工名單'!$H:$H,MATCH(A487,'3.員工名單'!$A:$A,0))="兩款共用",INDEX('3.員工名單'!$H:$H,MATCH(A487,'3.員工名單'!$A:$A,0))=INDEX('1.職能辭典'!$J:$J,MATCH(F487,'1.職能辭典'!$C:$C,0))),OR(INDEX('1.職能辭典'!$K:$K,MATCH(F487,'1.職能辭典'!$C:$C,0))="全部",SUMPRODUCT(ISNUMBER(SEARCH({"經營","管理","財務","企劃","營運","技術","數據","美術","測試","客服"},INDEX('3.員工名單'!$I:$I,MATCH(A487,'3.員工名單'!$A:$A,0))))*ISNUMBER(SEARCH({"經營","管理","財務","企劃","營運","技術","數據","美術","測試","客服"},INDEX('1.職能辭典'!$K:$K,MATCH(F487,'1.職能辭典'!$C:$C,0)))))&gt;0)),INDEX('2.職務職能需求'!$B$2:$F$28,MATCH(F487,'2.職務職能需求'!$A$2:$A$28,0),MATCH(D487,'2.職務職能需求'!$B$1:$F$1,0)),0),""))</f>
        <v/>
      </c>
      <c r="H487" s="94" t="n"/>
      <c r="I487" s="94" t="n"/>
      <c r="J487" s="120">
        <f>IF(OR(G487="",I487="",G487=0),"",I487-G487)</f>
        <v/>
      </c>
      <c r="K487" s="120">
        <f>IF(G487="","",IF(G487=0,"不適用",IF(I487="","待評核",IF(I487&gt;=G487,IF(I487&gt;G487,"超越","達標"),"待發展"))))</f>
        <v/>
      </c>
      <c r="L487" s="91" t="n"/>
      <c r="M487" s="91" t="n"/>
      <c r="N487" s="88" t="n"/>
    </row>
    <row r="488" ht="15.75" customHeight="1" s="64">
      <c r="A488" s="88" t="n"/>
      <c r="B488" s="120">
        <f t="array" ref="B488:B488">IF(A488="","",IFERROR(INDEX('3.員工名單'!$B:$B,MATCH(A488,'3.員工名單'!$A:$A,0)),"查無此員工"))</f>
        <v/>
      </c>
      <c r="C488" s="120">
        <f t="array" ref="C488:C488">IF(A488="","",IFERROR(INDEX('3.員工名單'!$C:$C,MATCH(A488,'3.員工名單'!$A:$A,0)),""))</f>
        <v/>
      </c>
      <c r="D488" s="120">
        <f t="array" ref="D488:D488">IF(A488="","",IFERROR(INDEX('3.員工名單'!$D:$D,MATCH(A488,'3.員工名單'!$A:$A,0)),""))</f>
        <v/>
      </c>
      <c r="E488" s="120">
        <f t="array" ref="E488:E488">IF(F488="","",IFERROR(INDEX('1.職能辭典'!$A:$A,MATCH(F488,'1.職能辭典'!$C:$C,0)),""))</f>
        <v/>
      </c>
      <c r="F488" s="94" t="n"/>
      <c r="G488" s="120">
        <f t="array" ref="G488:G488">IF(OR(D488="",F488=""),"",IFERROR(IF(AND(OR(INDEX('1.職能辭典'!$J:$J,MATCH(F488,'1.職能辭典'!$C:$C,0))="全部",INDEX('3.員工名單'!$H:$H,MATCH(A488,'3.員工名單'!$A:$A,0))="兩款共用",INDEX('3.員工名單'!$H:$H,MATCH(A488,'3.員工名單'!$A:$A,0))=INDEX('1.職能辭典'!$J:$J,MATCH(F488,'1.職能辭典'!$C:$C,0))),OR(INDEX('1.職能辭典'!$K:$K,MATCH(F488,'1.職能辭典'!$C:$C,0))="全部",SUMPRODUCT(ISNUMBER(SEARCH({"經營","管理","財務","企劃","營運","技術","數據","美術","測試","客服"},INDEX('3.員工名單'!$I:$I,MATCH(A488,'3.員工名單'!$A:$A,0))))*ISNUMBER(SEARCH({"經營","管理","財務","企劃","營運","技術","數據","美術","測試","客服"},INDEX('1.職能辭典'!$K:$K,MATCH(F488,'1.職能辭典'!$C:$C,0)))))&gt;0)),INDEX('2.職務職能需求'!$B$2:$F$28,MATCH(F488,'2.職務職能需求'!$A$2:$A$28,0),MATCH(D488,'2.職務職能需求'!$B$1:$F$1,0)),0),""))</f>
        <v/>
      </c>
      <c r="H488" s="94" t="n"/>
      <c r="I488" s="94" t="n"/>
      <c r="J488" s="120">
        <f>IF(OR(G488="",I488="",G488=0),"",I488-G488)</f>
        <v/>
      </c>
      <c r="K488" s="120">
        <f>IF(G488="","",IF(G488=0,"不適用",IF(I488="","待評核",IF(I488&gt;=G488,IF(I488&gt;G488,"超越","達標"),"待發展"))))</f>
        <v/>
      </c>
      <c r="L488" s="91" t="n"/>
      <c r="M488" s="91" t="n"/>
      <c r="N488" s="88" t="n"/>
    </row>
    <row r="489" ht="15.75" customHeight="1" s="64">
      <c r="A489" s="88" t="n"/>
      <c r="B489" s="120">
        <f t="array" ref="B489:B489">IF(A489="","",IFERROR(INDEX('3.員工名單'!$B:$B,MATCH(A489,'3.員工名單'!$A:$A,0)),"查無此員工"))</f>
        <v/>
      </c>
      <c r="C489" s="120">
        <f t="array" ref="C489:C489">IF(A489="","",IFERROR(INDEX('3.員工名單'!$C:$C,MATCH(A489,'3.員工名單'!$A:$A,0)),""))</f>
        <v/>
      </c>
      <c r="D489" s="120">
        <f t="array" ref="D489:D489">IF(A489="","",IFERROR(INDEX('3.員工名單'!$D:$D,MATCH(A489,'3.員工名單'!$A:$A,0)),""))</f>
        <v/>
      </c>
      <c r="E489" s="120">
        <f t="array" ref="E489:E489">IF(F489="","",IFERROR(INDEX('1.職能辭典'!$A:$A,MATCH(F489,'1.職能辭典'!$C:$C,0)),""))</f>
        <v/>
      </c>
      <c r="F489" s="94" t="n"/>
      <c r="G489" s="120">
        <f t="array" ref="G489:G489">IF(OR(D489="",F489=""),"",IFERROR(IF(AND(OR(INDEX('1.職能辭典'!$J:$J,MATCH(F489,'1.職能辭典'!$C:$C,0))="全部",INDEX('3.員工名單'!$H:$H,MATCH(A489,'3.員工名單'!$A:$A,0))="兩款共用",INDEX('3.員工名單'!$H:$H,MATCH(A489,'3.員工名單'!$A:$A,0))=INDEX('1.職能辭典'!$J:$J,MATCH(F489,'1.職能辭典'!$C:$C,0))),OR(INDEX('1.職能辭典'!$K:$K,MATCH(F489,'1.職能辭典'!$C:$C,0))="全部",SUMPRODUCT(ISNUMBER(SEARCH({"經營","管理","財務","企劃","營運","技術","數據","美術","測試","客服"},INDEX('3.員工名單'!$I:$I,MATCH(A489,'3.員工名單'!$A:$A,0))))*ISNUMBER(SEARCH({"經營","管理","財務","企劃","營運","技術","數據","美術","測試","客服"},INDEX('1.職能辭典'!$K:$K,MATCH(F489,'1.職能辭典'!$C:$C,0)))))&gt;0)),INDEX('2.職務職能需求'!$B$2:$F$28,MATCH(F489,'2.職務職能需求'!$A$2:$A$28,0),MATCH(D489,'2.職務職能需求'!$B$1:$F$1,0)),0),""))</f>
        <v/>
      </c>
      <c r="H489" s="94" t="n"/>
      <c r="I489" s="94" t="n"/>
      <c r="J489" s="120">
        <f>IF(OR(G489="",I489="",G489=0),"",I489-G489)</f>
        <v/>
      </c>
      <c r="K489" s="120">
        <f>IF(G489="","",IF(G489=0,"不適用",IF(I489="","待評核",IF(I489&gt;=G489,IF(I489&gt;G489,"超越","達標"),"待發展"))))</f>
        <v/>
      </c>
      <c r="L489" s="91" t="n"/>
      <c r="M489" s="91" t="n"/>
      <c r="N489" s="88" t="n"/>
    </row>
    <row r="490" ht="15.75" customHeight="1" s="64">
      <c r="A490" s="88" t="n"/>
      <c r="B490" s="120">
        <f t="array" ref="B490:B490">IF(A490="","",IFERROR(INDEX('3.員工名單'!$B:$B,MATCH(A490,'3.員工名單'!$A:$A,0)),"查無此員工"))</f>
        <v/>
      </c>
      <c r="C490" s="120">
        <f t="array" ref="C490:C490">IF(A490="","",IFERROR(INDEX('3.員工名單'!$C:$C,MATCH(A490,'3.員工名單'!$A:$A,0)),""))</f>
        <v/>
      </c>
      <c r="D490" s="120">
        <f t="array" ref="D490:D490">IF(A490="","",IFERROR(INDEX('3.員工名單'!$D:$D,MATCH(A490,'3.員工名單'!$A:$A,0)),""))</f>
        <v/>
      </c>
      <c r="E490" s="120">
        <f t="array" ref="E490:E490">IF(F490="","",IFERROR(INDEX('1.職能辭典'!$A:$A,MATCH(F490,'1.職能辭典'!$C:$C,0)),""))</f>
        <v/>
      </c>
      <c r="F490" s="94" t="n"/>
      <c r="G490" s="120">
        <f t="array" ref="G490:G490">IF(OR(D490="",F490=""),"",IFERROR(IF(AND(OR(INDEX('1.職能辭典'!$J:$J,MATCH(F490,'1.職能辭典'!$C:$C,0))="全部",INDEX('3.員工名單'!$H:$H,MATCH(A490,'3.員工名單'!$A:$A,0))="兩款共用",INDEX('3.員工名單'!$H:$H,MATCH(A490,'3.員工名單'!$A:$A,0))=INDEX('1.職能辭典'!$J:$J,MATCH(F490,'1.職能辭典'!$C:$C,0))),OR(INDEX('1.職能辭典'!$K:$K,MATCH(F490,'1.職能辭典'!$C:$C,0))="全部",SUMPRODUCT(ISNUMBER(SEARCH({"經營","管理","財務","企劃","營運","技術","數據","美術","測試","客服"},INDEX('3.員工名單'!$I:$I,MATCH(A490,'3.員工名單'!$A:$A,0))))*ISNUMBER(SEARCH({"經營","管理","財務","企劃","營運","技術","數據","美術","測試","客服"},INDEX('1.職能辭典'!$K:$K,MATCH(F490,'1.職能辭典'!$C:$C,0)))))&gt;0)),INDEX('2.職務職能需求'!$B$2:$F$28,MATCH(F490,'2.職務職能需求'!$A$2:$A$28,0),MATCH(D490,'2.職務職能需求'!$B$1:$F$1,0)),0),""))</f>
        <v/>
      </c>
      <c r="H490" s="94" t="n"/>
      <c r="I490" s="94" t="n"/>
      <c r="J490" s="120">
        <f>IF(OR(G490="",I490="",G490=0),"",I490-G490)</f>
        <v/>
      </c>
      <c r="K490" s="120">
        <f>IF(G490="","",IF(G490=0,"不適用",IF(I490="","待評核",IF(I490&gt;=G490,IF(I490&gt;G490,"超越","達標"),"待發展"))))</f>
        <v/>
      </c>
      <c r="L490" s="91" t="n"/>
      <c r="M490" s="91" t="n"/>
      <c r="N490" s="88" t="n"/>
    </row>
    <row r="491" ht="15.75" customHeight="1" s="64">
      <c r="A491" s="88" t="n"/>
      <c r="B491" s="120">
        <f t="array" ref="B491:B491">IF(A491="","",IFERROR(INDEX('3.員工名單'!$B:$B,MATCH(A491,'3.員工名單'!$A:$A,0)),"查無此員工"))</f>
        <v/>
      </c>
      <c r="C491" s="120">
        <f t="array" ref="C491:C491">IF(A491="","",IFERROR(INDEX('3.員工名單'!$C:$C,MATCH(A491,'3.員工名單'!$A:$A,0)),""))</f>
        <v/>
      </c>
      <c r="D491" s="120">
        <f t="array" ref="D491:D491">IF(A491="","",IFERROR(INDEX('3.員工名單'!$D:$D,MATCH(A491,'3.員工名單'!$A:$A,0)),""))</f>
        <v/>
      </c>
      <c r="E491" s="120">
        <f t="array" ref="E491:E491">IF(F491="","",IFERROR(INDEX('1.職能辭典'!$A:$A,MATCH(F491,'1.職能辭典'!$C:$C,0)),""))</f>
        <v/>
      </c>
      <c r="F491" s="94" t="n"/>
      <c r="G491" s="120">
        <f t="array" ref="G491:G491">IF(OR(D491="",F491=""),"",IFERROR(IF(AND(OR(INDEX('1.職能辭典'!$J:$J,MATCH(F491,'1.職能辭典'!$C:$C,0))="全部",INDEX('3.員工名單'!$H:$H,MATCH(A491,'3.員工名單'!$A:$A,0))="兩款共用",INDEX('3.員工名單'!$H:$H,MATCH(A491,'3.員工名單'!$A:$A,0))=INDEX('1.職能辭典'!$J:$J,MATCH(F491,'1.職能辭典'!$C:$C,0))),OR(INDEX('1.職能辭典'!$K:$K,MATCH(F491,'1.職能辭典'!$C:$C,0))="全部",SUMPRODUCT(ISNUMBER(SEARCH({"經營","管理","財務","企劃","營運","技術","數據","美術","測試","客服"},INDEX('3.員工名單'!$I:$I,MATCH(A491,'3.員工名單'!$A:$A,0))))*ISNUMBER(SEARCH({"經營","管理","財務","企劃","營運","技術","數據","美術","測試","客服"},INDEX('1.職能辭典'!$K:$K,MATCH(F491,'1.職能辭典'!$C:$C,0)))))&gt;0)),INDEX('2.職務職能需求'!$B$2:$F$28,MATCH(F491,'2.職務職能需求'!$A$2:$A$28,0),MATCH(D491,'2.職務職能需求'!$B$1:$F$1,0)),0),""))</f>
        <v/>
      </c>
      <c r="H491" s="94" t="n"/>
      <c r="I491" s="94" t="n"/>
      <c r="J491" s="120">
        <f>IF(OR(G491="",I491="",G491=0),"",I491-G491)</f>
        <v/>
      </c>
      <c r="K491" s="120">
        <f>IF(G491="","",IF(G491=0,"不適用",IF(I491="","待評核",IF(I491&gt;=G491,IF(I491&gt;G491,"超越","達標"),"待發展"))))</f>
        <v/>
      </c>
      <c r="L491" s="91" t="n"/>
      <c r="M491" s="91" t="n"/>
      <c r="N491" s="88" t="n"/>
    </row>
    <row r="492" ht="15.75" customHeight="1" s="64">
      <c r="A492" s="88" t="n"/>
      <c r="B492" s="120">
        <f t="array" ref="B492:B492">IF(A492="","",IFERROR(INDEX('3.員工名單'!$B:$B,MATCH(A492,'3.員工名單'!$A:$A,0)),"查無此員工"))</f>
        <v/>
      </c>
      <c r="C492" s="120">
        <f t="array" ref="C492:C492">IF(A492="","",IFERROR(INDEX('3.員工名單'!$C:$C,MATCH(A492,'3.員工名單'!$A:$A,0)),""))</f>
        <v/>
      </c>
      <c r="D492" s="120">
        <f t="array" ref="D492:D492">IF(A492="","",IFERROR(INDEX('3.員工名單'!$D:$D,MATCH(A492,'3.員工名單'!$A:$A,0)),""))</f>
        <v/>
      </c>
      <c r="E492" s="120">
        <f t="array" ref="E492:E492">IF(F492="","",IFERROR(INDEX('1.職能辭典'!$A:$A,MATCH(F492,'1.職能辭典'!$C:$C,0)),""))</f>
        <v/>
      </c>
      <c r="F492" s="94" t="n"/>
      <c r="G492" s="120">
        <f t="array" ref="G492:G492">IF(OR(D492="",F492=""),"",IFERROR(IF(AND(OR(INDEX('1.職能辭典'!$J:$J,MATCH(F492,'1.職能辭典'!$C:$C,0))="全部",INDEX('3.員工名單'!$H:$H,MATCH(A492,'3.員工名單'!$A:$A,0))="兩款共用",INDEX('3.員工名單'!$H:$H,MATCH(A492,'3.員工名單'!$A:$A,0))=INDEX('1.職能辭典'!$J:$J,MATCH(F492,'1.職能辭典'!$C:$C,0))),OR(INDEX('1.職能辭典'!$K:$K,MATCH(F492,'1.職能辭典'!$C:$C,0))="全部",SUMPRODUCT(ISNUMBER(SEARCH({"經營","管理","財務","企劃","營運","技術","數據","美術","測試","客服"},INDEX('3.員工名單'!$I:$I,MATCH(A492,'3.員工名單'!$A:$A,0))))*ISNUMBER(SEARCH({"經營","管理","財務","企劃","營運","技術","數據","美術","測試","客服"},INDEX('1.職能辭典'!$K:$K,MATCH(F492,'1.職能辭典'!$C:$C,0)))))&gt;0)),INDEX('2.職務職能需求'!$B$2:$F$28,MATCH(F492,'2.職務職能需求'!$A$2:$A$28,0),MATCH(D492,'2.職務職能需求'!$B$1:$F$1,0)),0),""))</f>
        <v/>
      </c>
      <c r="H492" s="94" t="n"/>
      <c r="I492" s="94" t="n"/>
      <c r="J492" s="120">
        <f>IF(OR(G492="",I492="",G492=0),"",I492-G492)</f>
        <v/>
      </c>
      <c r="K492" s="120">
        <f>IF(G492="","",IF(G492=0,"不適用",IF(I492="","待評核",IF(I492&gt;=G492,IF(I492&gt;G492,"超越","達標"),"待發展"))))</f>
        <v/>
      </c>
      <c r="L492" s="91" t="n"/>
      <c r="M492" s="91" t="n"/>
      <c r="N492" s="88" t="n"/>
    </row>
    <row r="493" ht="15.75" customHeight="1" s="64">
      <c r="A493" s="88" t="n"/>
      <c r="B493" s="120">
        <f t="array" ref="B493:B493">IF(A493="","",IFERROR(INDEX('3.員工名單'!$B:$B,MATCH(A493,'3.員工名單'!$A:$A,0)),"查無此員工"))</f>
        <v/>
      </c>
      <c r="C493" s="120">
        <f t="array" ref="C493:C493">IF(A493="","",IFERROR(INDEX('3.員工名單'!$C:$C,MATCH(A493,'3.員工名單'!$A:$A,0)),""))</f>
        <v/>
      </c>
      <c r="D493" s="120">
        <f t="array" ref="D493:D493">IF(A493="","",IFERROR(INDEX('3.員工名單'!$D:$D,MATCH(A493,'3.員工名單'!$A:$A,0)),""))</f>
        <v/>
      </c>
      <c r="E493" s="120">
        <f t="array" ref="E493:E493">IF(F493="","",IFERROR(INDEX('1.職能辭典'!$A:$A,MATCH(F493,'1.職能辭典'!$C:$C,0)),""))</f>
        <v/>
      </c>
      <c r="F493" s="94" t="n"/>
      <c r="G493" s="120">
        <f t="array" ref="G493:G493">IF(OR(D493="",F493=""),"",IFERROR(IF(AND(OR(INDEX('1.職能辭典'!$J:$J,MATCH(F493,'1.職能辭典'!$C:$C,0))="全部",INDEX('3.員工名單'!$H:$H,MATCH(A493,'3.員工名單'!$A:$A,0))="兩款共用",INDEX('3.員工名單'!$H:$H,MATCH(A493,'3.員工名單'!$A:$A,0))=INDEX('1.職能辭典'!$J:$J,MATCH(F493,'1.職能辭典'!$C:$C,0))),OR(INDEX('1.職能辭典'!$K:$K,MATCH(F493,'1.職能辭典'!$C:$C,0))="全部",SUMPRODUCT(ISNUMBER(SEARCH({"經營","管理","財務","企劃","營運","技術","數據","美術","測試","客服"},INDEX('3.員工名單'!$I:$I,MATCH(A493,'3.員工名單'!$A:$A,0))))*ISNUMBER(SEARCH({"經營","管理","財務","企劃","營運","技術","數據","美術","測試","客服"},INDEX('1.職能辭典'!$K:$K,MATCH(F493,'1.職能辭典'!$C:$C,0)))))&gt;0)),INDEX('2.職務職能需求'!$B$2:$F$28,MATCH(F493,'2.職務職能需求'!$A$2:$A$28,0),MATCH(D493,'2.職務職能需求'!$B$1:$F$1,0)),0),""))</f>
        <v/>
      </c>
      <c r="H493" s="94" t="n"/>
      <c r="I493" s="94" t="n"/>
      <c r="J493" s="120">
        <f>IF(OR(G493="",I493="",G493=0),"",I493-G493)</f>
        <v/>
      </c>
      <c r="K493" s="120">
        <f>IF(G493="","",IF(G493=0,"不適用",IF(I493="","待評核",IF(I493&gt;=G493,IF(I493&gt;G493,"超越","達標"),"待發展"))))</f>
        <v/>
      </c>
      <c r="L493" s="91" t="n"/>
      <c r="M493" s="91" t="n"/>
      <c r="N493" s="88" t="n"/>
    </row>
    <row r="494" ht="15.75" customHeight="1" s="64">
      <c r="A494" s="88" t="n"/>
      <c r="B494" s="120">
        <f t="array" ref="B494:B494">IF(A494="","",IFERROR(INDEX('3.員工名單'!$B:$B,MATCH(A494,'3.員工名單'!$A:$A,0)),"查無此員工"))</f>
        <v/>
      </c>
      <c r="C494" s="120">
        <f t="array" ref="C494:C494">IF(A494="","",IFERROR(INDEX('3.員工名單'!$C:$C,MATCH(A494,'3.員工名單'!$A:$A,0)),""))</f>
        <v/>
      </c>
      <c r="D494" s="120">
        <f t="array" ref="D494:D494">IF(A494="","",IFERROR(INDEX('3.員工名單'!$D:$D,MATCH(A494,'3.員工名單'!$A:$A,0)),""))</f>
        <v/>
      </c>
      <c r="E494" s="120">
        <f t="array" ref="E494:E494">IF(F494="","",IFERROR(INDEX('1.職能辭典'!$A:$A,MATCH(F494,'1.職能辭典'!$C:$C,0)),""))</f>
        <v/>
      </c>
      <c r="F494" s="94" t="n"/>
      <c r="G494" s="120">
        <f t="array" ref="G494:G494">IF(OR(D494="",F494=""),"",IFERROR(IF(AND(OR(INDEX('1.職能辭典'!$J:$J,MATCH(F494,'1.職能辭典'!$C:$C,0))="全部",INDEX('3.員工名單'!$H:$H,MATCH(A494,'3.員工名單'!$A:$A,0))="兩款共用",INDEX('3.員工名單'!$H:$H,MATCH(A494,'3.員工名單'!$A:$A,0))=INDEX('1.職能辭典'!$J:$J,MATCH(F494,'1.職能辭典'!$C:$C,0))),OR(INDEX('1.職能辭典'!$K:$K,MATCH(F494,'1.職能辭典'!$C:$C,0))="全部",SUMPRODUCT(ISNUMBER(SEARCH({"經營","管理","財務","企劃","營運","技術","數據","美術","測試","客服"},INDEX('3.員工名單'!$I:$I,MATCH(A494,'3.員工名單'!$A:$A,0))))*ISNUMBER(SEARCH({"經營","管理","財務","企劃","營運","技術","數據","美術","測試","客服"},INDEX('1.職能辭典'!$K:$K,MATCH(F494,'1.職能辭典'!$C:$C,0)))))&gt;0)),INDEX('2.職務職能需求'!$B$2:$F$28,MATCH(F494,'2.職務職能需求'!$A$2:$A$28,0),MATCH(D494,'2.職務職能需求'!$B$1:$F$1,0)),0),""))</f>
        <v/>
      </c>
      <c r="H494" s="94" t="n"/>
      <c r="I494" s="94" t="n"/>
      <c r="J494" s="120">
        <f>IF(OR(G494="",I494="",G494=0),"",I494-G494)</f>
        <v/>
      </c>
      <c r="K494" s="120">
        <f>IF(G494="","",IF(G494=0,"不適用",IF(I494="","待評核",IF(I494&gt;=G494,IF(I494&gt;G494,"超越","達標"),"待發展"))))</f>
        <v/>
      </c>
      <c r="L494" s="91" t="n"/>
      <c r="M494" s="91" t="n"/>
      <c r="N494" s="88" t="n"/>
    </row>
    <row r="495" ht="15.75" customHeight="1" s="64">
      <c r="A495" s="88" t="n"/>
      <c r="B495" s="120">
        <f t="array" ref="B495:B495">IF(A495="","",IFERROR(INDEX('3.員工名單'!$B:$B,MATCH(A495,'3.員工名單'!$A:$A,0)),"查無此員工"))</f>
        <v/>
      </c>
      <c r="C495" s="120">
        <f t="array" ref="C495:C495">IF(A495="","",IFERROR(INDEX('3.員工名單'!$C:$C,MATCH(A495,'3.員工名單'!$A:$A,0)),""))</f>
        <v/>
      </c>
      <c r="D495" s="120">
        <f t="array" ref="D495:D495">IF(A495="","",IFERROR(INDEX('3.員工名單'!$D:$D,MATCH(A495,'3.員工名單'!$A:$A,0)),""))</f>
        <v/>
      </c>
      <c r="E495" s="120">
        <f t="array" ref="E495:E495">IF(F495="","",IFERROR(INDEX('1.職能辭典'!$A:$A,MATCH(F495,'1.職能辭典'!$C:$C,0)),""))</f>
        <v/>
      </c>
      <c r="F495" s="94" t="n"/>
      <c r="G495" s="120">
        <f t="array" ref="G495:G495">IF(OR(D495="",F495=""),"",IFERROR(IF(AND(OR(INDEX('1.職能辭典'!$J:$J,MATCH(F495,'1.職能辭典'!$C:$C,0))="全部",INDEX('3.員工名單'!$H:$H,MATCH(A495,'3.員工名單'!$A:$A,0))="兩款共用",INDEX('3.員工名單'!$H:$H,MATCH(A495,'3.員工名單'!$A:$A,0))=INDEX('1.職能辭典'!$J:$J,MATCH(F495,'1.職能辭典'!$C:$C,0))),OR(INDEX('1.職能辭典'!$K:$K,MATCH(F495,'1.職能辭典'!$C:$C,0))="全部",SUMPRODUCT(ISNUMBER(SEARCH({"經營","管理","財務","企劃","營運","技術","數據","美術","測試","客服"},INDEX('3.員工名單'!$I:$I,MATCH(A495,'3.員工名單'!$A:$A,0))))*ISNUMBER(SEARCH({"經營","管理","財務","企劃","營運","技術","數據","美術","測試","客服"},INDEX('1.職能辭典'!$K:$K,MATCH(F495,'1.職能辭典'!$C:$C,0)))))&gt;0)),INDEX('2.職務職能需求'!$B$2:$F$28,MATCH(F495,'2.職務職能需求'!$A$2:$A$28,0),MATCH(D495,'2.職務職能需求'!$B$1:$F$1,0)),0),""))</f>
        <v/>
      </c>
      <c r="H495" s="94" t="n"/>
      <c r="I495" s="94" t="n"/>
      <c r="J495" s="120">
        <f>IF(OR(G495="",I495="",G495=0),"",I495-G495)</f>
        <v/>
      </c>
      <c r="K495" s="120">
        <f>IF(G495="","",IF(G495=0,"不適用",IF(I495="","待評核",IF(I495&gt;=G495,IF(I495&gt;G495,"超越","達標"),"待發展"))))</f>
        <v/>
      </c>
      <c r="L495" s="91" t="n"/>
      <c r="M495" s="91" t="n"/>
      <c r="N495" s="88" t="n"/>
    </row>
    <row r="496" ht="15.75" customHeight="1" s="64">
      <c r="A496" s="88" t="n"/>
      <c r="B496" s="120">
        <f t="array" ref="B496:B496">IF(A496="","",IFERROR(INDEX('3.員工名單'!$B:$B,MATCH(A496,'3.員工名單'!$A:$A,0)),"查無此員工"))</f>
        <v/>
      </c>
      <c r="C496" s="120">
        <f t="array" ref="C496:C496">IF(A496="","",IFERROR(INDEX('3.員工名單'!$C:$C,MATCH(A496,'3.員工名單'!$A:$A,0)),""))</f>
        <v/>
      </c>
      <c r="D496" s="120">
        <f t="array" ref="D496:D496">IF(A496="","",IFERROR(INDEX('3.員工名單'!$D:$D,MATCH(A496,'3.員工名單'!$A:$A,0)),""))</f>
        <v/>
      </c>
      <c r="E496" s="120">
        <f t="array" ref="E496:E496">IF(F496="","",IFERROR(INDEX('1.職能辭典'!$A:$A,MATCH(F496,'1.職能辭典'!$C:$C,0)),""))</f>
        <v/>
      </c>
      <c r="F496" s="94" t="n"/>
      <c r="G496" s="120">
        <f t="array" ref="G496:G496">IF(OR(D496="",F496=""),"",IFERROR(IF(AND(OR(INDEX('1.職能辭典'!$J:$J,MATCH(F496,'1.職能辭典'!$C:$C,0))="全部",INDEX('3.員工名單'!$H:$H,MATCH(A496,'3.員工名單'!$A:$A,0))="兩款共用",INDEX('3.員工名單'!$H:$H,MATCH(A496,'3.員工名單'!$A:$A,0))=INDEX('1.職能辭典'!$J:$J,MATCH(F496,'1.職能辭典'!$C:$C,0))),OR(INDEX('1.職能辭典'!$K:$K,MATCH(F496,'1.職能辭典'!$C:$C,0))="全部",SUMPRODUCT(ISNUMBER(SEARCH({"經營","管理","財務","企劃","營運","技術","數據","美術","測試","客服"},INDEX('3.員工名單'!$I:$I,MATCH(A496,'3.員工名單'!$A:$A,0))))*ISNUMBER(SEARCH({"經營","管理","財務","企劃","營運","技術","數據","美術","測試","客服"},INDEX('1.職能辭典'!$K:$K,MATCH(F496,'1.職能辭典'!$C:$C,0)))))&gt;0)),INDEX('2.職務職能需求'!$B$2:$F$28,MATCH(F496,'2.職務職能需求'!$A$2:$A$28,0),MATCH(D496,'2.職務職能需求'!$B$1:$F$1,0)),0),""))</f>
        <v/>
      </c>
      <c r="H496" s="94" t="n"/>
      <c r="I496" s="94" t="n"/>
      <c r="J496" s="120">
        <f>IF(OR(G496="",I496="",G496=0),"",I496-G496)</f>
        <v/>
      </c>
      <c r="K496" s="120">
        <f>IF(G496="","",IF(G496=0,"不適用",IF(I496="","待評核",IF(I496&gt;=G496,IF(I496&gt;G496,"超越","達標"),"待發展"))))</f>
        <v/>
      </c>
      <c r="L496" s="91" t="n"/>
      <c r="M496" s="91" t="n"/>
      <c r="N496" s="88" t="n"/>
    </row>
    <row r="497" ht="15.75" customHeight="1" s="64">
      <c r="A497" s="88" t="n"/>
      <c r="B497" s="120">
        <f t="array" ref="B497:B497">IF(A497="","",IFERROR(INDEX('3.員工名單'!$B:$B,MATCH(A497,'3.員工名單'!$A:$A,0)),"查無此員工"))</f>
        <v/>
      </c>
      <c r="C497" s="120">
        <f t="array" ref="C497:C497">IF(A497="","",IFERROR(INDEX('3.員工名單'!$C:$C,MATCH(A497,'3.員工名單'!$A:$A,0)),""))</f>
        <v/>
      </c>
      <c r="D497" s="120">
        <f t="array" ref="D497:D497">IF(A497="","",IFERROR(INDEX('3.員工名單'!$D:$D,MATCH(A497,'3.員工名單'!$A:$A,0)),""))</f>
        <v/>
      </c>
      <c r="E497" s="120">
        <f t="array" ref="E497:E497">IF(F497="","",IFERROR(INDEX('1.職能辭典'!$A:$A,MATCH(F497,'1.職能辭典'!$C:$C,0)),""))</f>
        <v/>
      </c>
      <c r="F497" s="94" t="n"/>
      <c r="G497" s="120">
        <f t="array" ref="G497:G497">IF(OR(D497="",F497=""),"",IFERROR(IF(AND(OR(INDEX('1.職能辭典'!$J:$J,MATCH(F497,'1.職能辭典'!$C:$C,0))="全部",INDEX('3.員工名單'!$H:$H,MATCH(A497,'3.員工名單'!$A:$A,0))="兩款共用",INDEX('3.員工名單'!$H:$H,MATCH(A497,'3.員工名單'!$A:$A,0))=INDEX('1.職能辭典'!$J:$J,MATCH(F497,'1.職能辭典'!$C:$C,0))),OR(INDEX('1.職能辭典'!$K:$K,MATCH(F497,'1.職能辭典'!$C:$C,0))="全部",SUMPRODUCT(ISNUMBER(SEARCH({"經營","管理","財務","企劃","營運","技術","數據","美術","測試","客服"},INDEX('3.員工名單'!$I:$I,MATCH(A497,'3.員工名單'!$A:$A,0))))*ISNUMBER(SEARCH({"經營","管理","財務","企劃","營運","技術","數據","美術","測試","客服"},INDEX('1.職能辭典'!$K:$K,MATCH(F497,'1.職能辭典'!$C:$C,0)))))&gt;0)),INDEX('2.職務職能需求'!$B$2:$F$28,MATCH(F497,'2.職務職能需求'!$A$2:$A$28,0),MATCH(D497,'2.職務職能需求'!$B$1:$F$1,0)),0),""))</f>
        <v/>
      </c>
      <c r="H497" s="94" t="n"/>
      <c r="I497" s="94" t="n"/>
      <c r="J497" s="120">
        <f>IF(OR(G497="",I497="",G497=0),"",I497-G497)</f>
        <v/>
      </c>
      <c r="K497" s="120">
        <f>IF(G497="","",IF(G497=0,"不適用",IF(I497="","待評核",IF(I497&gt;=G497,IF(I497&gt;G497,"超越","達標"),"待發展"))))</f>
        <v/>
      </c>
      <c r="L497" s="91" t="n"/>
      <c r="M497" s="91" t="n"/>
      <c r="N497" s="88" t="n"/>
    </row>
    <row r="498" ht="15.75" customHeight="1" s="64">
      <c r="A498" s="88" t="n"/>
      <c r="B498" s="120">
        <f t="array" ref="B498:B498">IF(A498="","",IFERROR(INDEX('3.員工名單'!$B:$B,MATCH(A498,'3.員工名單'!$A:$A,0)),"查無此員工"))</f>
        <v/>
      </c>
      <c r="C498" s="120">
        <f t="array" ref="C498:C498">IF(A498="","",IFERROR(INDEX('3.員工名單'!$C:$C,MATCH(A498,'3.員工名單'!$A:$A,0)),""))</f>
        <v/>
      </c>
      <c r="D498" s="120">
        <f t="array" ref="D498:D498">IF(A498="","",IFERROR(INDEX('3.員工名單'!$D:$D,MATCH(A498,'3.員工名單'!$A:$A,0)),""))</f>
        <v/>
      </c>
      <c r="E498" s="120">
        <f t="array" ref="E498:E498">IF(F498="","",IFERROR(INDEX('1.職能辭典'!$A:$A,MATCH(F498,'1.職能辭典'!$C:$C,0)),""))</f>
        <v/>
      </c>
      <c r="F498" s="94" t="n"/>
      <c r="G498" s="120">
        <f t="array" ref="G498:G498">IF(OR(D498="",F498=""),"",IFERROR(IF(AND(OR(INDEX('1.職能辭典'!$J:$J,MATCH(F498,'1.職能辭典'!$C:$C,0))="全部",INDEX('3.員工名單'!$H:$H,MATCH(A498,'3.員工名單'!$A:$A,0))="兩款共用",INDEX('3.員工名單'!$H:$H,MATCH(A498,'3.員工名單'!$A:$A,0))=INDEX('1.職能辭典'!$J:$J,MATCH(F498,'1.職能辭典'!$C:$C,0))),OR(INDEX('1.職能辭典'!$K:$K,MATCH(F498,'1.職能辭典'!$C:$C,0))="全部",SUMPRODUCT(ISNUMBER(SEARCH({"經營","管理","財務","企劃","營運","技術","數據","美術","測試","客服"},INDEX('3.員工名單'!$I:$I,MATCH(A498,'3.員工名單'!$A:$A,0))))*ISNUMBER(SEARCH({"經營","管理","財務","企劃","營運","技術","數據","美術","測試","客服"},INDEX('1.職能辭典'!$K:$K,MATCH(F498,'1.職能辭典'!$C:$C,0)))))&gt;0)),INDEX('2.職務職能需求'!$B$2:$F$28,MATCH(F498,'2.職務職能需求'!$A$2:$A$28,0),MATCH(D498,'2.職務職能需求'!$B$1:$F$1,0)),0),""))</f>
        <v/>
      </c>
      <c r="H498" s="94" t="n"/>
      <c r="I498" s="94" t="n"/>
      <c r="J498" s="120">
        <f>IF(OR(G498="",I498="",G498=0),"",I498-G498)</f>
        <v/>
      </c>
      <c r="K498" s="120">
        <f>IF(G498="","",IF(G498=0,"不適用",IF(I498="","待評核",IF(I498&gt;=G498,IF(I498&gt;G498,"超越","達標"),"待發展"))))</f>
        <v/>
      </c>
      <c r="L498" s="91" t="n"/>
      <c r="M498" s="91" t="n"/>
      <c r="N498" s="88" t="n"/>
    </row>
    <row r="499" ht="15.75" customHeight="1" s="64">
      <c r="A499" s="88" t="n"/>
      <c r="B499" s="120">
        <f t="array" ref="B499:B499">IF(A499="","",IFERROR(INDEX('3.員工名單'!$B:$B,MATCH(A499,'3.員工名單'!$A:$A,0)),"查無此員工"))</f>
        <v/>
      </c>
      <c r="C499" s="120">
        <f t="array" ref="C499:C499">IF(A499="","",IFERROR(INDEX('3.員工名單'!$C:$C,MATCH(A499,'3.員工名單'!$A:$A,0)),""))</f>
        <v/>
      </c>
      <c r="D499" s="120">
        <f t="array" ref="D499:D499">IF(A499="","",IFERROR(INDEX('3.員工名單'!$D:$D,MATCH(A499,'3.員工名單'!$A:$A,0)),""))</f>
        <v/>
      </c>
      <c r="E499" s="120">
        <f t="array" ref="E499:E499">IF(F499="","",IFERROR(INDEX('1.職能辭典'!$A:$A,MATCH(F499,'1.職能辭典'!$C:$C,0)),""))</f>
        <v/>
      </c>
      <c r="F499" s="94" t="n"/>
      <c r="G499" s="120">
        <f t="array" ref="G499:G499">IF(OR(D499="",F499=""),"",IFERROR(IF(AND(OR(INDEX('1.職能辭典'!$J:$J,MATCH(F499,'1.職能辭典'!$C:$C,0))="全部",INDEX('3.員工名單'!$H:$H,MATCH(A499,'3.員工名單'!$A:$A,0))="兩款共用",INDEX('3.員工名單'!$H:$H,MATCH(A499,'3.員工名單'!$A:$A,0))=INDEX('1.職能辭典'!$J:$J,MATCH(F499,'1.職能辭典'!$C:$C,0))),OR(INDEX('1.職能辭典'!$K:$K,MATCH(F499,'1.職能辭典'!$C:$C,0))="全部",SUMPRODUCT(ISNUMBER(SEARCH({"經營","管理","財務","企劃","營運","技術","數據","美術","測試","客服"},INDEX('3.員工名單'!$I:$I,MATCH(A499,'3.員工名單'!$A:$A,0))))*ISNUMBER(SEARCH({"經營","管理","財務","企劃","營運","技術","數據","美術","測試","客服"},INDEX('1.職能辭典'!$K:$K,MATCH(F499,'1.職能辭典'!$C:$C,0)))))&gt;0)),INDEX('2.職務職能需求'!$B$2:$F$28,MATCH(F499,'2.職務職能需求'!$A$2:$A$28,0),MATCH(D499,'2.職務職能需求'!$B$1:$F$1,0)),0),""))</f>
        <v/>
      </c>
      <c r="H499" s="94" t="n"/>
      <c r="I499" s="94" t="n"/>
      <c r="J499" s="120">
        <f>IF(OR(G499="",I499="",G499=0),"",I499-G499)</f>
        <v/>
      </c>
      <c r="K499" s="120">
        <f>IF(G499="","",IF(G499=0,"不適用",IF(I499="","待評核",IF(I499&gt;=G499,IF(I499&gt;G499,"超越","達標"),"待發展"))))</f>
        <v/>
      </c>
      <c r="L499" s="91" t="n"/>
      <c r="M499" s="91" t="n"/>
      <c r="N499" s="88" t="n"/>
    </row>
    <row r="500" ht="15.75" customHeight="1" s="64">
      <c r="A500" s="88" t="n"/>
      <c r="B500" s="120">
        <f t="array" ref="B500:B500">IF(A500="","",IFERROR(INDEX('3.員工名單'!$B:$B,MATCH(A500,'3.員工名單'!$A:$A,0)),"查無此員工"))</f>
        <v/>
      </c>
      <c r="C500" s="120">
        <f t="array" ref="C500:C500">IF(A500="","",IFERROR(INDEX('3.員工名單'!$C:$C,MATCH(A500,'3.員工名單'!$A:$A,0)),""))</f>
        <v/>
      </c>
      <c r="D500" s="120">
        <f t="array" ref="D500:D500">IF(A500="","",IFERROR(INDEX('3.員工名單'!$D:$D,MATCH(A500,'3.員工名單'!$A:$A,0)),""))</f>
        <v/>
      </c>
      <c r="E500" s="120">
        <f t="array" ref="E500:E500">IF(F500="","",IFERROR(INDEX('1.職能辭典'!$A:$A,MATCH(F500,'1.職能辭典'!$C:$C,0)),""))</f>
        <v/>
      </c>
      <c r="F500" s="94" t="n"/>
      <c r="G500" s="120">
        <f t="array" ref="G500:G500">IF(OR(D500="",F500=""),"",IFERROR(IF(AND(OR(INDEX('1.職能辭典'!$J:$J,MATCH(F500,'1.職能辭典'!$C:$C,0))="全部",INDEX('3.員工名單'!$H:$H,MATCH(A500,'3.員工名單'!$A:$A,0))="兩款共用",INDEX('3.員工名單'!$H:$H,MATCH(A500,'3.員工名單'!$A:$A,0))=INDEX('1.職能辭典'!$J:$J,MATCH(F500,'1.職能辭典'!$C:$C,0))),OR(INDEX('1.職能辭典'!$K:$K,MATCH(F500,'1.職能辭典'!$C:$C,0))="全部",SUMPRODUCT(ISNUMBER(SEARCH({"經營","管理","財務","企劃","營運","技術","數據","美術","測試","客服"},INDEX('3.員工名單'!$I:$I,MATCH(A500,'3.員工名單'!$A:$A,0))))*ISNUMBER(SEARCH({"經營","管理","財務","企劃","營運","技術","數據","美術","測試","客服"},INDEX('1.職能辭典'!$K:$K,MATCH(F500,'1.職能辭典'!$C:$C,0)))))&gt;0)),INDEX('2.職務職能需求'!$B$2:$F$28,MATCH(F500,'2.職務職能需求'!$A$2:$A$28,0),MATCH(D500,'2.職務職能需求'!$B$1:$F$1,0)),0),""))</f>
        <v/>
      </c>
      <c r="H500" s="94" t="n"/>
      <c r="I500" s="94" t="n"/>
      <c r="J500" s="120">
        <f>IF(OR(G500="",I500="",G500=0),"",I500-G500)</f>
        <v/>
      </c>
      <c r="K500" s="120">
        <f>IF(G500="","",IF(G500=0,"不適用",IF(I500="","待評核",IF(I500&gt;=G500,IF(I500&gt;G500,"超越","達標"),"待發展"))))</f>
        <v/>
      </c>
      <c r="L500" s="91" t="n"/>
      <c r="M500" s="91" t="n"/>
      <c r="N500" s="88" t="n"/>
    </row>
    <row r="501" ht="15.75" customHeight="1" s="64">
      <c r="A501" s="88" t="n"/>
      <c r="B501" s="120">
        <f t="array" ref="B501:B501">IF(A501="","",IFERROR(INDEX('3.員工名單'!$B:$B,MATCH(A501,'3.員工名單'!$A:$A,0)),"查無此員工"))</f>
        <v/>
      </c>
      <c r="C501" s="120">
        <f t="array" ref="C501:C501">IF(A501="","",IFERROR(INDEX('3.員工名單'!$C:$C,MATCH(A501,'3.員工名單'!$A:$A,0)),""))</f>
        <v/>
      </c>
      <c r="D501" s="120">
        <f t="array" ref="D501:D501">IF(A501="","",IFERROR(INDEX('3.員工名單'!$D:$D,MATCH(A501,'3.員工名單'!$A:$A,0)),""))</f>
        <v/>
      </c>
      <c r="E501" s="120">
        <f t="array" ref="E501:E501">IF(F501="","",IFERROR(INDEX('1.職能辭典'!$A:$A,MATCH(F501,'1.職能辭典'!$C:$C,0)),""))</f>
        <v/>
      </c>
      <c r="F501" s="94" t="n"/>
      <c r="G501" s="120">
        <f t="array" ref="G501:G501">IF(OR(D501="",F501=""),"",IFERROR(IF(AND(OR(INDEX('1.職能辭典'!$J:$J,MATCH(F501,'1.職能辭典'!$C:$C,0))="全部",INDEX('3.員工名單'!$H:$H,MATCH(A501,'3.員工名單'!$A:$A,0))="兩款共用",INDEX('3.員工名單'!$H:$H,MATCH(A501,'3.員工名單'!$A:$A,0))=INDEX('1.職能辭典'!$J:$J,MATCH(F501,'1.職能辭典'!$C:$C,0))),OR(INDEX('1.職能辭典'!$K:$K,MATCH(F501,'1.職能辭典'!$C:$C,0))="全部",SUMPRODUCT(ISNUMBER(SEARCH({"經營","管理","財務","企劃","營運","技術","數據","美術","測試","客服"},INDEX('3.員工名單'!$I:$I,MATCH(A501,'3.員工名單'!$A:$A,0))))*ISNUMBER(SEARCH({"經營","管理","財務","企劃","營運","技術","數據","美術","測試","客服"},INDEX('1.職能辭典'!$K:$K,MATCH(F501,'1.職能辭典'!$C:$C,0)))))&gt;0)),INDEX('2.職務職能需求'!$B$2:$F$28,MATCH(F501,'2.職務職能需求'!$A$2:$A$28,0),MATCH(D501,'2.職務職能需求'!$B$1:$F$1,0)),0),""))</f>
        <v/>
      </c>
      <c r="H501" s="94" t="n"/>
      <c r="I501" s="94" t="n"/>
      <c r="J501" s="120">
        <f>IF(OR(G501="",I501="",G501=0),"",I501-G501)</f>
        <v/>
      </c>
      <c r="K501" s="120">
        <f>IF(G501="","",IF(G501=0,"不適用",IF(I501="","待評核",IF(I501&gt;=G501,IF(I501&gt;G501,"超越","達標"),"待發展"))))</f>
        <v/>
      </c>
      <c r="L501" s="91" t="n"/>
      <c r="M501" s="91" t="n"/>
      <c r="N501" s="88" t="n"/>
    </row>
    <row r="502" ht="15.75" customHeight="1" s="64">
      <c r="A502" s="88" t="n"/>
      <c r="B502" s="120">
        <f t="array" ref="B502:B502">IF(A502="","",IFERROR(INDEX('3.員工名單'!$B:$B,MATCH(A502,'3.員工名單'!$A:$A,0)),"查無此員工"))</f>
        <v/>
      </c>
      <c r="C502" s="120">
        <f t="array" ref="C502:C502">IF(A502="","",IFERROR(INDEX('3.員工名單'!$C:$C,MATCH(A502,'3.員工名單'!$A:$A,0)),""))</f>
        <v/>
      </c>
      <c r="D502" s="120">
        <f t="array" ref="D502:D502">IF(A502="","",IFERROR(INDEX('3.員工名單'!$D:$D,MATCH(A502,'3.員工名單'!$A:$A,0)),""))</f>
        <v/>
      </c>
      <c r="E502" s="120">
        <f t="array" ref="E502:E502">IF(F502="","",IFERROR(INDEX('1.職能辭典'!$A:$A,MATCH(F502,'1.職能辭典'!$C:$C,0)),""))</f>
        <v/>
      </c>
      <c r="F502" s="94" t="n"/>
      <c r="G502" s="120">
        <f t="array" ref="G502:G502">IF(OR(D502="",F502=""),"",IFERROR(IF(AND(OR(INDEX('1.職能辭典'!$J:$J,MATCH(F502,'1.職能辭典'!$C:$C,0))="全部",INDEX('3.員工名單'!$H:$H,MATCH(A502,'3.員工名單'!$A:$A,0))="兩款共用",INDEX('3.員工名單'!$H:$H,MATCH(A502,'3.員工名單'!$A:$A,0))=INDEX('1.職能辭典'!$J:$J,MATCH(F502,'1.職能辭典'!$C:$C,0))),OR(INDEX('1.職能辭典'!$K:$K,MATCH(F502,'1.職能辭典'!$C:$C,0))="全部",SUMPRODUCT(ISNUMBER(SEARCH({"經營","管理","財務","企劃","營運","技術","數據","美術","測試","客服"},INDEX('3.員工名單'!$I:$I,MATCH(A502,'3.員工名單'!$A:$A,0))))*ISNUMBER(SEARCH({"經營","管理","財務","企劃","營運","技術","數據","美術","測試","客服"},INDEX('1.職能辭典'!$K:$K,MATCH(F502,'1.職能辭典'!$C:$C,0)))))&gt;0)),INDEX('2.職務職能需求'!$B$2:$F$28,MATCH(F502,'2.職務職能需求'!$A$2:$A$28,0),MATCH(D502,'2.職務職能需求'!$B$1:$F$1,0)),0),""))</f>
        <v/>
      </c>
      <c r="H502" s="94" t="n"/>
      <c r="I502" s="94" t="n"/>
      <c r="J502" s="120">
        <f>IF(OR(G502="",I502="",G502=0),"",I502-G502)</f>
        <v/>
      </c>
      <c r="K502" s="120">
        <f>IF(G502="","",IF(G502=0,"不適用",IF(I502="","待評核",IF(I502&gt;=G502,IF(I502&gt;G502,"超越","達標"),"待發展"))))</f>
        <v/>
      </c>
      <c r="L502" s="91" t="n"/>
      <c r="M502" s="91" t="n"/>
      <c r="N502" s="88" t="n"/>
    </row>
    <row r="503" ht="15.75" customHeight="1" s="64">
      <c r="A503" s="88" t="n"/>
      <c r="B503" s="120">
        <f t="array" ref="B503:B503">IF(A503="","",IFERROR(INDEX('3.員工名單'!$B:$B,MATCH(A503,'3.員工名單'!$A:$A,0)),"查無此員工"))</f>
        <v/>
      </c>
      <c r="C503" s="120">
        <f t="array" ref="C503:C503">IF(A503="","",IFERROR(INDEX('3.員工名單'!$C:$C,MATCH(A503,'3.員工名單'!$A:$A,0)),""))</f>
        <v/>
      </c>
      <c r="D503" s="120">
        <f t="array" ref="D503:D503">IF(A503="","",IFERROR(INDEX('3.員工名單'!$D:$D,MATCH(A503,'3.員工名單'!$A:$A,0)),""))</f>
        <v/>
      </c>
      <c r="E503" s="120">
        <f t="array" ref="E503:E503">IF(F503="","",IFERROR(INDEX('1.職能辭典'!$A:$A,MATCH(F503,'1.職能辭典'!$C:$C,0)),""))</f>
        <v/>
      </c>
      <c r="F503" s="94" t="n"/>
      <c r="G503" s="120">
        <f t="array" ref="G503:G503">IF(OR(D503="",F503=""),"",IFERROR(IF(AND(OR(INDEX('1.職能辭典'!$J:$J,MATCH(F503,'1.職能辭典'!$C:$C,0))="全部",INDEX('3.員工名單'!$H:$H,MATCH(A503,'3.員工名單'!$A:$A,0))="兩款共用",INDEX('3.員工名單'!$H:$H,MATCH(A503,'3.員工名單'!$A:$A,0))=INDEX('1.職能辭典'!$J:$J,MATCH(F503,'1.職能辭典'!$C:$C,0))),OR(INDEX('1.職能辭典'!$K:$K,MATCH(F503,'1.職能辭典'!$C:$C,0))="全部",SUMPRODUCT(ISNUMBER(SEARCH({"經營","管理","財務","企劃","營運","技術","數據","美術","測試","客服"},INDEX('3.員工名單'!$I:$I,MATCH(A503,'3.員工名單'!$A:$A,0))))*ISNUMBER(SEARCH({"經營","管理","財務","企劃","營運","技術","數據","美術","測試","客服"},INDEX('1.職能辭典'!$K:$K,MATCH(F503,'1.職能辭典'!$C:$C,0)))))&gt;0)),INDEX('2.職務職能需求'!$B$2:$F$28,MATCH(F503,'2.職務職能需求'!$A$2:$A$28,0),MATCH(D503,'2.職務職能需求'!$B$1:$F$1,0)),0),""))</f>
        <v/>
      </c>
      <c r="H503" s="94" t="n"/>
      <c r="I503" s="94" t="n"/>
      <c r="J503" s="120">
        <f>IF(OR(G503="",I503="",G503=0),"",I503-G503)</f>
        <v/>
      </c>
      <c r="K503" s="120">
        <f>IF(G503="","",IF(G503=0,"不適用",IF(I503="","待評核",IF(I503&gt;=G503,IF(I503&gt;G503,"超越","達標"),"待發展"))))</f>
        <v/>
      </c>
      <c r="L503" s="91" t="n"/>
      <c r="M503" s="91" t="n"/>
      <c r="N503" s="88" t="n"/>
    </row>
    <row r="504" ht="15.75" customHeight="1" s="64">
      <c r="A504" s="88" t="n"/>
      <c r="B504" s="120">
        <f t="array" ref="B504:B504">IF(A504="","",IFERROR(INDEX('3.員工名單'!$B:$B,MATCH(A504,'3.員工名單'!$A:$A,0)),"查無此員工"))</f>
        <v/>
      </c>
      <c r="C504" s="120">
        <f t="array" ref="C504:C504">IF(A504="","",IFERROR(INDEX('3.員工名單'!$C:$C,MATCH(A504,'3.員工名單'!$A:$A,0)),""))</f>
        <v/>
      </c>
      <c r="D504" s="120">
        <f t="array" ref="D504:D504">IF(A504="","",IFERROR(INDEX('3.員工名單'!$D:$D,MATCH(A504,'3.員工名單'!$A:$A,0)),""))</f>
        <v/>
      </c>
      <c r="E504" s="120">
        <f t="array" ref="E504:E504">IF(F504="","",IFERROR(INDEX('1.職能辭典'!$A:$A,MATCH(F504,'1.職能辭典'!$C:$C,0)),""))</f>
        <v/>
      </c>
      <c r="F504" s="94" t="n"/>
      <c r="G504" s="120">
        <f t="array" ref="G504:G504">IF(OR(D504="",F504=""),"",IFERROR(IF(AND(OR(INDEX('1.職能辭典'!$J:$J,MATCH(F504,'1.職能辭典'!$C:$C,0))="全部",INDEX('3.員工名單'!$H:$H,MATCH(A504,'3.員工名單'!$A:$A,0))="兩款共用",INDEX('3.員工名單'!$H:$H,MATCH(A504,'3.員工名單'!$A:$A,0))=INDEX('1.職能辭典'!$J:$J,MATCH(F504,'1.職能辭典'!$C:$C,0))),OR(INDEX('1.職能辭典'!$K:$K,MATCH(F504,'1.職能辭典'!$C:$C,0))="全部",SUMPRODUCT(ISNUMBER(SEARCH({"經營","管理","財務","企劃","營運","技術","數據","美術","測試","客服"},INDEX('3.員工名單'!$I:$I,MATCH(A504,'3.員工名單'!$A:$A,0))))*ISNUMBER(SEARCH({"經營","管理","財務","企劃","營運","技術","數據","美術","測試","客服"},INDEX('1.職能辭典'!$K:$K,MATCH(F504,'1.職能辭典'!$C:$C,0)))))&gt;0)),INDEX('2.職務職能需求'!$B$2:$F$28,MATCH(F504,'2.職務職能需求'!$A$2:$A$28,0),MATCH(D504,'2.職務職能需求'!$B$1:$F$1,0)),0),""))</f>
        <v/>
      </c>
      <c r="H504" s="94" t="n"/>
      <c r="I504" s="94" t="n"/>
      <c r="J504" s="120">
        <f>IF(OR(G504="",I504="",G504=0),"",I504-G504)</f>
        <v/>
      </c>
      <c r="K504" s="120">
        <f>IF(G504="","",IF(G504=0,"不適用",IF(I504="","待評核",IF(I504&gt;=G504,IF(I504&gt;G504,"超越","達標"),"待發展"))))</f>
        <v/>
      </c>
      <c r="L504" s="91" t="n"/>
      <c r="M504" s="91" t="n"/>
      <c r="N504" s="88" t="n"/>
    </row>
    <row r="505" ht="15.75" customHeight="1" s="64">
      <c r="A505" s="88" t="n"/>
      <c r="B505" s="120">
        <f t="array" ref="B505:B505">IF(A505="","",IFERROR(INDEX('3.員工名單'!$B:$B,MATCH(A505,'3.員工名單'!$A:$A,0)),"查無此員工"))</f>
        <v/>
      </c>
      <c r="C505" s="120">
        <f t="array" ref="C505:C505">IF(A505="","",IFERROR(INDEX('3.員工名單'!$C:$C,MATCH(A505,'3.員工名單'!$A:$A,0)),""))</f>
        <v/>
      </c>
      <c r="D505" s="120">
        <f t="array" ref="D505:D505">IF(A505="","",IFERROR(INDEX('3.員工名單'!$D:$D,MATCH(A505,'3.員工名單'!$A:$A,0)),""))</f>
        <v/>
      </c>
      <c r="E505" s="120">
        <f t="array" ref="E505:E505">IF(F505="","",IFERROR(INDEX('1.職能辭典'!$A:$A,MATCH(F505,'1.職能辭典'!$C:$C,0)),""))</f>
        <v/>
      </c>
      <c r="F505" s="94" t="n"/>
      <c r="G505" s="120">
        <f t="array" ref="G505:G505">IF(OR(D505="",F505=""),"",IFERROR(IF(AND(OR(INDEX('1.職能辭典'!$J:$J,MATCH(F505,'1.職能辭典'!$C:$C,0))="全部",INDEX('3.員工名單'!$H:$H,MATCH(A505,'3.員工名單'!$A:$A,0))="兩款共用",INDEX('3.員工名單'!$H:$H,MATCH(A505,'3.員工名單'!$A:$A,0))=INDEX('1.職能辭典'!$J:$J,MATCH(F505,'1.職能辭典'!$C:$C,0))),OR(INDEX('1.職能辭典'!$K:$K,MATCH(F505,'1.職能辭典'!$C:$C,0))="全部",SUMPRODUCT(ISNUMBER(SEARCH({"經營","管理","財務","企劃","營運","技術","數據","美術","測試","客服"},INDEX('3.員工名單'!$I:$I,MATCH(A505,'3.員工名單'!$A:$A,0))))*ISNUMBER(SEARCH({"經營","管理","財務","企劃","營運","技術","數據","美術","測試","客服"},INDEX('1.職能辭典'!$K:$K,MATCH(F505,'1.職能辭典'!$C:$C,0)))))&gt;0)),INDEX('2.職務職能需求'!$B$2:$F$28,MATCH(F505,'2.職務職能需求'!$A$2:$A$28,0),MATCH(D505,'2.職務職能需求'!$B$1:$F$1,0)),0),""))</f>
        <v/>
      </c>
      <c r="H505" s="94" t="n"/>
      <c r="I505" s="94" t="n"/>
      <c r="J505" s="120">
        <f>IF(OR(G505="",I505="",G505=0),"",I505-G505)</f>
        <v/>
      </c>
      <c r="K505" s="120">
        <f>IF(G505="","",IF(G505=0,"不適用",IF(I505="","待評核",IF(I505&gt;=G505,IF(I505&gt;G505,"超越","達標"),"待發展"))))</f>
        <v/>
      </c>
      <c r="L505" s="91" t="n"/>
      <c r="M505" s="91" t="n"/>
      <c r="N505" s="88" t="n"/>
    </row>
    <row r="506" ht="15.75" customHeight="1" s="64">
      <c r="A506" s="88" t="n"/>
      <c r="B506" s="120">
        <f t="array" ref="B506:B506">IF(A506="","",IFERROR(INDEX('3.員工名單'!$B:$B,MATCH(A506,'3.員工名單'!$A:$A,0)),"查無此員工"))</f>
        <v/>
      </c>
      <c r="C506" s="120">
        <f t="array" ref="C506:C506">IF(A506="","",IFERROR(INDEX('3.員工名單'!$C:$C,MATCH(A506,'3.員工名單'!$A:$A,0)),""))</f>
        <v/>
      </c>
      <c r="D506" s="120">
        <f t="array" ref="D506:D506">IF(A506="","",IFERROR(INDEX('3.員工名單'!$D:$D,MATCH(A506,'3.員工名單'!$A:$A,0)),""))</f>
        <v/>
      </c>
      <c r="E506" s="120">
        <f t="array" ref="E506:E506">IF(F506="","",IFERROR(INDEX('1.職能辭典'!$A:$A,MATCH(F506,'1.職能辭典'!$C:$C,0)),""))</f>
        <v/>
      </c>
      <c r="F506" s="94" t="n"/>
      <c r="G506" s="120">
        <f t="array" ref="G506:G506">IF(OR(D506="",F506=""),"",IFERROR(IF(AND(OR(INDEX('1.職能辭典'!$J:$J,MATCH(F506,'1.職能辭典'!$C:$C,0))="全部",INDEX('3.員工名單'!$H:$H,MATCH(A506,'3.員工名單'!$A:$A,0))="兩款共用",INDEX('3.員工名單'!$H:$H,MATCH(A506,'3.員工名單'!$A:$A,0))=INDEX('1.職能辭典'!$J:$J,MATCH(F506,'1.職能辭典'!$C:$C,0))),OR(INDEX('1.職能辭典'!$K:$K,MATCH(F506,'1.職能辭典'!$C:$C,0))="全部",SUMPRODUCT(ISNUMBER(SEARCH({"經營","管理","財務","企劃","營運","技術","數據","美術","測試","客服"},INDEX('3.員工名單'!$I:$I,MATCH(A506,'3.員工名單'!$A:$A,0))))*ISNUMBER(SEARCH({"經營","管理","財務","企劃","營運","技術","數據","美術","測試","客服"},INDEX('1.職能辭典'!$K:$K,MATCH(F506,'1.職能辭典'!$C:$C,0)))))&gt;0)),INDEX('2.職務職能需求'!$B$2:$F$28,MATCH(F506,'2.職務職能需求'!$A$2:$A$28,0),MATCH(D506,'2.職務職能需求'!$B$1:$F$1,0)),0),""))</f>
        <v/>
      </c>
      <c r="H506" s="94" t="n"/>
      <c r="I506" s="94" t="n"/>
      <c r="J506" s="120">
        <f>IF(OR(G506="",I506="",G506=0),"",I506-G506)</f>
        <v/>
      </c>
      <c r="K506" s="120">
        <f>IF(G506="","",IF(G506=0,"不適用",IF(I506="","待評核",IF(I506&gt;=G506,IF(I506&gt;G506,"超越","達標"),"待發展"))))</f>
        <v/>
      </c>
      <c r="L506" s="91" t="n"/>
      <c r="M506" s="91" t="n"/>
      <c r="N506" s="88" t="n"/>
    </row>
    <row r="507" ht="15.75" customHeight="1" s="64">
      <c r="A507" s="88" t="n"/>
      <c r="B507" s="120">
        <f t="array" ref="B507:B507">IF(A507="","",IFERROR(INDEX('3.員工名單'!$B:$B,MATCH(A507,'3.員工名單'!$A:$A,0)),"查無此員工"))</f>
        <v/>
      </c>
      <c r="C507" s="120">
        <f t="array" ref="C507:C507">IF(A507="","",IFERROR(INDEX('3.員工名單'!$C:$C,MATCH(A507,'3.員工名單'!$A:$A,0)),""))</f>
        <v/>
      </c>
      <c r="D507" s="120">
        <f t="array" ref="D507:D507">IF(A507="","",IFERROR(INDEX('3.員工名單'!$D:$D,MATCH(A507,'3.員工名單'!$A:$A,0)),""))</f>
        <v/>
      </c>
      <c r="E507" s="120">
        <f t="array" ref="E507:E507">IF(F507="","",IFERROR(INDEX('1.職能辭典'!$A:$A,MATCH(F507,'1.職能辭典'!$C:$C,0)),""))</f>
        <v/>
      </c>
      <c r="F507" s="94" t="n"/>
      <c r="G507" s="120">
        <f t="array" ref="G507:G507">IF(OR(D507="",F507=""),"",IFERROR(IF(AND(OR(INDEX('1.職能辭典'!$J:$J,MATCH(F507,'1.職能辭典'!$C:$C,0))="全部",INDEX('3.員工名單'!$H:$H,MATCH(A507,'3.員工名單'!$A:$A,0))="兩款共用",INDEX('3.員工名單'!$H:$H,MATCH(A507,'3.員工名單'!$A:$A,0))=INDEX('1.職能辭典'!$J:$J,MATCH(F507,'1.職能辭典'!$C:$C,0))),OR(INDEX('1.職能辭典'!$K:$K,MATCH(F507,'1.職能辭典'!$C:$C,0))="全部",SUMPRODUCT(ISNUMBER(SEARCH({"經營","管理","財務","企劃","營運","技術","數據","美術","測試","客服"},INDEX('3.員工名單'!$I:$I,MATCH(A507,'3.員工名單'!$A:$A,0))))*ISNUMBER(SEARCH({"經營","管理","財務","企劃","營運","技術","數據","美術","測試","客服"},INDEX('1.職能辭典'!$K:$K,MATCH(F507,'1.職能辭典'!$C:$C,0)))))&gt;0)),INDEX('2.職務職能需求'!$B$2:$F$28,MATCH(F507,'2.職務職能需求'!$A$2:$A$28,0),MATCH(D507,'2.職務職能需求'!$B$1:$F$1,0)),0),""))</f>
        <v/>
      </c>
      <c r="H507" s="94" t="n"/>
      <c r="I507" s="94" t="n"/>
      <c r="J507" s="120">
        <f>IF(OR(G507="",I507="",G507=0),"",I507-G507)</f>
        <v/>
      </c>
      <c r="K507" s="120">
        <f>IF(G507="","",IF(G507=0,"不適用",IF(I507="","待評核",IF(I507&gt;=G507,IF(I507&gt;G507,"超越","達標"),"待發展"))))</f>
        <v/>
      </c>
      <c r="L507" s="91" t="n"/>
      <c r="M507" s="91" t="n"/>
      <c r="N507" s="88" t="n"/>
    </row>
    <row r="508" ht="15.75" customHeight="1" s="64">
      <c r="A508" s="88" t="n"/>
      <c r="B508" s="120">
        <f t="array" ref="B508:B508">IF(A508="","",IFERROR(INDEX('3.員工名單'!$B:$B,MATCH(A508,'3.員工名單'!$A:$A,0)),"查無此員工"))</f>
        <v/>
      </c>
      <c r="C508" s="120">
        <f t="array" ref="C508:C508">IF(A508="","",IFERROR(INDEX('3.員工名單'!$C:$C,MATCH(A508,'3.員工名單'!$A:$A,0)),""))</f>
        <v/>
      </c>
      <c r="D508" s="120">
        <f t="array" ref="D508:D508">IF(A508="","",IFERROR(INDEX('3.員工名單'!$D:$D,MATCH(A508,'3.員工名單'!$A:$A,0)),""))</f>
        <v/>
      </c>
      <c r="E508" s="120">
        <f t="array" ref="E508:E508">IF(F508="","",IFERROR(INDEX('1.職能辭典'!$A:$A,MATCH(F508,'1.職能辭典'!$C:$C,0)),""))</f>
        <v/>
      </c>
      <c r="F508" s="94" t="n"/>
      <c r="G508" s="120">
        <f t="array" ref="G508:G508">IF(OR(D508="",F508=""),"",IFERROR(IF(AND(OR(INDEX('1.職能辭典'!$J:$J,MATCH(F508,'1.職能辭典'!$C:$C,0))="全部",INDEX('3.員工名單'!$H:$H,MATCH(A508,'3.員工名單'!$A:$A,0))="兩款共用",INDEX('3.員工名單'!$H:$H,MATCH(A508,'3.員工名單'!$A:$A,0))=INDEX('1.職能辭典'!$J:$J,MATCH(F508,'1.職能辭典'!$C:$C,0))),OR(INDEX('1.職能辭典'!$K:$K,MATCH(F508,'1.職能辭典'!$C:$C,0))="全部",SUMPRODUCT(ISNUMBER(SEARCH({"經營","管理","財務","企劃","營運","技術","數據","美術","測試","客服"},INDEX('3.員工名單'!$I:$I,MATCH(A508,'3.員工名單'!$A:$A,0))))*ISNUMBER(SEARCH({"經營","管理","財務","企劃","營運","技術","數據","美術","測試","客服"},INDEX('1.職能辭典'!$K:$K,MATCH(F508,'1.職能辭典'!$C:$C,0)))))&gt;0)),INDEX('2.職務職能需求'!$B$2:$F$28,MATCH(F508,'2.職務職能需求'!$A$2:$A$28,0),MATCH(D508,'2.職務職能需求'!$B$1:$F$1,0)),0),""))</f>
        <v/>
      </c>
      <c r="H508" s="94" t="n"/>
      <c r="I508" s="94" t="n"/>
      <c r="J508" s="120">
        <f>IF(OR(G508="",I508="",G508=0),"",I508-G508)</f>
        <v/>
      </c>
      <c r="K508" s="120">
        <f>IF(G508="","",IF(G508=0,"不適用",IF(I508="","待評核",IF(I508&gt;=G508,IF(I508&gt;G508,"超越","達標"),"待發展"))))</f>
        <v/>
      </c>
      <c r="L508" s="91" t="n"/>
      <c r="M508" s="91" t="n"/>
      <c r="N508" s="88" t="n"/>
    </row>
    <row r="509" ht="15.75" customHeight="1" s="64">
      <c r="A509" s="88" t="n"/>
      <c r="B509" s="120">
        <f t="array" ref="B509:B509">IF(A509="","",IFERROR(INDEX('3.員工名單'!$B:$B,MATCH(A509,'3.員工名單'!$A:$A,0)),"查無此員工"))</f>
        <v/>
      </c>
      <c r="C509" s="120">
        <f t="array" ref="C509:C509">IF(A509="","",IFERROR(INDEX('3.員工名單'!$C:$C,MATCH(A509,'3.員工名單'!$A:$A,0)),""))</f>
        <v/>
      </c>
      <c r="D509" s="120">
        <f t="array" ref="D509:D509">IF(A509="","",IFERROR(INDEX('3.員工名單'!$D:$D,MATCH(A509,'3.員工名單'!$A:$A,0)),""))</f>
        <v/>
      </c>
      <c r="E509" s="120">
        <f t="array" ref="E509:E509">IF(F509="","",IFERROR(INDEX('1.職能辭典'!$A:$A,MATCH(F509,'1.職能辭典'!$C:$C,0)),""))</f>
        <v/>
      </c>
      <c r="F509" s="94" t="n"/>
      <c r="G509" s="120">
        <f t="array" ref="G509:G509">IF(OR(D509="",F509=""),"",IFERROR(IF(AND(OR(INDEX('1.職能辭典'!$J:$J,MATCH(F509,'1.職能辭典'!$C:$C,0))="全部",INDEX('3.員工名單'!$H:$H,MATCH(A509,'3.員工名單'!$A:$A,0))="兩款共用",INDEX('3.員工名單'!$H:$H,MATCH(A509,'3.員工名單'!$A:$A,0))=INDEX('1.職能辭典'!$J:$J,MATCH(F509,'1.職能辭典'!$C:$C,0))),OR(INDEX('1.職能辭典'!$K:$K,MATCH(F509,'1.職能辭典'!$C:$C,0))="全部",SUMPRODUCT(ISNUMBER(SEARCH({"經營","管理","財務","企劃","營運","技術","數據","美術","測試","客服"},INDEX('3.員工名單'!$I:$I,MATCH(A509,'3.員工名單'!$A:$A,0))))*ISNUMBER(SEARCH({"經營","管理","財務","企劃","營運","技術","數據","美術","測試","客服"},INDEX('1.職能辭典'!$K:$K,MATCH(F509,'1.職能辭典'!$C:$C,0)))))&gt;0)),INDEX('2.職務職能需求'!$B$2:$F$28,MATCH(F509,'2.職務職能需求'!$A$2:$A$28,0),MATCH(D509,'2.職務職能需求'!$B$1:$F$1,0)),0),""))</f>
        <v/>
      </c>
      <c r="H509" s="94" t="n"/>
      <c r="I509" s="94" t="n"/>
      <c r="J509" s="120">
        <f>IF(OR(G509="",I509="",G509=0),"",I509-G509)</f>
        <v/>
      </c>
      <c r="K509" s="120">
        <f>IF(G509="","",IF(G509=0,"不適用",IF(I509="","待評核",IF(I509&gt;=G509,IF(I509&gt;G509,"超越","達標"),"待發展"))))</f>
        <v/>
      </c>
      <c r="L509" s="91" t="n"/>
      <c r="M509" s="91" t="n"/>
      <c r="N509" s="88" t="n"/>
    </row>
    <row r="510" ht="15.75" customHeight="1" s="64">
      <c r="A510" s="88" t="n"/>
      <c r="B510" s="120">
        <f t="array" ref="B510:B510">IF(A510="","",IFERROR(INDEX('3.員工名單'!$B:$B,MATCH(A510,'3.員工名單'!$A:$A,0)),"查無此員工"))</f>
        <v/>
      </c>
      <c r="C510" s="120">
        <f t="array" ref="C510:C510">IF(A510="","",IFERROR(INDEX('3.員工名單'!$C:$C,MATCH(A510,'3.員工名單'!$A:$A,0)),""))</f>
        <v/>
      </c>
      <c r="D510" s="120">
        <f t="array" ref="D510:D510">IF(A510="","",IFERROR(INDEX('3.員工名單'!$D:$D,MATCH(A510,'3.員工名單'!$A:$A,0)),""))</f>
        <v/>
      </c>
      <c r="E510" s="120">
        <f t="array" ref="E510:E510">IF(F510="","",IFERROR(INDEX('1.職能辭典'!$A:$A,MATCH(F510,'1.職能辭典'!$C:$C,0)),""))</f>
        <v/>
      </c>
      <c r="F510" s="94" t="n"/>
      <c r="G510" s="120">
        <f t="array" ref="G510:G510">IF(OR(D510="",F510=""),"",IFERROR(IF(AND(OR(INDEX('1.職能辭典'!$J:$J,MATCH(F510,'1.職能辭典'!$C:$C,0))="全部",INDEX('3.員工名單'!$H:$H,MATCH(A510,'3.員工名單'!$A:$A,0))="兩款共用",INDEX('3.員工名單'!$H:$H,MATCH(A510,'3.員工名單'!$A:$A,0))=INDEX('1.職能辭典'!$J:$J,MATCH(F510,'1.職能辭典'!$C:$C,0))),OR(INDEX('1.職能辭典'!$K:$K,MATCH(F510,'1.職能辭典'!$C:$C,0))="全部",SUMPRODUCT(ISNUMBER(SEARCH({"經營","管理","財務","企劃","營運","技術","數據","美術","測試","客服"},INDEX('3.員工名單'!$I:$I,MATCH(A510,'3.員工名單'!$A:$A,0))))*ISNUMBER(SEARCH({"經營","管理","財務","企劃","營運","技術","數據","美術","測試","客服"},INDEX('1.職能辭典'!$K:$K,MATCH(F510,'1.職能辭典'!$C:$C,0)))))&gt;0)),INDEX('2.職務職能需求'!$B$2:$F$28,MATCH(F510,'2.職務職能需求'!$A$2:$A$28,0),MATCH(D510,'2.職務職能需求'!$B$1:$F$1,0)),0),""))</f>
        <v/>
      </c>
      <c r="H510" s="94" t="n"/>
      <c r="I510" s="94" t="n"/>
      <c r="J510" s="120">
        <f>IF(OR(G510="",I510="",G510=0),"",I510-G510)</f>
        <v/>
      </c>
      <c r="K510" s="120">
        <f>IF(G510="","",IF(G510=0,"不適用",IF(I510="","待評核",IF(I510&gt;=G510,IF(I510&gt;G510,"超越","達標"),"待發展"))))</f>
        <v/>
      </c>
      <c r="L510" s="91" t="n"/>
      <c r="M510" s="91" t="n"/>
      <c r="N510" s="88" t="n"/>
    </row>
    <row r="511" ht="15.75" customHeight="1" s="64">
      <c r="A511" s="88" t="n"/>
      <c r="B511" s="120">
        <f t="array" ref="B511:B511">IF(A511="","",IFERROR(INDEX('3.員工名單'!$B:$B,MATCH(A511,'3.員工名單'!$A:$A,0)),"查無此員工"))</f>
        <v/>
      </c>
      <c r="C511" s="120">
        <f t="array" ref="C511:C511">IF(A511="","",IFERROR(INDEX('3.員工名單'!$C:$C,MATCH(A511,'3.員工名單'!$A:$A,0)),""))</f>
        <v/>
      </c>
      <c r="D511" s="120">
        <f t="array" ref="D511:D511">IF(A511="","",IFERROR(INDEX('3.員工名單'!$D:$D,MATCH(A511,'3.員工名單'!$A:$A,0)),""))</f>
        <v/>
      </c>
      <c r="E511" s="120">
        <f t="array" ref="E511:E511">IF(F511="","",IFERROR(INDEX('1.職能辭典'!$A:$A,MATCH(F511,'1.職能辭典'!$C:$C,0)),""))</f>
        <v/>
      </c>
      <c r="F511" s="94" t="n"/>
      <c r="G511" s="120">
        <f t="array" ref="G511:G511">IF(OR(D511="",F511=""),"",IFERROR(IF(AND(OR(INDEX('1.職能辭典'!$J:$J,MATCH(F511,'1.職能辭典'!$C:$C,0))="全部",INDEX('3.員工名單'!$H:$H,MATCH(A511,'3.員工名單'!$A:$A,0))="兩款共用",INDEX('3.員工名單'!$H:$H,MATCH(A511,'3.員工名單'!$A:$A,0))=INDEX('1.職能辭典'!$J:$J,MATCH(F511,'1.職能辭典'!$C:$C,0))),OR(INDEX('1.職能辭典'!$K:$K,MATCH(F511,'1.職能辭典'!$C:$C,0))="全部",SUMPRODUCT(ISNUMBER(SEARCH({"經營","管理","財務","企劃","營運","技術","數據","美術","測試","客服"},INDEX('3.員工名單'!$I:$I,MATCH(A511,'3.員工名單'!$A:$A,0))))*ISNUMBER(SEARCH({"經營","管理","財務","企劃","營運","技術","數據","美術","測試","客服"},INDEX('1.職能辭典'!$K:$K,MATCH(F511,'1.職能辭典'!$C:$C,0)))))&gt;0)),INDEX('2.職務職能需求'!$B$2:$F$28,MATCH(F511,'2.職務職能需求'!$A$2:$A$28,0),MATCH(D511,'2.職務職能需求'!$B$1:$F$1,0)),0),""))</f>
        <v/>
      </c>
      <c r="H511" s="94" t="n"/>
      <c r="I511" s="94" t="n"/>
      <c r="J511" s="120">
        <f>IF(OR(G511="",I511="",G511=0),"",I511-G511)</f>
        <v/>
      </c>
      <c r="K511" s="120">
        <f>IF(G511="","",IF(G511=0,"不適用",IF(I511="","待評核",IF(I511&gt;=G511,IF(I511&gt;G511,"超越","達標"),"待發展"))))</f>
        <v/>
      </c>
      <c r="L511" s="91" t="n"/>
      <c r="M511" s="91" t="n"/>
      <c r="N511" s="88" t="n"/>
    </row>
    <row r="512" ht="15.75" customHeight="1" s="64">
      <c r="A512" s="88" t="n"/>
      <c r="B512" s="120">
        <f t="array" ref="B512:B512">IF(A512="","",IFERROR(INDEX('3.員工名單'!$B:$B,MATCH(A512,'3.員工名單'!$A:$A,0)),"查無此員工"))</f>
        <v/>
      </c>
      <c r="C512" s="120">
        <f t="array" ref="C512:C512">IF(A512="","",IFERROR(INDEX('3.員工名單'!$C:$C,MATCH(A512,'3.員工名單'!$A:$A,0)),""))</f>
        <v/>
      </c>
      <c r="D512" s="120">
        <f t="array" ref="D512:D512">IF(A512="","",IFERROR(INDEX('3.員工名單'!$D:$D,MATCH(A512,'3.員工名單'!$A:$A,0)),""))</f>
        <v/>
      </c>
      <c r="E512" s="120">
        <f t="array" ref="E512:E512">IF(F512="","",IFERROR(INDEX('1.職能辭典'!$A:$A,MATCH(F512,'1.職能辭典'!$C:$C,0)),""))</f>
        <v/>
      </c>
      <c r="F512" s="94" t="n"/>
      <c r="G512" s="120">
        <f t="array" ref="G512:G512">IF(OR(D512="",F512=""),"",IFERROR(IF(AND(OR(INDEX('1.職能辭典'!$J:$J,MATCH(F512,'1.職能辭典'!$C:$C,0))="全部",INDEX('3.員工名單'!$H:$H,MATCH(A512,'3.員工名單'!$A:$A,0))="兩款共用",INDEX('3.員工名單'!$H:$H,MATCH(A512,'3.員工名單'!$A:$A,0))=INDEX('1.職能辭典'!$J:$J,MATCH(F512,'1.職能辭典'!$C:$C,0))),OR(INDEX('1.職能辭典'!$K:$K,MATCH(F512,'1.職能辭典'!$C:$C,0))="全部",SUMPRODUCT(ISNUMBER(SEARCH({"經營","管理","財務","企劃","營運","技術","數據","美術","測試","客服"},INDEX('3.員工名單'!$I:$I,MATCH(A512,'3.員工名單'!$A:$A,0))))*ISNUMBER(SEARCH({"經營","管理","財務","企劃","營運","技術","數據","美術","測試","客服"},INDEX('1.職能辭典'!$K:$K,MATCH(F512,'1.職能辭典'!$C:$C,0)))))&gt;0)),INDEX('2.職務職能需求'!$B$2:$F$28,MATCH(F512,'2.職務職能需求'!$A$2:$A$28,0),MATCH(D512,'2.職務職能需求'!$B$1:$F$1,0)),0),""))</f>
        <v/>
      </c>
      <c r="H512" s="94" t="n"/>
      <c r="I512" s="94" t="n"/>
      <c r="J512" s="120">
        <f>IF(OR(G512="",I512="",G512=0),"",I512-G512)</f>
        <v/>
      </c>
      <c r="K512" s="120">
        <f>IF(G512="","",IF(G512=0,"不適用",IF(I512="","待評核",IF(I512&gt;=G512,IF(I512&gt;G512,"超越","達標"),"待發展"))))</f>
        <v/>
      </c>
      <c r="L512" s="91" t="n"/>
      <c r="M512" s="91" t="n"/>
      <c r="N512" s="88" t="n"/>
    </row>
    <row r="513" ht="15.75" customHeight="1" s="64">
      <c r="A513" s="88" t="n"/>
      <c r="B513" s="120">
        <f t="array" ref="B513:B513">IF(A513="","",IFERROR(INDEX('3.員工名單'!$B:$B,MATCH(A513,'3.員工名單'!$A:$A,0)),"查無此員工"))</f>
        <v/>
      </c>
      <c r="C513" s="120">
        <f t="array" ref="C513:C513">IF(A513="","",IFERROR(INDEX('3.員工名單'!$C:$C,MATCH(A513,'3.員工名單'!$A:$A,0)),""))</f>
        <v/>
      </c>
      <c r="D513" s="120">
        <f t="array" ref="D513:D513">IF(A513="","",IFERROR(INDEX('3.員工名單'!$D:$D,MATCH(A513,'3.員工名單'!$A:$A,0)),""))</f>
        <v/>
      </c>
      <c r="E513" s="120">
        <f t="array" ref="E513:E513">IF(F513="","",IFERROR(INDEX('1.職能辭典'!$A:$A,MATCH(F513,'1.職能辭典'!$C:$C,0)),""))</f>
        <v/>
      </c>
      <c r="F513" s="94" t="n"/>
      <c r="G513" s="120">
        <f t="array" ref="G513:G513">IF(OR(D513="",F513=""),"",IFERROR(IF(AND(OR(INDEX('1.職能辭典'!$J:$J,MATCH(F513,'1.職能辭典'!$C:$C,0))="全部",INDEX('3.員工名單'!$H:$H,MATCH(A513,'3.員工名單'!$A:$A,0))="兩款共用",INDEX('3.員工名單'!$H:$H,MATCH(A513,'3.員工名單'!$A:$A,0))=INDEX('1.職能辭典'!$J:$J,MATCH(F513,'1.職能辭典'!$C:$C,0))),OR(INDEX('1.職能辭典'!$K:$K,MATCH(F513,'1.職能辭典'!$C:$C,0))="全部",SUMPRODUCT(ISNUMBER(SEARCH({"經營","管理","財務","企劃","營運","技術","數據","美術","測試","客服"},INDEX('3.員工名單'!$I:$I,MATCH(A513,'3.員工名單'!$A:$A,0))))*ISNUMBER(SEARCH({"經營","管理","財務","企劃","營運","技術","數據","美術","測試","客服"},INDEX('1.職能辭典'!$K:$K,MATCH(F513,'1.職能辭典'!$C:$C,0)))))&gt;0)),INDEX('2.職務職能需求'!$B$2:$F$28,MATCH(F513,'2.職務職能需求'!$A$2:$A$28,0),MATCH(D513,'2.職務職能需求'!$B$1:$F$1,0)),0),""))</f>
        <v/>
      </c>
      <c r="H513" s="94" t="n"/>
      <c r="I513" s="94" t="n"/>
      <c r="J513" s="120">
        <f>IF(OR(G513="",I513="",G513=0),"",I513-G513)</f>
        <v/>
      </c>
      <c r="K513" s="120">
        <f>IF(G513="","",IF(G513=0,"不適用",IF(I513="","待評核",IF(I513&gt;=G513,IF(I513&gt;G513,"超越","達標"),"待發展"))))</f>
        <v/>
      </c>
      <c r="L513" s="91" t="n"/>
      <c r="M513" s="91" t="n"/>
      <c r="N513" s="88" t="n"/>
    </row>
    <row r="514" ht="15.75" customHeight="1" s="64">
      <c r="A514" s="88" t="n"/>
      <c r="B514" s="120">
        <f t="array" ref="B514:B514">IF(A514="","",IFERROR(INDEX('3.員工名單'!$B:$B,MATCH(A514,'3.員工名單'!$A:$A,0)),"查無此員工"))</f>
        <v/>
      </c>
      <c r="C514" s="120">
        <f t="array" ref="C514:C514">IF(A514="","",IFERROR(INDEX('3.員工名單'!$C:$C,MATCH(A514,'3.員工名單'!$A:$A,0)),""))</f>
        <v/>
      </c>
      <c r="D514" s="120">
        <f t="array" ref="D514:D514">IF(A514="","",IFERROR(INDEX('3.員工名單'!$D:$D,MATCH(A514,'3.員工名單'!$A:$A,0)),""))</f>
        <v/>
      </c>
      <c r="E514" s="120">
        <f t="array" ref="E514:E514">IF(F514="","",IFERROR(INDEX('1.職能辭典'!$A:$A,MATCH(F514,'1.職能辭典'!$C:$C,0)),""))</f>
        <v/>
      </c>
      <c r="F514" s="94" t="n"/>
      <c r="G514" s="120">
        <f t="array" ref="G514:G514">IF(OR(D514="",F514=""),"",IFERROR(IF(AND(OR(INDEX('1.職能辭典'!$J:$J,MATCH(F514,'1.職能辭典'!$C:$C,0))="全部",INDEX('3.員工名單'!$H:$H,MATCH(A514,'3.員工名單'!$A:$A,0))="兩款共用",INDEX('3.員工名單'!$H:$H,MATCH(A514,'3.員工名單'!$A:$A,0))=INDEX('1.職能辭典'!$J:$J,MATCH(F514,'1.職能辭典'!$C:$C,0))),OR(INDEX('1.職能辭典'!$K:$K,MATCH(F514,'1.職能辭典'!$C:$C,0))="全部",SUMPRODUCT(ISNUMBER(SEARCH({"經營","管理","財務","企劃","營運","技術","數據","美術","測試","客服"},INDEX('3.員工名單'!$I:$I,MATCH(A514,'3.員工名單'!$A:$A,0))))*ISNUMBER(SEARCH({"經營","管理","財務","企劃","營運","技術","數據","美術","測試","客服"},INDEX('1.職能辭典'!$K:$K,MATCH(F514,'1.職能辭典'!$C:$C,0)))))&gt;0)),INDEX('2.職務職能需求'!$B$2:$F$28,MATCH(F514,'2.職務職能需求'!$A$2:$A$28,0),MATCH(D514,'2.職務職能需求'!$B$1:$F$1,0)),0),""))</f>
        <v/>
      </c>
      <c r="H514" s="94" t="n"/>
      <c r="I514" s="94" t="n"/>
      <c r="J514" s="120">
        <f>IF(OR(G514="",I514="",G514=0),"",I514-G514)</f>
        <v/>
      </c>
      <c r="K514" s="120">
        <f>IF(G514="","",IF(G514=0,"不適用",IF(I514="","待評核",IF(I514&gt;=G514,IF(I514&gt;G514,"超越","達標"),"待發展"))))</f>
        <v/>
      </c>
      <c r="L514" s="91" t="n"/>
      <c r="M514" s="91" t="n"/>
      <c r="N514" s="88" t="n"/>
    </row>
    <row r="515" ht="15.75" customHeight="1" s="64">
      <c r="A515" s="88" t="n"/>
      <c r="B515" s="120">
        <f t="array" ref="B515:B515">IF(A515="","",IFERROR(INDEX('3.員工名單'!$B:$B,MATCH(A515,'3.員工名單'!$A:$A,0)),"查無此員工"))</f>
        <v/>
      </c>
      <c r="C515" s="120">
        <f t="array" ref="C515:C515">IF(A515="","",IFERROR(INDEX('3.員工名單'!$C:$C,MATCH(A515,'3.員工名單'!$A:$A,0)),""))</f>
        <v/>
      </c>
      <c r="D515" s="120">
        <f t="array" ref="D515:D515">IF(A515="","",IFERROR(INDEX('3.員工名單'!$D:$D,MATCH(A515,'3.員工名單'!$A:$A,0)),""))</f>
        <v/>
      </c>
      <c r="E515" s="120">
        <f t="array" ref="E515:E515">IF(F515="","",IFERROR(INDEX('1.職能辭典'!$A:$A,MATCH(F515,'1.職能辭典'!$C:$C,0)),""))</f>
        <v/>
      </c>
      <c r="F515" s="94" t="n"/>
      <c r="G515" s="120">
        <f t="array" ref="G515:G515">IF(OR(D515="",F515=""),"",IFERROR(IF(AND(OR(INDEX('1.職能辭典'!$J:$J,MATCH(F515,'1.職能辭典'!$C:$C,0))="全部",INDEX('3.員工名單'!$H:$H,MATCH(A515,'3.員工名單'!$A:$A,0))="兩款共用",INDEX('3.員工名單'!$H:$H,MATCH(A515,'3.員工名單'!$A:$A,0))=INDEX('1.職能辭典'!$J:$J,MATCH(F515,'1.職能辭典'!$C:$C,0))),OR(INDEX('1.職能辭典'!$K:$K,MATCH(F515,'1.職能辭典'!$C:$C,0))="全部",SUMPRODUCT(ISNUMBER(SEARCH({"經營","管理","財務","企劃","營運","技術","數據","美術","測試","客服"},INDEX('3.員工名單'!$I:$I,MATCH(A515,'3.員工名單'!$A:$A,0))))*ISNUMBER(SEARCH({"經營","管理","財務","企劃","營運","技術","數據","美術","測試","客服"},INDEX('1.職能辭典'!$K:$K,MATCH(F515,'1.職能辭典'!$C:$C,0)))))&gt;0)),INDEX('2.職務職能需求'!$B$2:$F$28,MATCH(F515,'2.職務職能需求'!$A$2:$A$28,0),MATCH(D515,'2.職務職能需求'!$B$1:$F$1,0)),0),""))</f>
        <v/>
      </c>
      <c r="H515" s="94" t="n"/>
      <c r="I515" s="94" t="n"/>
      <c r="J515" s="120">
        <f>IF(OR(G515="",I515="",G515=0),"",I515-G515)</f>
        <v/>
      </c>
      <c r="K515" s="120">
        <f>IF(G515="","",IF(G515=0,"不適用",IF(I515="","待評核",IF(I515&gt;=G515,IF(I515&gt;G515,"超越","達標"),"待發展"))))</f>
        <v/>
      </c>
      <c r="L515" s="91" t="n"/>
      <c r="M515" s="91" t="n"/>
      <c r="N515" s="88" t="n"/>
    </row>
    <row r="516" ht="15.75" customHeight="1" s="64">
      <c r="A516" s="88" t="n"/>
      <c r="B516" s="120">
        <f t="array" ref="B516:B516">IF(A516="","",IFERROR(INDEX('3.員工名單'!$B:$B,MATCH(A516,'3.員工名單'!$A:$A,0)),"查無此員工"))</f>
        <v/>
      </c>
      <c r="C516" s="120">
        <f t="array" ref="C516:C516">IF(A516="","",IFERROR(INDEX('3.員工名單'!$C:$C,MATCH(A516,'3.員工名單'!$A:$A,0)),""))</f>
        <v/>
      </c>
      <c r="D516" s="120">
        <f t="array" ref="D516:D516">IF(A516="","",IFERROR(INDEX('3.員工名單'!$D:$D,MATCH(A516,'3.員工名單'!$A:$A,0)),""))</f>
        <v/>
      </c>
      <c r="E516" s="120">
        <f t="array" ref="E516:E516">IF(F516="","",IFERROR(INDEX('1.職能辭典'!$A:$A,MATCH(F516,'1.職能辭典'!$C:$C,0)),""))</f>
        <v/>
      </c>
      <c r="F516" s="94" t="n"/>
      <c r="G516" s="120">
        <f t="array" ref="G516:G516">IF(OR(D516="",F516=""),"",IFERROR(IF(AND(OR(INDEX('1.職能辭典'!$J:$J,MATCH(F516,'1.職能辭典'!$C:$C,0))="全部",INDEX('3.員工名單'!$H:$H,MATCH(A516,'3.員工名單'!$A:$A,0))="兩款共用",INDEX('3.員工名單'!$H:$H,MATCH(A516,'3.員工名單'!$A:$A,0))=INDEX('1.職能辭典'!$J:$J,MATCH(F516,'1.職能辭典'!$C:$C,0))),OR(INDEX('1.職能辭典'!$K:$K,MATCH(F516,'1.職能辭典'!$C:$C,0))="全部",SUMPRODUCT(ISNUMBER(SEARCH({"經營","管理","財務","企劃","營運","技術","數據","美術","測試","客服"},INDEX('3.員工名單'!$I:$I,MATCH(A516,'3.員工名單'!$A:$A,0))))*ISNUMBER(SEARCH({"經營","管理","財務","企劃","營運","技術","數據","美術","測試","客服"},INDEX('1.職能辭典'!$K:$K,MATCH(F516,'1.職能辭典'!$C:$C,0)))))&gt;0)),INDEX('2.職務職能需求'!$B$2:$F$28,MATCH(F516,'2.職務職能需求'!$A$2:$A$28,0),MATCH(D516,'2.職務職能需求'!$B$1:$F$1,0)),0),""))</f>
        <v/>
      </c>
      <c r="H516" s="94" t="n"/>
      <c r="I516" s="94" t="n"/>
      <c r="J516" s="120">
        <f>IF(OR(G516="",I516="",G516=0),"",I516-G516)</f>
        <v/>
      </c>
      <c r="K516" s="120">
        <f>IF(G516="","",IF(G516=0,"不適用",IF(I516="","待評核",IF(I516&gt;=G516,IF(I516&gt;G516,"超越","達標"),"待發展"))))</f>
        <v/>
      </c>
      <c r="L516" s="91" t="n"/>
      <c r="M516" s="91" t="n"/>
      <c r="N516" s="88" t="n"/>
    </row>
    <row r="517" ht="15.75" customHeight="1" s="64">
      <c r="A517" s="88" t="n"/>
      <c r="B517" s="120">
        <f t="array" ref="B517:B517">IF(A517="","",IFERROR(INDEX('3.員工名單'!$B:$B,MATCH(A517,'3.員工名單'!$A:$A,0)),"查無此員工"))</f>
        <v/>
      </c>
      <c r="C517" s="120">
        <f t="array" ref="C517:C517">IF(A517="","",IFERROR(INDEX('3.員工名單'!$C:$C,MATCH(A517,'3.員工名單'!$A:$A,0)),""))</f>
        <v/>
      </c>
      <c r="D517" s="120">
        <f t="array" ref="D517:D517">IF(A517="","",IFERROR(INDEX('3.員工名單'!$D:$D,MATCH(A517,'3.員工名單'!$A:$A,0)),""))</f>
        <v/>
      </c>
      <c r="E517" s="120">
        <f t="array" ref="E517:E517">IF(F517="","",IFERROR(INDEX('1.職能辭典'!$A:$A,MATCH(F517,'1.職能辭典'!$C:$C,0)),""))</f>
        <v/>
      </c>
      <c r="F517" s="94" t="n"/>
      <c r="G517" s="120">
        <f t="array" ref="G517:G517">IF(OR(D517="",F517=""),"",IFERROR(IF(AND(OR(INDEX('1.職能辭典'!$J:$J,MATCH(F517,'1.職能辭典'!$C:$C,0))="全部",INDEX('3.員工名單'!$H:$H,MATCH(A517,'3.員工名單'!$A:$A,0))="兩款共用",INDEX('3.員工名單'!$H:$H,MATCH(A517,'3.員工名單'!$A:$A,0))=INDEX('1.職能辭典'!$J:$J,MATCH(F517,'1.職能辭典'!$C:$C,0))),OR(INDEX('1.職能辭典'!$K:$K,MATCH(F517,'1.職能辭典'!$C:$C,0))="全部",SUMPRODUCT(ISNUMBER(SEARCH({"經營","管理","財務","企劃","營運","技術","數據","美術","測試","客服"},INDEX('3.員工名單'!$I:$I,MATCH(A517,'3.員工名單'!$A:$A,0))))*ISNUMBER(SEARCH({"經營","管理","財務","企劃","營運","技術","數據","美術","測試","客服"},INDEX('1.職能辭典'!$K:$K,MATCH(F517,'1.職能辭典'!$C:$C,0)))))&gt;0)),INDEX('2.職務職能需求'!$B$2:$F$28,MATCH(F517,'2.職務職能需求'!$A$2:$A$28,0),MATCH(D517,'2.職務職能需求'!$B$1:$F$1,0)),0),""))</f>
        <v/>
      </c>
      <c r="H517" s="94" t="n"/>
      <c r="I517" s="94" t="n"/>
      <c r="J517" s="120">
        <f>IF(OR(G517="",I517="",G517=0),"",I517-G517)</f>
        <v/>
      </c>
      <c r="K517" s="120">
        <f>IF(G517="","",IF(G517=0,"不適用",IF(I517="","待評核",IF(I517&gt;=G517,IF(I517&gt;G517,"超越","達標"),"待發展"))))</f>
        <v/>
      </c>
      <c r="L517" s="91" t="n"/>
      <c r="M517" s="91" t="n"/>
      <c r="N517" s="88" t="n"/>
    </row>
    <row r="518" ht="15.75" customHeight="1" s="64">
      <c r="A518" s="88" t="n"/>
      <c r="B518" s="120">
        <f t="array" ref="B518:B518">IF(A518="","",IFERROR(INDEX('3.員工名單'!$B:$B,MATCH(A518,'3.員工名單'!$A:$A,0)),"查無此員工"))</f>
        <v/>
      </c>
      <c r="C518" s="120">
        <f t="array" ref="C518:C518">IF(A518="","",IFERROR(INDEX('3.員工名單'!$C:$C,MATCH(A518,'3.員工名單'!$A:$A,0)),""))</f>
        <v/>
      </c>
      <c r="D518" s="120">
        <f t="array" ref="D518:D518">IF(A518="","",IFERROR(INDEX('3.員工名單'!$D:$D,MATCH(A518,'3.員工名單'!$A:$A,0)),""))</f>
        <v/>
      </c>
      <c r="E518" s="120">
        <f t="array" ref="E518:E518">IF(F518="","",IFERROR(INDEX('1.職能辭典'!$A:$A,MATCH(F518,'1.職能辭典'!$C:$C,0)),""))</f>
        <v/>
      </c>
      <c r="F518" s="94" t="n"/>
      <c r="G518" s="120">
        <f t="array" ref="G518:G518">IF(OR(D518="",F518=""),"",IFERROR(IF(AND(OR(INDEX('1.職能辭典'!$J:$J,MATCH(F518,'1.職能辭典'!$C:$C,0))="全部",INDEX('3.員工名單'!$H:$H,MATCH(A518,'3.員工名單'!$A:$A,0))="兩款共用",INDEX('3.員工名單'!$H:$H,MATCH(A518,'3.員工名單'!$A:$A,0))=INDEX('1.職能辭典'!$J:$J,MATCH(F518,'1.職能辭典'!$C:$C,0))),OR(INDEX('1.職能辭典'!$K:$K,MATCH(F518,'1.職能辭典'!$C:$C,0))="全部",SUMPRODUCT(ISNUMBER(SEARCH({"經營","管理","財務","企劃","營運","技術","數據","美術","測試","客服"},INDEX('3.員工名單'!$I:$I,MATCH(A518,'3.員工名單'!$A:$A,0))))*ISNUMBER(SEARCH({"經營","管理","財務","企劃","營運","技術","數據","美術","測試","客服"},INDEX('1.職能辭典'!$K:$K,MATCH(F518,'1.職能辭典'!$C:$C,0)))))&gt;0)),INDEX('2.職務職能需求'!$B$2:$F$28,MATCH(F518,'2.職務職能需求'!$A$2:$A$28,0),MATCH(D518,'2.職務職能需求'!$B$1:$F$1,0)),0),""))</f>
        <v/>
      </c>
      <c r="H518" s="94" t="n"/>
      <c r="I518" s="94" t="n"/>
      <c r="J518" s="120">
        <f>IF(OR(G518="",I518="",G518=0),"",I518-G518)</f>
        <v/>
      </c>
      <c r="K518" s="120">
        <f>IF(G518="","",IF(G518=0,"不適用",IF(I518="","待評核",IF(I518&gt;=G518,IF(I518&gt;G518,"超越","達標"),"待發展"))))</f>
        <v/>
      </c>
      <c r="L518" s="91" t="n"/>
      <c r="M518" s="91" t="n"/>
      <c r="N518" s="88" t="n"/>
    </row>
    <row r="519" ht="15.75" customHeight="1" s="64">
      <c r="A519" s="88" t="n"/>
      <c r="B519" s="120">
        <f t="array" ref="B519:B519">IF(A519="","",IFERROR(INDEX('3.員工名單'!$B:$B,MATCH(A519,'3.員工名單'!$A:$A,0)),"查無此員工"))</f>
        <v/>
      </c>
      <c r="C519" s="120">
        <f t="array" ref="C519:C519">IF(A519="","",IFERROR(INDEX('3.員工名單'!$C:$C,MATCH(A519,'3.員工名單'!$A:$A,0)),""))</f>
        <v/>
      </c>
      <c r="D519" s="120">
        <f t="array" ref="D519:D519">IF(A519="","",IFERROR(INDEX('3.員工名單'!$D:$D,MATCH(A519,'3.員工名單'!$A:$A,0)),""))</f>
        <v/>
      </c>
      <c r="E519" s="120">
        <f t="array" ref="E519:E519">IF(F519="","",IFERROR(INDEX('1.職能辭典'!$A:$A,MATCH(F519,'1.職能辭典'!$C:$C,0)),""))</f>
        <v/>
      </c>
      <c r="F519" s="94" t="n"/>
      <c r="G519" s="120">
        <f t="array" ref="G519:G519">IF(OR(D519="",F519=""),"",IFERROR(IF(AND(OR(INDEX('1.職能辭典'!$J:$J,MATCH(F519,'1.職能辭典'!$C:$C,0))="全部",INDEX('3.員工名單'!$H:$H,MATCH(A519,'3.員工名單'!$A:$A,0))="兩款共用",INDEX('3.員工名單'!$H:$H,MATCH(A519,'3.員工名單'!$A:$A,0))=INDEX('1.職能辭典'!$J:$J,MATCH(F519,'1.職能辭典'!$C:$C,0))),OR(INDEX('1.職能辭典'!$K:$K,MATCH(F519,'1.職能辭典'!$C:$C,0))="全部",SUMPRODUCT(ISNUMBER(SEARCH({"經營","管理","財務","企劃","營運","技術","數據","美術","測試","客服"},INDEX('3.員工名單'!$I:$I,MATCH(A519,'3.員工名單'!$A:$A,0))))*ISNUMBER(SEARCH({"經營","管理","財務","企劃","營運","技術","數據","美術","測試","客服"},INDEX('1.職能辭典'!$K:$K,MATCH(F519,'1.職能辭典'!$C:$C,0)))))&gt;0)),INDEX('2.職務職能需求'!$B$2:$F$28,MATCH(F519,'2.職務職能需求'!$A$2:$A$28,0),MATCH(D519,'2.職務職能需求'!$B$1:$F$1,0)),0),""))</f>
        <v/>
      </c>
      <c r="H519" s="94" t="n"/>
      <c r="I519" s="94" t="n"/>
      <c r="J519" s="120">
        <f>IF(OR(G519="",I519="",G519=0),"",I519-G519)</f>
        <v/>
      </c>
      <c r="K519" s="120">
        <f>IF(G519="","",IF(G519=0,"不適用",IF(I519="","待評核",IF(I519&gt;=G519,IF(I519&gt;G519,"超越","達標"),"待發展"))))</f>
        <v/>
      </c>
      <c r="L519" s="91" t="n"/>
      <c r="M519" s="91" t="n"/>
      <c r="N519" s="88" t="n"/>
    </row>
    <row r="520" ht="15.75" customHeight="1" s="64">
      <c r="A520" s="88" t="n"/>
      <c r="B520" s="120">
        <f t="array" ref="B520:B520">IF(A520="","",IFERROR(INDEX('3.員工名單'!$B:$B,MATCH(A520,'3.員工名單'!$A:$A,0)),"查無此員工"))</f>
        <v/>
      </c>
      <c r="C520" s="120">
        <f t="array" ref="C520:C520">IF(A520="","",IFERROR(INDEX('3.員工名單'!$C:$C,MATCH(A520,'3.員工名單'!$A:$A,0)),""))</f>
        <v/>
      </c>
      <c r="D520" s="120">
        <f t="array" ref="D520:D520">IF(A520="","",IFERROR(INDEX('3.員工名單'!$D:$D,MATCH(A520,'3.員工名單'!$A:$A,0)),""))</f>
        <v/>
      </c>
      <c r="E520" s="120">
        <f t="array" ref="E520:E520">IF(F520="","",IFERROR(INDEX('1.職能辭典'!$A:$A,MATCH(F520,'1.職能辭典'!$C:$C,0)),""))</f>
        <v/>
      </c>
      <c r="F520" s="94" t="n"/>
      <c r="G520" s="120">
        <f t="array" ref="G520:G520">IF(OR(D520="",F520=""),"",IFERROR(IF(AND(OR(INDEX('1.職能辭典'!$J:$J,MATCH(F520,'1.職能辭典'!$C:$C,0))="全部",INDEX('3.員工名單'!$H:$H,MATCH(A520,'3.員工名單'!$A:$A,0))="兩款共用",INDEX('3.員工名單'!$H:$H,MATCH(A520,'3.員工名單'!$A:$A,0))=INDEX('1.職能辭典'!$J:$J,MATCH(F520,'1.職能辭典'!$C:$C,0))),OR(INDEX('1.職能辭典'!$K:$K,MATCH(F520,'1.職能辭典'!$C:$C,0))="全部",SUMPRODUCT(ISNUMBER(SEARCH({"經營","管理","財務","企劃","營運","技術","數據","美術","測試","客服"},INDEX('3.員工名單'!$I:$I,MATCH(A520,'3.員工名單'!$A:$A,0))))*ISNUMBER(SEARCH({"經營","管理","財務","企劃","營運","技術","數據","美術","測試","客服"},INDEX('1.職能辭典'!$K:$K,MATCH(F520,'1.職能辭典'!$C:$C,0)))))&gt;0)),INDEX('2.職務職能需求'!$B$2:$F$28,MATCH(F520,'2.職務職能需求'!$A$2:$A$28,0),MATCH(D520,'2.職務職能需求'!$B$1:$F$1,0)),0),""))</f>
        <v/>
      </c>
      <c r="H520" s="94" t="n"/>
      <c r="I520" s="94" t="n"/>
      <c r="J520" s="120">
        <f>IF(OR(G520="",I520="",G520=0),"",I520-G520)</f>
        <v/>
      </c>
      <c r="K520" s="120">
        <f>IF(G520="","",IF(G520=0,"不適用",IF(I520="","待評核",IF(I520&gt;=G520,IF(I520&gt;G520,"超越","達標"),"待發展"))))</f>
        <v/>
      </c>
      <c r="L520" s="91" t="n"/>
      <c r="M520" s="91" t="n"/>
      <c r="N520" s="88" t="n"/>
    </row>
    <row r="521" ht="15.75" customHeight="1" s="64">
      <c r="A521" s="88" t="n"/>
      <c r="B521" s="120">
        <f t="array" ref="B521:B521">IF(A521="","",IFERROR(INDEX('3.員工名單'!$B:$B,MATCH(A521,'3.員工名單'!$A:$A,0)),"查無此員工"))</f>
        <v/>
      </c>
      <c r="C521" s="120">
        <f t="array" ref="C521:C521">IF(A521="","",IFERROR(INDEX('3.員工名單'!$C:$C,MATCH(A521,'3.員工名單'!$A:$A,0)),""))</f>
        <v/>
      </c>
      <c r="D521" s="120">
        <f t="array" ref="D521:D521">IF(A521="","",IFERROR(INDEX('3.員工名單'!$D:$D,MATCH(A521,'3.員工名單'!$A:$A,0)),""))</f>
        <v/>
      </c>
      <c r="E521" s="120">
        <f t="array" ref="E521:E521">IF(F521="","",IFERROR(INDEX('1.職能辭典'!$A:$A,MATCH(F521,'1.職能辭典'!$C:$C,0)),""))</f>
        <v/>
      </c>
      <c r="F521" s="94" t="n"/>
      <c r="G521" s="120">
        <f t="array" ref="G521:G521">IF(OR(D521="",F521=""),"",IFERROR(IF(AND(OR(INDEX('1.職能辭典'!$J:$J,MATCH(F521,'1.職能辭典'!$C:$C,0))="全部",INDEX('3.員工名單'!$H:$H,MATCH(A521,'3.員工名單'!$A:$A,0))="兩款共用",INDEX('3.員工名單'!$H:$H,MATCH(A521,'3.員工名單'!$A:$A,0))=INDEX('1.職能辭典'!$J:$J,MATCH(F521,'1.職能辭典'!$C:$C,0))),OR(INDEX('1.職能辭典'!$K:$K,MATCH(F521,'1.職能辭典'!$C:$C,0))="全部",SUMPRODUCT(ISNUMBER(SEARCH({"經營","管理","財務","企劃","營運","技術","數據","美術","測試","客服"},INDEX('3.員工名單'!$I:$I,MATCH(A521,'3.員工名單'!$A:$A,0))))*ISNUMBER(SEARCH({"經營","管理","財務","企劃","營運","技術","數據","美術","測試","客服"},INDEX('1.職能辭典'!$K:$K,MATCH(F521,'1.職能辭典'!$C:$C,0)))))&gt;0)),INDEX('2.職務職能需求'!$B$2:$F$28,MATCH(F521,'2.職務職能需求'!$A$2:$A$28,0),MATCH(D521,'2.職務職能需求'!$B$1:$F$1,0)),0),""))</f>
        <v/>
      </c>
      <c r="H521" s="94" t="n"/>
      <c r="I521" s="94" t="n"/>
      <c r="J521" s="120">
        <f>IF(OR(G521="",I521="",G521=0),"",I521-G521)</f>
        <v/>
      </c>
      <c r="K521" s="120">
        <f>IF(G521="","",IF(G521=0,"不適用",IF(I521="","待評核",IF(I521&gt;=G521,IF(I521&gt;G521,"超越","達標"),"待發展"))))</f>
        <v/>
      </c>
      <c r="L521" s="91" t="n"/>
      <c r="M521" s="91" t="n"/>
      <c r="N521" s="88" t="n"/>
    </row>
    <row r="522" ht="15.75" customHeight="1" s="64">
      <c r="A522" s="88" t="n"/>
      <c r="B522" s="120">
        <f t="array" ref="B522:B522">IF(A522="","",IFERROR(INDEX('3.員工名單'!$B:$B,MATCH(A522,'3.員工名單'!$A:$A,0)),"查無此員工"))</f>
        <v/>
      </c>
      <c r="C522" s="120">
        <f t="array" ref="C522:C522">IF(A522="","",IFERROR(INDEX('3.員工名單'!$C:$C,MATCH(A522,'3.員工名單'!$A:$A,0)),""))</f>
        <v/>
      </c>
      <c r="D522" s="120">
        <f t="array" ref="D522:D522">IF(A522="","",IFERROR(INDEX('3.員工名單'!$D:$D,MATCH(A522,'3.員工名單'!$A:$A,0)),""))</f>
        <v/>
      </c>
      <c r="E522" s="120">
        <f t="array" ref="E522:E522">IF(F522="","",IFERROR(INDEX('1.職能辭典'!$A:$A,MATCH(F522,'1.職能辭典'!$C:$C,0)),""))</f>
        <v/>
      </c>
      <c r="F522" s="94" t="n"/>
      <c r="G522" s="120">
        <f t="array" ref="G522:G522">IF(OR(D522="",F522=""),"",IFERROR(IF(AND(OR(INDEX('1.職能辭典'!$J:$J,MATCH(F522,'1.職能辭典'!$C:$C,0))="全部",INDEX('3.員工名單'!$H:$H,MATCH(A522,'3.員工名單'!$A:$A,0))="兩款共用",INDEX('3.員工名單'!$H:$H,MATCH(A522,'3.員工名單'!$A:$A,0))=INDEX('1.職能辭典'!$J:$J,MATCH(F522,'1.職能辭典'!$C:$C,0))),OR(INDEX('1.職能辭典'!$K:$K,MATCH(F522,'1.職能辭典'!$C:$C,0))="全部",SUMPRODUCT(ISNUMBER(SEARCH({"經營","管理","財務","企劃","營運","技術","數據","美術","測試","客服"},INDEX('3.員工名單'!$I:$I,MATCH(A522,'3.員工名單'!$A:$A,0))))*ISNUMBER(SEARCH({"經營","管理","財務","企劃","營運","技術","數據","美術","測試","客服"},INDEX('1.職能辭典'!$K:$K,MATCH(F522,'1.職能辭典'!$C:$C,0)))))&gt;0)),INDEX('2.職務職能需求'!$B$2:$F$28,MATCH(F522,'2.職務職能需求'!$A$2:$A$28,0),MATCH(D522,'2.職務職能需求'!$B$1:$F$1,0)),0),""))</f>
        <v/>
      </c>
      <c r="H522" s="94" t="n"/>
      <c r="I522" s="94" t="n"/>
      <c r="J522" s="120">
        <f>IF(OR(G522="",I522="",G522=0),"",I522-G522)</f>
        <v/>
      </c>
      <c r="K522" s="120">
        <f>IF(G522="","",IF(G522=0,"不適用",IF(I522="","待評核",IF(I522&gt;=G522,IF(I522&gt;G522,"超越","達標"),"待發展"))))</f>
        <v/>
      </c>
      <c r="L522" s="91" t="n"/>
      <c r="M522" s="91" t="n"/>
      <c r="N522" s="88" t="n"/>
    </row>
    <row r="523" ht="15.75" customHeight="1" s="64">
      <c r="A523" s="88" t="n"/>
      <c r="B523" s="120">
        <f t="array" ref="B523:B523">IF(A523="","",IFERROR(INDEX('3.員工名單'!$B:$B,MATCH(A523,'3.員工名單'!$A:$A,0)),"查無此員工"))</f>
        <v/>
      </c>
      <c r="C523" s="120">
        <f t="array" ref="C523:C523">IF(A523="","",IFERROR(INDEX('3.員工名單'!$C:$C,MATCH(A523,'3.員工名單'!$A:$A,0)),""))</f>
        <v/>
      </c>
      <c r="D523" s="120">
        <f t="array" ref="D523:D523">IF(A523="","",IFERROR(INDEX('3.員工名單'!$D:$D,MATCH(A523,'3.員工名單'!$A:$A,0)),""))</f>
        <v/>
      </c>
      <c r="E523" s="120">
        <f t="array" ref="E523:E523">IF(F523="","",IFERROR(INDEX('1.職能辭典'!$A:$A,MATCH(F523,'1.職能辭典'!$C:$C,0)),""))</f>
        <v/>
      </c>
      <c r="F523" s="94" t="n"/>
      <c r="G523" s="120">
        <f t="array" ref="G523:G523">IF(OR(D523="",F523=""),"",IFERROR(IF(AND(OR(INDEX('1.職能辭典'!$J:$J,MATCH(F523,'1.職能辭典'!$C:$C,0))="全部",INDEX('3.員工名單'!$H:$H,MATCH(A523,'3.員工名單'!$A:$A,0))="兩款共用",INDEX('3.員工名單'!$H:$H,MATCH(A523,'3.員工名單'!$A:$A,0))=INDEX('1.職能辭典'!$J:$J,MATCH(F523,'1.職能辭典'!$C:$C,0))),OR(INDEX('1.職能辭典'!$K:$K,MATCH(F523,'1.職能辭典'!$C:$C,0))="全部",SUMPRODUCT(ISNUMBER(SEARCH({"經營","管理","財務","企劃","營運","技術","數據","美術","測試","客服"},INDEX('3.員工名單'!$I:$I,MATCH(A523,'3.員工名單'!$A:$A,0))))*ISNUMBER(SEARCH({"經營","管理","財務","企劃","營運","技術","數據","美術","測試","客服"},INDEX('1.職能辭典'!$K:$K,MATCH(F523,'1.職能辭典'!$C:$C,0)))))&gt;0)),INDEX('2.職務職能需求'!$B$2:$F$28,MATCH(F523,'2.職務職能需求'!$A$2:$A$28,0),MATCH(D523,'2.職務職能需求'!$B$1:$F$1,0)),0),""))</f>
        <v/>
      </c>
      <c r="H523" s="94" t="n"/>
      <c r="I523" s="94" t="n"/>
      <c r="J523" s="120">
        <f>IF(OR(G523="",I523="",G523=0),"",I523-G523)</f>
        <v/>
      </c>
      <c r="K523" s="120">
        <f>IF(G523="","",IF(G523=0,"不適用",IF(I523="","待評核",IF(I523&gt;=G523,IF(I523&gt;G523,"超越","達標"),"待發展"))))</f>
        <v/>
      </c>
      <c r="L523" s="91" t="n"/>
      <c r="M523" s="91" t="n"/>
      <c r="N523" s="88" t="n"/>
    </row>
    <row r="524" ht="15.75" customHeight="1" s="64">
      <c r="A524" s="88" t="n"/>
      <c r="B524" s="120">
        <f t="array" ref="B524:B524">IF(A524="","",IFERROR(INDEX('3.員工名單'!$B:$B,MATCH(A524,'3.員工名單'!$A:$A,0)),"查無此員工"))</f>
        <v/>
      </c>
      <c r="C524" s="120">
        <f t="array" ref="C524:C524">IF(A524="","",IFERROR(INDEX('3.員工名單'!$C:$C,MATCH(A524,'3.員工名單'!$A:$A,0)),""))</f>
        <v/>
      </c>
      <c r="D524" s="120">
        <f t="array" ref="D524:D524">IF(A524="","",IFERROR(INDEX('3.員工名單'!$D:$D,MATCH(A524,'3.員工名單'!$A:$A,0)),""))</f>
        <v/>
      </c>
      <c r="E524" s="120">
        <f t="array" ref="E524:E524">IF(F524="","",IFERROR(INDEX('1.職能辭典'!$A:$A,MATCH(F524,'1.職能辭典'!$C:$C,0)),""))</f>
        <v/>
      </c>
      <c r="F524" s="94" t="n"/>
      <c r="G524" s="120">
        <f t="array" ref="G524:G524">IF(OR(D524="",F524=""),"",IFERROR(IF(AND(OR(INDEX('1.職能辭典'!$J:$J,MATCH(F524,'1.職能辭典'!$C:$C,0))="全部",INDEX('3.員工名單'!$H:$H,MATCH(A524,'3.員工名單'!$A:$A,0))="兩款共用",INDEX('3.員工名單'!$H:$H,MATCH(A524,'3.員工名單'!$A:$A,0))=INDEX('1.職能辭典'!$J:$J,MATCH(F524,'1.職能辭典'!$C:$C,0))),OR(INDEX('1.職能辭典'!$K:$K,MATCH(F524,'1.職能辭典'!$C:$C,0))="全部",SUMPRODUCT(ISNUMBER(SEARCH({"經營","管理","財務","企劃","營運","技術","數據","美術","測試","客服"},INDEX('3.員工名單'!$I:$I,MATCH(A524,'3.員工名單'!$A:$A,0))))*ISNUMBER(SEARCH({"經營","管理","財務","企劃","營運","技術","數據","美術","測試","客服"},INDEX('1.職能辭典'!$K:$K,MATCH(F524,'1.職能辭典'!$C:$C,0)))))&gt;0)),INDEX('2.職務職能需求'!$B$2:$F$28,MATCH(F524,'2.職務職能需求'!$A$2:$A$28,0),MATCH(D524,'2.職務職能需求'!$B$1:$F$1,0)),0),""))</f>
        <v/>
      </c>
      <c r="H524" s="94" t="n"/>
      <c r="I524" s="94" t="n"/>
      <c r="J524" s="120">
        <f>IF(OR(G524="",I524="",G524=0),"",I524-G524)</f>
        <v/>
      </c>
      <c r="K524" s="120">
        <f>IF(G524="","",IF(G524=0,"不適用",IF(I524="","待評核",IF(I524&gt;=G524,IF(I524&gt;G524,"超越","達標"),"待發展"))))</f>
        <v/>
      </c>
      <c r="L524" s="91" t="n"/>
      <c r="M524" s="91" t="n"/>
      <c r="N524" s="88" t="n"/>
    </row>
    <row r="525" ht="15.75" customHeight="1" s="64">
      <c r="A525" s="88" t="n"/>
      <c r="B525" s="120">
        <f t="array" ref="B525:B525">IF(A525="","",IFERROR(INDEX('3.員工名單'!$B:$B,MATCH(A525,'3.員工名單'!$A:$A,0)),"查無此員工"))</f>
        <v/>
      </c>
      <c r="C525" s="120">
        <f t="array" ref="C525:C525">IF(A525="","",IFERROR(INDEX('3.員工名單'!$C:$C,MATCH(A525,'3.員工名單'!$A:$A,0)),""))</f>
        <v/>
      </c>
      <c r="D525" s="120">
        <f t="array" ref="D525:D525">IF(A525="","",IFERROR(INDEX('3.員工名單'!$D:$D,MATCH(A525,'3.員工名單'!$A:$A,0)),""))</f>
        <v/>
      </c>
      <c r="E525" s="120">
        <f t="array" ref="E525:E525">IF(F525="","",IFERROR(INDEX('1.職能辭典'!$A:$A,MATCH(F525,'1.職能辭典'!$C:$C,0)),""))</f>
        <v/>
      </c>
      <c r="F525" s="94" t="n"/>
      <c r="G525" s="120">
        <f t="array" ref="G525:G525">IF(OR(D525="",F525=""),"",IFERROR(IF(AND(OR(INDEX('1.職能辭典'!$J:$J,MATCH(F525,'1.職能辭典'!$C:$C,0))="全部",INDEX('3.員工名單'!$H:$H,MATCH(A525,'3.員工名單'!$A:$A,0))="兩款共用",INDEX('3.員工名單'!$H:$H,MATCH(A525,'3.員工名單'!$A:$A,0))=INDEX('1.職能辭典'!$J:$J,MATCH(F525,'1.職能辭典'!$C:$C,0))),OR(INDEX('1.職能辭典'!$K:$K,MATCH(F525,'1.職能辭典'!$C:$C,0))="全部",SUMPRODUCT(ISNUMBER(SEARCH({"經營","管理","財務","企劃","營運","技術","數據","美術","測試","客服"},INDEX('3.員工名單'!$I:$I,MATCH(A525,'3.員工名單'!$A:$A,0))))*ISNUMBER(SEARCH({"經營","管理","財務","企劃","營運","技術","數據","美術","測試","客服"},INDEX('1.職能辭典'!$K:$K,MATCH(F525,'1.職能辭典'!$C:$C,0)))))&gt;0)),INDEX('2.職務職能需求'!$B$2:$F$28,MATCH(F525,'2.職務職能需求'!$A$2:$A$28,0),MATCH(D525,'2.職務職能需求'!$B$1:$F$1,0)),0),""))</f>
        <v/>
      </c>
      <c r="H525" s="94" t="n"/>
      <c r="I525" s="94" t="n"/>
      <c r="J525" s="120">
        <f>IF(OR(G525="",I525="",G525=0),"",I525-G525)</f>
        <v/>
      </c>
      <c r="K525" s="120">
        <f>IF(G525="","",IF(G525=0,"不適用",IF(I525="","待評核",IF(I525&gt;=G525,IF(I525&gt;G525,"超越","達標"),"待發展"))))</f>
        <v/>
      </c>
      <c r="L525" s="91" t="n"/>
      <c r="M525" s="91" t="n"/>
      <c r="N525" s="88" t="n"/>
    </row>
    <row r="526" ht="15.75" customHeight="1" s="64">
      <c r="A526" s="88" t="n"/>
      <c r="B526" s="120">
        <f t="array" ref="B526:B526">IF(A526="","",IFERROR(INDEX('3.員工名單'!$B:$B,MATCH(A526,'3.員工名單'!$A:$A,0)),"查無此員工"))</f>
        <v/>
      </c>
      <c r="C526" s="120">
        <f t="array" ref="C526:C526">IF(A526="","",IFERROR(INDEX('3.員工名單'!$C:$C,MATCH(A526,'3.員工名單'!$A:$A,0)),""))</f>
        <v/>
      </c>
      <c r="D526" s="120">
        <f t="array" ref="D526:D526">IF(A526="","",IFERROR(INDEX('3.員工名單'!$D:$D,MATCH(A526,'3.員工名單'!$A:$A,0)),""))</f>
        <v/>
      </c>
      <c r="E526" s="120">
        <f t="array" ref="E526:E526">IF(F526="","",IFERROR(INDEX('1.職能辭典'!$A:$A,MATCH(F526,'1.職能辭典'!$C:$C,0)),""))</f>
        <v/>
      </c>
      <c r="F526" s="94" t="n"/>
      <c r="G526" s="120">
        <f t="array" ref="G526:G526">IF(OR(D526="",F526=""),"",IFERROR(IF(AND(OR(INDEX('1.職能辭典'!$J:$J,MATCH(F526,'1.職能辭典'!$C:$C,0))="全部",INDEX('3.員工名單'!$H:$H,MATCH(A526,'3.員工名單'!$A:$A,0))="兩款共用",INDEX('3.員工名單'!$H:$H,MATCH(A526,'3.員工名單'!$A:$A,0))=INDEX('1.職能辭典'!$J:$J,MATCH(F526,'1.職能辭典'!$C:$C,0))),OR(INDEX('1.職能辭典'!$K:$K,MATCH(F526,'1.職能辭典'!$C:$C,0))="全部",SUMPRODUCT(ISNUMBER(SEARCH({"經營","管理","財務","企劃","營運","技術","數據","美術","測試","客服"},INDEX('3.員工名單'!$I:$I,MATCH(A526,'3.員工名單'!$A:$A,0))))*ISNUMBER(SEARCH({"經營","管理","財務","企劃","營運","技術","數據","美術","測試","客服"},INDEX('1.職能辭典'!$K:$K,MATCH(F526,'1.職能辭典'!$C:$C,0)))))&gt;0)),INDEX('2.職務職能需求'!$B$2:$F$28,MATCH(F526,'2.職務職能需求'!$A$2:$A$28,0),MATCH(D526,'2.職務職能需求'!$B$1:$F$1,0)),0),""))</f>
        <v/>
      </c>
      <c r="H526" s="94" t="n"/>
      <c r="I526" s="94" t="n"/>
      <c r="J526" s="120">
        <f>IF(OR(G526="",I526="",G526=0),"",I526-G526)</f>
        <v/>
      </c>
      <c r="K526" s="120">
        <f>IF(G526="","",IF(G526=0,"不適用",IF(I526="","待評核",IF(I526&gt;=G526,IF(I526&gt;G526,"超越","達標"),"待發展"))))</f>
        <v/>
      </c>
      <c r="L526" s="91" t="n"/>
      <c r="M526" s="91" t="n"/>
      <c r="N526" s="88" t="n"/>
    </row>
    <row r="527" ht="15.75" customHeight="1" s="64">
      <c r="A527" s="88" t="n"/>
      <c r="B527" s="120">
        <f t="array" ref="B527:B527">IF(A527="","",IFERROR(INDEX('3.員工名單'!$B:$B,MATCH(A527,'3.員工名單'!$A:$A,0)),"查無此員工"))</f>
        <v/>
      </c>
      <c r="C527" s="120">
        <f t="array" ref="C527:C527">IF(A527="","",IFERROR(INDEX('3.員工名單'!$C:$C,MATCH(A527,'3.員工名單'!$A:$A,0)),""))</f>
        <v/>
      </c>
      <c r="D527" s="120">
        <f t="array" ref="D527:D527">IF(A527="","",IFERROR(INDEX('3.員工名單'!$D:$D,MATCH(A527,'3.員工名單'!$A:$A,0)),""))</f>
        <v/>
      </c>
      <c r="E527" s="120">
        <f t="array" ref="E527:E527">IF(F527="","",IFERROR(INDEX('1.職能辭典'!$A:$A,MATCH(F527,'1.職能辭典'!$C:$C,0)),""))</f>
        <v/>
      </c>
      <c r="F527" s="94" t="n"/>
      <c r="G527" s="120">
        <f t="array" ref="G527:G527">IF(OR(D527="",F527=""),"",IFERROR(IF(AND(OR(INDEX('1.職能辭典'!$J:$J,MATCH(F527,'1.職能辭典'!$C:$C,0))="全部",INDEX('3.員工名單'!$H:$H,MATCH(A527,'3.員工名單'!$A:$A,0))="兩款共用",INDEX('3.員工名單'!$H:$H,MATCH(A527,'3.員工名單'!$A:$A,0))=INDEX('1.職能辭典'!$J:$J,MATCH(F527,'1.職能辭典'!$C:$C,0))),OR(INDEX('1.職能辭典'!$K:$K,MATCH(F527,'1.職能辭典'!$C:$C,0))="全部",SUMPRODUCT(ISNUMBER(SEARCH({"經營","管理","財務","企劃","營運","技術","數據","美術","測試","客服"},INDEX('3.員工名單'!$I:$I,MATCH(A527,'3.員工名單'!$A:$A,0))))*ISNUMBER(SEARCH({"經營","管理","財務","企劃","營運","技術","數據","美術","測試","客服"},INDEX('1.職能辭典'!$K:$K,MATCH(F527,'1.職能辭典'!$C:$C,0)))))&gt;0)),INDEX('2.職務職能需求'!$B$2:$F$28,MATCH(F527,'2.職務職能需求'!$A$2:$A$28,0),MATCH(D527,'2.職務職能需求'!$B$1:$F$1,0)),0),""))</f>
        <v/>
      </c>
      <c r="H527" s="94" t="n"/>
      <c r="I527" s="94" t="n"/>
      <c r="J527" s="120">
        <f>IF(OR(G527="",I527="",G527=0),"",I527-G527)</f>
        <v/>
      </c>
      <c r="K527" s="120">
        <f>IF(G527="","",IF(G527=0,"不適用",IF(I527="","待評核",IF(I527&gt;=G527,IF(I527&gt;G527,"超越","達標"),"待發展"))))</f>
        <v/>
      </c>
      <c r="L527" s="91" t="n"/>
      <c r="M527" s="91" t="n"/>
      <c r="N527" s="88" t="n"/>
    </row>
    <row r="528" ht="15.75" customHeight="1" s="64">
      <c r="A528" s="88" t="n"/>
      <c r="B528" s="120">
        <f t="array" ref="B528:B528">IF(A528="","",IFERROR(INDEX('3.員工名單'!$B:$B,MATCH(A528,'3.員工名單'!$A:$A,0)),"查無此員工"))</f>
        <v/>
      </c>
      <c r="C528" s="120">
        <f t="array" ref="C528:C528">IF(A528="","",IFERROR(INDEX('3.員工名單'!$C:$C,MATCH(A528,'3.員工名單'!$A:$A,0)),""))</f>
        <v/>
      </c>
      <c r="D528" s="120">
        <f t="array" ref="D528:D528">IF(A528="","",IFERROR(INDEX('3.員工名單'!$D:$D,MATCH(A528,'3.員工名單'!$A:$A,0)),""))</f>
        <v/>
      </c>
      <c r="E528" s="120">
        <f t="array" ref="E528:E528">IF(F528="","",IFERROR(INDEX('1.職能辭典'!$A:$A,MATCH(F528,'1.職能辭典'!$C:$C,0)),""))</f>
        <v/>
      </c>
      <c r="F528" s="94" t="n"/>
      <c r="G528" s="120">
        <f t="array" ref="G528:G528">IF(OR(D528="",F528=""),"",IFERROR(IF(AND(OR(INDEX('1.職能辭典'!$J:$J,MATCH(F528,'1.職能辭典'!$C:$C,0))="全部",INDEX('3.員工名單'!$H:$H,MATCH(A528,'3.員工名單'!$A:$A,0))="兩款共用",INDEX('3.員工名單'!$H:$H,MATCH(A528,'3.員工名單'!$A:$A,0))=INDEX('1.職能辭典'!$J:$J,MATCH(F528,'1.職能辭典'!$C:$C,0))),OR(INDEX('1.職能辭典'!$K:$K,MATCH(F528,'1.職能辭典'!$C:$C,0))="全部",SUMPRODUCT(ISNUMBER(SEARCH({"經營","管理","財務","企劃","營運","技術","數據","美術","測試","客服"},INDEX('3.員工名單'!$I:$I,MATCH(A528,'3.員工名單'!$A:$A,0))))*ISNUMBER(SEARCH({"經營","管理","財務","企劃","營運","技術","數據","美術","測試","客服"},INDEX('1.職能辭典'!$K:$K,MATCH(F528,'1.職能辭典'!$C:$C,0)))))&gt;0)),INDEX('2.職務職能需求'!$B$2:$F$28,MATCH(F528,'2.職務職能需求'!$A$2:$A$28,0),MATCH(D528,'2.職務職能需求'!$B$1:$F$1,0)),0),""))</f>
        <v/>
      </c>
      <c r="H528" s="94" t="n"/>
      <c r="I528" s="94" t="n"/>
      <c r="J528" s="120">
        <f>IF(OR(G528="",I528="",G528=0),"",I528-G528)</f>
        <v/>
      </c>
      <c r="K528" s="120">
        <f>IF(G528="","",IF(G528=0,"不適用",IF(I528="","待評核",IF(I528&gt;=G528,IF(I528&gt;G528,"超越","達標"),"待發展"))))</f>
        <v/>
      </c>
      <c r="L528" s="91" t="n"/>
      <c r="M528" s="91" t="n"/>
      <c r="N528" s="88" t="n"/>
    </row>
    <row r="529" ht="15.75" customHeight="1" s="64">
      <c r="A529" s="88" t="n"/>
      <c r="B529" s="120">
        <f t="array" ref="B529:B529">IF(A529="","",IFERROR(INDEX('3.員工名單'!$B:$B,MATCH(A529,'3.員工名單'!$A:$A,0)),"查無此員工"))</f>
        <v/>
      </c>
      <c r="C529" s="120">
        <f t="array" ref="C529:C529">IF(A529="","",IFERROR(INDEX('3.員工名單'!$C:$C,MATCH(A529,'3.員工名單'!$A:$A,0)),""))</f>
        <v/>
      </c>
      <c r="D529" s="120">
        <f t="array" ref="D529:D529">IF(A529="","",IFERROR(INDEX('3.員工名單'!$D:$D,MATCH(A529,'3.員工名單'!$A:$A,0)),""))</f>
        <v/>
      </c>
      <c r="E529" s="120">
        <f t="array" ref="E529:E529">IF(F529="","",IFERROR(INDEX('1.職能辭典'!$A:$A,MATCH(F529,'1.職能辭典'!$C:$C,0)),""))</f>
        <v/>
      </c>
      <c r="F529" s="94" t="n"/>
      <c r="G529" s="120">
        <f t="array" ref="G529:G529">IF(OR(D529="",F529=""),"",IFERROR(IF(AND(OR(INDEX('1.職能辭典'!$J:$J,MATCH(F529,'1.職能辭典'!$C:$C,0))="全部",INDEX('3.員工名單'!$H:$H,MATCH(A529,'3.員工名單'!$A:$A,0))="兩款共用",INDEX('3.員工名單'!$H:$H,MATCH(A529,'3.員工名單'!$A:$A,0))=INDEX('1.職能辭典'!$J:$J,MATCH(F529,'1.職能辭典'!$C:$C,0))),OR(INDEX('1.職能辭典'!$K:$K,MATCH(F529,'1.職能辭典'!$C:$C,0))="全部",SUMPRODUCT(ISNUMBER(SEARCH({"經營","管理","財務","企劃","營運","技術","數據","美術","測試","客服"},INDEX('3.員工名單'!$I:$I,MATCH(A529,'3.員工名單'!$A:$A,0))))*ISNUMBER(SEARCH({"經營","管理","財務","企劃","營運","技術","數據","美術","測試","客服"},INDEX('1.職能辭典'!$K:$K,MATCH(F529,'1.職能辭典'!$C:$C,0)))))&gt;0)),INDEX('2.職務職能需求'!$B$2:$F$28,MATCH(F529,'2.職務職能需求'!$A$2:$A$28,0),MATCH(D529,'2.職務職能需求'!$B$1:$F$1,0)),0),""))</f>
        <v/>
      </c>
      <c r="H529" s="94" t="n"/>
      <c r="I529" s="94" t="n"/>
      <c r="J529" s="120">
        <f>IF(OR(G529="",I529="",G529=0),"",I529-G529)</f>
        <v/>
      </c>
      <c r="K529" s="120">
        <f>IF(G529="","",IF(G529=0,"不適用",IF(I529="","待評核",IF(I529&gt;=G529,IF(I529&gt;G529,"超越","達標"),"待發展"))))</f>
        <v/>
      </c>
      <c r="L529" s="91" t="n"/>
      <c r="M529" s="91" t="n"/>
      <c r="N529" s="88" t="n"/>
    </row>
    <row r="530" ht="15.75" customHeight="1" s="64">
      <c r="A530" s="88" t="n"/>
      <c r="B530" s="120">
        <f t="array" ref="B530:B530">IF(A530="","",IFERROR(INDEX('3.員工名單'!$B:$B,MATCH(A530,'3.員工名單'!$A:$A,0)),"查無此員工"))</f>
        <v/>
      </c>
      <c r="C530" s="120">
        <f t="array" ref="C530:C530">IF(A530="","",IFERROR(INDEX('3.員工名單'!$C:$C,MATCH(A530,'3.員工名單'!$A:$A,0)),""))</f>
        <v/>
      </c>
      <c r="D530" s="120">
        <f t="array" ref="D530:D530">IF(A530="","",IFERROR(INDEX('3.員工名單'!$D:$D,MATCH(A530,'3.員工名單'!$A:$A,0)),""))</f>
        <v/>
      </c>
      <c r="E530" s="120">
        <f t="array" ref="E530:E530">IF(F530="","",IFERROR(INDEX('1.職能辭典'!$A:$A,MATCH(F530,'1.職能辭典'!$C:$C,0)),""))</f>
        <v/>
      </c>
      <c r="F530" s="94" t="n"/>
      <c r="G530" s="120">
        <f t="array" ref="G530:G530">IF(OR(D530="",F530=""),"",IFERROR(IF(AND(OR(INDEX('1.職能辭典'!$J:$J,MATCH(F530,'1.職能辭典'!$C:$C,0))="全部",INDEX('3.員工名單'!$H:$H,MATCH(A530,'3.員工名單'!$A:$A,0))="兩款共用",INDEX('3.員工名單'!$H:$H,MATCH(A530,'3.員工名單'!$A:$A,0))=INDEX('1.職能辭典'!$J:$J,MATCH(F530,'1.職能辭典'!$C:$C,0))),OR(INDEX('1.職能辭典'!$K:$K,MATCH(F530,'1.職能辭典'!$C:$C,0))="全部",SUMPRODUCT(ISNUMBER(SEARCH({"經營","管理","財務","企劃","營運","技術","數據","美術","測試","客服"},INDEX('3.員工名單'!$I:$I,MATCH(A530,'3.員工名單'!$A:$A,0))))*ISNUMBER(SEARCH({"經營","管理","財務","企劃","營運","技術","數據","美術","測試","客服"},INDEX('1.職能辭典'!$K:$K,MATCH(F530,'1.職能辭典'!$C:$C,0)))))&gt;0)),INDEX('2.職務職能需求'!$B$2:$F$28,MATCH(F530,'2.職務職能需求'!$A$2:$A$28,0),MATCH(D530,'2.職務職能需求'!$B$1:$F$1,0)),0),""))</f>
        <v/>
      </c>
      <c r="H530" s="94" t="n"/>
      <c r="I530" s="94" t="n"/>
      <c r="J530" s="120">
        <f>IF(OR(G530="",I530="",G530=0),"",I530-G530)</f>
        <v/>
      </c>
      <c r="K530" s="120">
        <f>IF(G530="","",IF(G530=0,"不適用",IF(I530="","待評核",IF(I530&gt;=G530,IF(I530&gt;G530,"超越","達標"),"待發展"))))</f>
        <v/>
      </c>
      <c r="L530" s="91" t="n"/>
      <c r="M530" s="91" t="n"/>
      <c r="N530" s="88" t="n"/>
    </row>
    <row r="531" ht="15.75" customHeight="1" s="64">
      <c r="A531" s="88" t="n"/>
      <c r="B531" s="120">
        <f t="array" ref="B531:B531">IF(A531="","",IFERROR(INDEX('3.員工名單'!$B:$B,MATCH(A531,'3.員工名單'!$A:$A,0)),"查無此員工"))</f>
        <v/>
      </c>
      <c r="C531" s="120">
        <f t="array" ref="C531:C531">IF(A531="","",IFERROR(INDEX('3.員工名單'!$C:$C,MATCH(A531,'3.員工名單'!$A:$A,0)),""))</f>
        <v/>
      </c>
      <c r="D531" s="120">
        <f t="array" ref="D531:D531">IF(A531="","",IFERROR(INDEX('3.員工名單'!$D:$D,MATCH(A531,'3.員工名單'!$A:$A,0)),""))</f>
        <v/>
      </c>
      <c r="E531" s="120">
        <f t="array" ref="E531:E531">IF(F531="","",IFERROR(INDEX('1.職能辭典'!$A:$A,MATCH(F531,'1.職能辭典'!$C:$C,0)),""))</f>
        <v/>
      </c>
      <c r="F531" s="94" t="n"/>
      <c r="G531" s="120">
        <f t="array" ref="G531:G531">IF(OR(D531="",F531=""),"",IFERROR(IF(AND(OR(INDEX('1.職能辭典'!$J:$J,MATCH(F531,'1.職能辭典'!$C:$C,0))="全部",INDEX('3.員工名單'!$H:$H,MATCH(A531,'3.員工名單'!$A:$A,0))="兩款共用",INDEX('3.員工名單'!$H:$H,MATCH(A531,'3.員工名單'!$A:$A,0))=INDEX('1.職能辭典'!$J:$J,MATCH(F531,'1.職能辭典'!$C:$C,0))),OR(INDEX('1.職能辭典'!$K:$K,MATCH(F531,'1.職能辭典'!$C:$C,0))="全部",SUMPRODUCT(ISNUMBER(SEARCH({"經營","管理","財務","企劃","營運","技術","數據","美術","測試","客服"},INDEX('3.員工名單'!$I:$I,MATCH(A531,'3.員工名單'!$A:$A,0))))*ISNUMBER(SEARCH({"經營","管理","財務","企劃","營運","技術","數據","美術","測試","客服"},INDEX('1.職能辭典'!$K:$K,MATCH(F531,'1.職能辭典'!$C:$C,0)))))&gt;0)),INDEX('2.職務職能需求'!$B$2:$F$28,MATCH(F531,'2.職務職能需求'!$A$2:$A$28,0),MATCH(D531,'2.職務職能需求'!$B$1:$F$1,0)),0),""))</f>
        <v/>
      </c>
      <c r="H531" s="94" t="n"/>
      <c r="I531" s="94" t="n"/>
      <c r="J531" s="120">
        <f>IF(OR(G531="",I531="",G531=0),"",I531-G531)</f>
        <v/>
      </c>
      <c r="K531" s="120">
        <f>IF(G531="","",IF(G531=0,"不適用",IF(I531="","待評核",IF(I531&gt;=G531,IF(I531&gt;G531,"超越","達標"),"待發展"))))</f>
        <v/>
      </c>
      <c r="L531" s="91" t="n"/>
      <c r="M531" s="91" t="n"/>
      <c r="N531" s="88" t="n"/>
    </row>
    <row r="532" ht="15.75" customHeight="1" s="64">
      <c r="A532" s="88" t="n"/>
      <c r="B532" s="120">
        <f t="array" ref="B532:B532">IF(A532="","",IFERROR(INDEX('3.員工名單'!$B:$B,MATCH(A532,'3.員工名單'!$A:$A,0)),"查無此員工"))</f>
        <v/>
      </c>
      <c r="C532" s="120">
        <f t="array" ref="C532:C532">IF(A532="","",IFERROR(INDEX('3.員工名單'!$C:$C,MATCH(A532,'3.員工名單'!$A:$A,0)),""))</f>
        <v/>
      </c>
      <c r="D532" s="120">
        <f t="array" ref="D532:D532">IF(A532="","",IFERROR(INDEX('3.員工名單'!$D:$D,MATCH(A532,'3.員工名單'!$A:$A,0)),""))</f>
        <v/>
      </c>
      <c r="E532" s="120">
        <f t="array" ref="E532:E532">IF(F532="","",IFERROR(INDEX('1.職能辭典'!$A:$A,MATCH(F532,'1.職能辭典'!$C:$C,0)),""))</f>
        <v/>
      </c>
      <c r="F532" s="94" t="n"/>
      <c r="G532" s="120">
        <f t="array" ref="G532:G532">IF(OR(D532="",F532=""),"",IFERROR(IF(AND(OR(INDEX('1.職能辭典'!$J:$J,MATCH(F532,'1.職能辭典'!$C:$C,0))="全部",INDEX('3.員工名單'!$H:$H,MATCH(A532,'3.員工名單'!$A:$A,0))="兩款共用",INDEX('3.員工名單'!$H:$H,MATCH(A532,'3.員工名單'!$A:$A,0))=INDEX('1.職能辭典'!$J:$J,MATCH(F532,'1.職能辭典'!$C:$C,0))),OR(INDEX('1.職能辭典'!$K:$K,MATCH(F532,'1.職能辭典'!$C:$C,0))="全部",SUMPRODUCT(ISNUMBER(SEARCH({"經營","管理","財務","企劃","營運","技術","數據","美術","測試","客服"},INDEX('3.員工名單'!$I:$I,MATCH(A532,'3.員工名單'!$A:$A,0))))*ISNUMBER(SEARCH({"經營","管理","財務","企劃","營運","技術","數據","美術","測試","客服"},INDEX('1.職能辭典'!$K:$K,MATCH(F532,'1.職能辭典'!$C:$C,0)))))&gt;0)),INDEX('2.職務職能需求'!$B$2:$F$28,MATCH(F532,'2.職務職能需求'!$A$2:$A$28,0),MATCH(D532,'2.職務職能需求'!$B$1:$F$1,0)),0),""))</f>
        <v/>
      </c>
      <c r="H532" s="94" t="n"/>
      <c r="I532" s="94" t="n"/>
      <c r="J532" s="120">
        <f>IF(OR(G532="",I532="",G532=0),"",I532-G532)</f>
        <v/>
      </c>
      <c r="K532" s="120">
        <f>IF(G532="","",IF(G532=0,"不適用",IF(I532="","待評核",IF(I532&gt;=G532,IF(I532&gt;G532,"超越","達標"),"待發展"))))</f>
        <v/>
      </c>
      <c r="L532" s="91" t="n"/>
      <c r="M532" s="91" t="n"/>
      <c r="N532" s="88" t="n"/>
    </row>
    <row r="533" ht="15.75" customHeight="1" s="64">
      <c r="A533" s="88" t="n"/>
      <c r="B533" s="120">
        <f t="array" ref="B533:B533">IF(A533="","",IFERROR(INDEX('3.員工名單'!$B:$B,MATCH(A533,'3.員工名單'!$A:$A,0)),"查無此員工"))</f>
        <v/>
      </c>
      <c r="C533" s="120">
        <f t="array" ref="C533:C533">IF(A533="","",IFERROR(INDEX('3.員工名單'!$C:$C,MATCH(A533,'3.員工名單'!$A:$A,0)),""))</f>
        <v/>
      </c>
      <c r="D533" s="120">
        <f t="array" ref="D533:D533">IF(A533="","",IFERROR(INDEX('3.員工名單'!$D:$D,MATCH(A533,'3.員工名單'!$A:$A,0)),""))</f>
        <v/>
      </c>
      <c r="E533" s="120">
        <f t="array" ref="E533:E533">IF(F533="","",IFERROR(INDEX('1.職能辭典'!$A:$A,MATCH(F533,'1.職能辭典'!$C:$C,0)),""))</f>
        <v/>
      </c>
      <c r="F533" s="94" t="n"/>
      <c r="G533" s="120">
        <f t="array" ref="G533:G533">IF(OR(D533="",F533=""),"",IFERROR(IF(AND(OR(INDEX('1.職能辭典'!$J:$J,MATCH(F533,'1.職能辭典'!$C:$C,0))="全部",INDEX('3.員工名單'!$H:$H,MATCH(A533,'3.員工名單'!$A:$A,0))="兩款共用",INDEX('3.員工名單'!$H:$H,MATCH(A533,'3.員工名單'!$A:$A,0))=INDEX('1.職能辭典'!$J:$J,MATCH(F533,'1.職能辭典'!$C:$C,0))),OR(INDEX('1.職能辭典'!$K:$K,MATCH(F533,'1.職能辭典'!$C:$C,0))="全部",SUMPRODUCT(ISNUMBER(SEARCH({"經營","管理","財務","企劃","營運","技術","數據","美術","測試","客服"},INDEX('3.員工名單'!$I:$I,MATCH(A533,'3.員工名單'!$A:$A,0))))*ISNUMBER(SEARCH({"經營","管理","財務","企劃","營運","技術","數據","美術","測試","客服"},INDEX('1.職能辭典'!$K:$K,MATCH(F533,'1.職能辭典'!$C:$C,0)))))&gt;0)),INDEX('2.職務職能需求'!$B$2:$F$28,MATCH(F533,'2.職務職能需求'!$A$2:$A$28,0),MATCH(D533,'2.職務職能需求'!$B$1:$F$1,0)),0),""))</f>
        <v/>
      </c>
      <c r="H533" s="94" t="n"/>
      <c r="I533" s="94" t="n"/>
      <c r="J533" s="120">
        <f>IF(OR(G533="",I533="",G533=0),"",I533-G533)</f>
        <v/>
      </c>
      <c r="K533" s="120">
        <f>IF(G533="","",IF(G533=0,"不適用",IF(I533="","待評核",IF(I533&gt;=G533,IF(I533&gt;G533,"超越","達標"),"待發展"))))</f>
        <v/>
      </c>
      <c r="L533" s="91" t="n"/>
      <c r="M533" s="91" t="n"/>
      <c r="N533" s="88" t="n"/>
    </row>
    <row r="534" ht="15.75" customHeight="1" s="64">
      <c r="A534" s="88" t="n"/>
      <c r="B534" s="120">
        <f t="array" ref="B534:B534">IF(A534="","",IFERROR(INDEX('3.員工名單'!$B:$B,MATCH(A534,'3.員工名單'!$A:$A,0)),"查無此員工"))</f>
        <v/>
      </c>
      <c r="C534" s="120">
        <f t="array" ref="C534:C534">IF(A534="","",IFERROR(INDEX('3.員工名單'!$C:$C,MATCH(A534,'3.員工名單'!$A:$A,0)),""))</f>
        <v/>
      </c>
      <c r="D534" s="120">
        <f t="array" ref="D534:D534">IF(A534="","",IFERROR(INDEX('3.員工名單'!$D:$D,MATCH(A534,'3.員工名單'!$A:$A,0)),""))</f>
        <v/>
      </c>
      <c r="E534" s="120">
        <f t="array" ref="E534:E534">IF(F534="","",IFERROR(INDEX('1.職能辭典'!$A:$A,MATCH(F534,'1.職能辭典'!$C:$C,0)),""))</f>
        <v/>
      </c>
      <c r="F534" s="94" t="n"/>
      <c r="G534" s="120">
        <f t="array" ref="G534:G534">IF(OR(D534="",F534=""),"",IFERROR(IF(AND(OR(INDEX('1.職能辭典'!$J:$J,MATCH(F534,'1.職能辭典'!$C:$C,0))="全部",INDEX('3.員工名單'!$H:$H,MATCH(A534,'3.員工名單'!$A:$A,0))="兩款共用",INDEX('3.員工名單'!$H:$H,MATCH(A534,'3.員工名單'!$A:$A,0))=INDEX('1.職能辭典'!$J:$J,MATCH(F534,'1.職能辭典'!$C:$C,0))),OR(INDEX('1.職能辭典'!$K:$K,MATCH(F534,'1.職能辭典'!$C:$C,0))="全部",SUMPRODUCT(ISNUMBER(SEARCH({"經營","管理","財務","企劃","營運","技術","數據","美術","測試","客服"},INDEX('3.員工名單'!$I:$I,MATCH(A534,'3.員工名單'!$A:$A,0))))*ISNUMBER(SEARCH({"經營","管理","財務","企劃","營運","技術","數據","美術","測試","客服"},INDEX('1.職能辭典'!$K:$K,MATCH(F534,'1.職能辭典'!$C:$C,0)))))&gt;0)),INDEX('2.職務職能需求'!$B$2:$F$28,MATCH(F534,'2.職務職能需求'!$A$2:$A$28,0),MATCH(D534,'2.職務職能需求'!$B$1:$F$1,0)),0),""))</f>
        <v/>
      </c>
      <c r="H534" s="94" t="n"/>
      <c r="I534" s="94" t="n"/>
      <c r="J534" s="120">
        <f>IF(OR(G534="",I534="",G534=0),"",I534-G534)</f>
        <v/>
      </c>
      <c r="K534" s="120">
        <f>IF(G534="","",IF(G534=0,"不適用",IF(I534="","待評核",IF(I534&gt;=G534,IF(I534&gt;G534,"超越","達標"),"待發展"))))</f>
        <v/>
      </c>
      <c r="L534" s="91" t="n"/>
      <c r="M534" s="91" t="n"/>
      <c r="N534" s="88" t="n"/>
    </row>
    <row r="535" ht="15.75" customHeight="1" s="64">
      <c r="A535" s="88" t="n"/>
      <c r="B535" s="120">
        <f t="array" ref="B535:B535">IF(A535="","",IFERROR(INDEX('3.員工名單'!$B:$B,MATCH(A535,'3.員工名單'!$A:$A,0)),"查無此員工"))</f>
        <v/>
      </c>
      <c r="C535" s="120">
        <f t="array" ref="C535:C535">IF(A535="","",IFERROR(INDEX('3.員工名單'!$C:$C,MATCH(A535,'3.員工名單'!$A:$A,0)),""))</f>
        <v/>
      </c>
      <c r="D535" s="120">
        <f t="array" ref="D535:D535">IF(A535="","",IFERROR(INDEX('3.員工名單'!$D:$D,MATCH(A535,'3.員工名單'!$A:$A,0)),""))</f>
        <v/>
      </c>
      <c r="E535" s="120">
        <f t="array" ref="E535:E535">IF(F535="","",IFERROR(INDEX('1.職能辭典'!$A:$A,MATCH(F535,'1.職能辭典'!$C:$C,0)),""))</f>
        <v/>
      </c>
      <c r="F535" s="94" t="n"/>
      <c r="G535" s="120">
        <f t="array" ref="G535:G535">IF(OR(D535="",F535=""),"",IFERROR(IF(AND(OR(INDEX('1.職能辭典'!$J:$J,MATCH(F535,'1.職能辭典'!$C:$C,0))="全部",INDEX('3.員工名單'!$H:$H,MATCH(A535,'3.員工名單'!$A:$A,0))="兩款共用",INDEX('3.員工名單'!$H:$H,MATCH(A535,'3.員工名單'!$A:$A,0))=INDEX('1.職能辭典'!$J:$J,MATCH(F535,'1.職能辭典'!$C:$C,0))),OR(INDEX('1.職能辭典'!$K:$K,MATCH(F535,'1.職能辭典'!$C:$C,0))="全部",SUMPRODUCT(ISNUMBER(SEARCH({"經營","管理","財務","企劃","營運","技術","數據","美術","測試","客服"},INDEX('3.員工名單'!$I:$I,MATCH(A535,'3.員工名單'!$A:$A,0))))*ISNUMBER(SEARCH({"經營","管理","財務","企劃","營運","技術","數據","美術","測試","客服"},INDEX('1.職能辭典'!$K:$K,MATCH(F535,'1.職能辭典'!$C:$C,0)))))&gt;0)),INDEX('2.職務職能需求'!$B$2:$F$28,MATCH(F535,'2.職務職能需求'!$A$2:$A$28,0),MATCH(D535,'2.職務職能需求'!$B$1:$F$1,0)),0),""))</f>
        <v/>
      </c>
      <c r="H535" s="94" t="n"/>
      <c r="I535" s="94" t="n"/>
      <c r="J535" s="120">
        <f>IF(OR(G535="",I535="",G535=0),"",I535-G535)</f>
        <v/>
      </c>
      <c r="K535" s="120">
        <f>IF(G535="","",IF(G535=0,"不適用",IF(I535="","待評核",IF(I535&gt;=G535,IF(I535&gt;G535,"超越","達標"),"待發展"))))</f>
        <v/>
      </c>
      <c r="L535" s="91" t="n"/>
      <c r="M535" s="91" t="n"/>
      <c r="N535" s="88" t="n"/>
    </row>
    <row r="536" ht="15.75" customHeight="1" s="64">
      <c r="A536" s="88" t="n"/>
      <c r="B536" s="120">
        <f t="array" ref="B536:B536">IF(A536="","",IFERROR(INDEX('3.員工名單'!$B:$B,MATCH(A536,'3.員工名單'!$A:$A,0)),"查無此員工"))</f>
        <v/>
      </c>
      <c r="C536" s="120">
        <f t="array" ref="C536:C536">IF(A536="","",IFERROR(INDEX('3.員工名單'!$C:$C,MATCH(A536,'3.員工名單'!$A:$A,0)),""))</f>
        <v/>
      </c>
      <c r="D536" s="120">
        <f t="array" ref="D536:D536">IF(A536="","",IFERROR(INDEX('3.員工名單'!$D:$D,MATCH(A536,'3.員工名單'!$A:$A,0)),""))</f>
        <v/>
      </c>
      <c r="E536" s="120">
        <f t="array" ref="E536:E536">IF(F536="","",IFERROR(INDEX('1.職能辭典'!$A:$A,MATCH(F536,'1.職能辭典'!$C:$C,0)),""))</f>
        <v/>
      </c>
      <c r="F536" s="94" t="n"/>
      <c r="G536" s="120">
        <f t="array" ref="G536:G536">IF(OR(D536="",F536=""),"",IFERROR(IF(AND(OR(INDEX('1.職能辭典'!$J:$J,MATCH(F536,'1.職能辭典'!$C:$C,0))="全部",INDEX('3.員工名單'!$H:$H,MATCH(A536,'3.員工名單'!$A:$A,0))="兩款共用",INDEX('3.員工名單'!$H:$H,MATCH(A536,'3.員工名單'!$A:$A,0))=INDEX('1.職能辭典'!$J:$J,MATCH(F536,'1.職能辭典'!$C:$C,0))),OR(INDEX('1.職能辭典'!$K:$K,MATCH(F536,'1.職能辭典'!$C:$C,0))="全部",SUMPRODUCT(ISNUMBER(SEARCH({"經營","管理","財務","企劃","營運","技術","數據","美術","測試","客服"},INDEX('3.員工名單'!$I:$I,MATCH(A536,'3.員工名單'!$A:$A,0))))*ISNUMBER(SEARCH({"經營","管理","財務","企劃","營運","技術","數據","美術","測試","客服"},INDEX('1.職能辭典'!$K:$K,MATCH(F536,'1.職能辭典'!$C:$C,0)))))&gt;0)),INDEX('2.職務職能需求'!$B$2:$F$28,MATCH(F536,'2.職務職能需求'!$A$2:$A$28,0),MATCH(D536,'2.職務職能需求'!$B$1:$F$1,0)),0),""))</f>
        <v/>
      </c>
      <c r="H536" s="94" t="n"/>
      <c r="I536" s="94" t="n"/>
      <c r="J536" s="120">
        <f>IF(OR(G536="",I536="",G536=0),"",I536-G536)</f>
        <v/>
      </c>
      <c r="K536" s="120">
        <f>IF(G536="","",IF(G536=0,"不適用",IF(I536="","待評核",IF(I536&gt;=G536,IF(I536&gt;G536,"超越","達標"),"待發展"))))</f>
        <v/>
      </c>
      <c r="L536" s="91" t="n"/>
      <c r="M536" s="91" t="n"/>
      <c r="N536" s="88" t="n"/>
    </row>
    <row r="537" ht="15.75" customHeight="1" s="64">
      <c r="A537" s="88" t="n"/>
      <c r="B537" s="120">
        <f t="array" ref="B537:B537">IF(A537="","",IFERROR(INDEX('3.員工名單'!$B:$B,MATCH(A537,'3.員工名單'!$A:$A,0)),"查無此員工"))</f>
        <v/>
      </c>
      <c r="C537" s="120">
        <f t="array" ref="C537:C537">IF(A537="","",IFERROR(INDEX('3.員工名單'!$C:$C,MATCH(A537,'3.員工名單'!$A:$A,0)),""))</f>
        <v/>
      </c>
      <c r="D537" s="120">
        <f t="array" ref="D537:D537">IF(A537="","",IFERROR(INDEX('3.員工名單'!$D:$D,MATCH(A537,'3.員工名單'!$A:$A,0)),""))</f>
        <v/>
      </c>
      <c r="E537" s="120">
        <f t="array" ref="E537:E537">IF(F537="","",IFERROR(INDEX('1.職能辭典'!$A:$A,MATCH(F537,'1.職能辭典'!$C:$C,0)),""))</f>
        <v/>
      </c>
      <c r="F537" s="94" t="n"/>
      <c r="G537" s="120">
        <f t="array" ref="G537:G537">IF(OR(D537="",F537=""),"",IFERROR(IF(AND(OR(INDEX('1.職能辭典'!$J:$J,MATCH(F537,'1.職能辭典'!$C:$C,0))="全部",INDEX('3.員工名單'!$H:$H,MATCH(A537,'3.員工名單'!$A:$A,0))="兩款共用",INDEX('3.員工名單'!$H:$H,MATCH(A537,'3.員工名單'!$A:$A,0))=INDEX('1.職能辭典'!$J:$J,MATCH(F537,'1.職能辭典'!$C:$C,0))),OR(INDEX('1.職能辭典'!$K:$K,MATCH(F537,'1.職能辭典'!$C:$C,0))="全部",SUMPRODUCT(ISNUMBER(SEARCH({"經營","管理","財務","企劃","營運","技術","數據","美術","測試","客服"},INDEX('3.員工名單'!$I:$I,MATCH(A537,'3.員工名單'!$A:$A,0))))*ISNUMBER(SEARCH({"經營","管理","財務","企劃","營運","技術","數據","美術","測試","客服"},INDEX('1.職能辭典'!$K:$K,MATCH(F537,'1.職能辭典'!$C:$C,0)))))&gt;0)),INDEX('2.職務職能需求'!$B$2:$F$28,MATCH(F537,'2.職務職能需求'!$A$2:$A$28,0),MATCH(D537,'2.職務職能需求'!$B$1:$F$1,0)),0),""))</f>
        <v/>
      </c>
      <c r="H537" s="94" t="n"/>
      <c r="I537" s="94" t="n"/>
      <c r="J537" s="120">
        <f>IF(OR(G537="",I537="",G537=0),"",I537-G537)</f>
        <v/>
      </c>
      <c r="K537" s="120">
        <f>IF(G537="","",IF(G537=0,"不適用",IF(I537="","待評核",IF(I537&gt;=G537,IF(I537&gt;G537,"超越","達標"),"待發展"))))</f>
        <v/>
      </c>
      <c r="L537" s="91" t="n"/>
      <c r="M537" s="91" t="n"/>
      <c r="N537" s="88" t="n"/>
    </row>
    <row r="538" ht="15.75" customHeight="1" s="64">
      <c r="A538" s="88" t="n"/>
      <c r="B538" s="120">
        <f t="array" ref="B538:B538">IF(A538="","",IFERROR(INDEX('3.員工名單'!$B:$B,MATCH(A538,'3.員工名單'!$A:$A,0)),"查無此員工"))</f>
        <v/>
      </c>
      <c r="C538" s="120">
        <f t="array" ref="C538:C538">IF(A538="","",IFERROR(INDEX('3.員工名單'!$C:$C,MATCH(A538,'3.員工名單'!$A:$A,0)),""))</f>
        <v/>
      </c>
      <c r="D538" s="120">
        <f t="array" ref="D538:D538">IF(A538="","",IFERROR(INDEX('3.員工名單'!$D:$D,MATCH(A538,'3.員工名單'!$A:$A,0)),""))</f>
        <v/>
      </c>
      <c r="E538" s="120">
        <f t="array" ref="E538:E538">IF(F538="","",IFERROR(INDEX('1.職能辭典'!$A:$A,MATCH(F538,'1.職能辭典'!$C:$C,0)),""))</f>
        <v/>
      </c>
      <c r="F538" s="94" t="n"/>
      <c r="G538" s="120">
        <f t="array" ref="G538:G538">IF(OR(D538="",F538=""),"",IFERROR(IF(AND(OR(INDEX('1.職能辭典'!$J:$J,MATCH(F538,'1.職能辭典'!$C:$C,0))="全部",INDEX('3.員工名單'!$H:$H,MATCH(A538,'3.員工名單'!$A:$A,0))="兩款共用",INDEX('3.員工名單'!$H:$H,MATCH(A538,'3.員工名單'!$A:$A,0))=INDEX('1.職能辭典'!$J:$J,MATCH(F538,'1.職能辭典'!$C:$C,0))),OR(INDEX('1.職能辭典'!$K:$K,MATCH(F538,'1.職能辭典'!$C:$C,0))="全部",SUMPRODUCT(ISNUMBER(SEARCH({"經營","管理","財務","企劃","營運","技術","數據","美術","測試","客服"},INDEX('3.員工名單'!$I:$I,MATCH(A538,'3.員工名單'!$A:$A,0))))*ISNUMBER(SEARCH({"經營","管理","財務","企劃","營運","技術","數據","美術","測試","客服"},INDEX('1.職能辭典'!$K:$K,MATCH(F538,'1.職能辭典'!$C:$C,0)))))&gt;0)),INDEX('2.職務職能需求'!$B$2:$F$28,MATCH(F538,'2.職務職能需求'!$A$2:$A$28,0),MATCH(D538,'2.職務職能需求'!$B$1:$F$1,0)),0),""))</f>
        <v/>
      </c>
      <c r="H538" s="94" t="n"/>
      <c r="I538" s="94" t="n"/>
      <c r="J538" s="120">
        <f>IF(OR(G538="",I538="",G538=0),"",I538-G538)</f>
        <v/>
      </c>
      <c r="K538" s="120">
        <f>IF(G538="","",IF(G538=0,"不適用",IF(I538="","待評核",IF(I538&gt;=G538,IF(I538&gt;G538,"超越","達標"),"待發展"))))</f>
        <v/>
      </c>
      <c r="L538" s="91" t="n"/>
      <c r="M538" s="91" t="n"/>
      <c r="N538" s="88" t="n"/>
    </row>
    <row r="539" ht="15.75" customHeight="1" s="64">
      <c r="A539" s="88" t="n"/>
      <c r="B539" s="120">
        <f t="array" ref="B539:B539">IF(A539="","",IFERROR(INDEX('3.員工名單'!$B:$B,MATCH(A539,'3.員工名單'!$A:$A,0)),"查無此員工"))</f>
        <v/>
      </c>
      <c r="C539" s="120">
        <f t="array" ref="C539:C539">IF(A539="","",IFERROR(INDEX('3.員工名單'!$C:$C,MATCH(A539,'3.員工名單'!$A:$A,0)),""))</f>
        <v/>
      </c>
      <c r="D539" s="120">
        <f t="array" ref="D539:D539">IF(A539="","",IFERROR(INDEX('3.員工名單'!$D:$D,MATCH(A539,'3.員工名單'!$A:$A,0)),""))</f>
        <v/>
      </c>
      <c r="E539" s="120">
        <f t="array" ref="E539:E539">IF(F539="","",IFERROR(INDEX('1.職能辭典'!$A:$A,MATCH(F539,'1.職能辭典'!$C:$C,0)),""))</f>
        <v/>
      </c>
      <c r="F539" s="94" t="n"/>
      <c r="G539" s="120">
        <f t="array" ref="G539:G539">IF(OR(D539="",F539=""),"",IFERROR(IF(AND(OR(INDEX('1.職能辭典'!$J:$J,MATCH(F539,'1.職能辭典'!$C:$C,0))="全部",INDEX('3.員工名單'!$H:$H,MATCH(A539,'3.員工名單'!$A:$A,0))="兩款共用",INDEX('3.員工名單'!$H:$H,MATCH(A539,'3.員工名單'!$A:$A,0))=INDEX('1.職能辭典'!$J:$J,MATCH(F539,'1.職能辭典'!$C:$C,0))),OR(INDEX('1.職能辭典'!$K:$K,MATCH(F539,'1.職能辭典'!$C:$C,0))="全部",SUMPRODUCT(ISNUMBER(SEARCH({"經營","管理","財務","企劃","營運","技術","數據","美術","測試","客服"},INDEX('3.員工名單'!$I:$I,MATCH(A539,'3.員工名單'!$A:$A,0))))*ISNUMBER(SEARCH({"經營","管理","財務","企劃","營運","技術","數據","美術","測試","客服"},INDEX('1.職能辭典'!$K:$K,MATCH(F539,'1.職能辭典'!$C:$C,0)))))&gt;0)),INDEX('2.職務職能需求'!$B$2:$F$28,MATCH(F539,'2.職務職能需求'!$A$2:$A$28,0),MATCH(D539,'2.職務職能需求'!$B$1:$F$1,0)),0),""))</f>
        <v/>
      </c>
      <c r="H539" s="94" t="n"/>
      <c r="I539" s="94" t="n"/>
      <c r="J539" s="120">
        <f>IF(OR(G539="",I539="",G539=0),"",I539-G539)</f>
        <v/>
      </c>
      <c r="K539" s="120">
        <f>IF(G539="","",IF(G539=0,"不適用",IF(I539="","待評核",IF(I539&gt;=G539,IF(I539&gt;G539,"超越","達標"),"待發展"))))</f>
        <v/>
      </c>
      <c r="L539" s="91" t="n"/>
      <c r="M539" s="91" t="n"/>
      <c r="N539" s="88" t="n"/>
    </row>
    <row r="540" ht="15.75" customHeight="1" s="64">
      <c r="A540" s="88" t="n"/>
      <c r="B540" s="120">
        <f t="array" ref="B540:B540">IF(A540="","",IFERROR(INDEX('3.員工名單'!$B:$B,MATCH(A540,'3.員工名單'!$A:$A,0)),"查無此員工"))</f>
        <v/>
      </c>
      <c r="C540" s="120">
        <f t="array" ref="C540:C540">IF(A540="","",IFERROR(INDEX('3.員工名單'!$C:$C,MATCH(A540,'3.員工名單'!$A:$A,0)),""))</f>
        <v/>
      </c>
      <c r="D540" s="120">
        <f t="array" ref="D540:D540">IF(A540="","",IFERROR(INDEX('3.員工名單'!$D:$D,MATCH(A540,'3.員工名單'!$A:$A,0)),""))</f>
        <v/>
      </c>
      <c r="E540" s="120">
        <f t="array" ref="E540:E540">IF(F540="","",IFERROR(INDEX('1.職能辭典'!$A:$A,MATCH(F540,'1.職能辭典'!$C:$C,0)),""))</f>
        <v/>
      </c>
      <c r="F540" s="94" t="n"/>
      <c r="G540" s="120">
        <f t="array" ref="G540:G540">IF(OR(D540="",F540=""),"",IFERROR(IF(AND(OR(INDEX('1.職能辭典'!$J:$J,MATCH(F540,'1.職能辭典'!$C:$C,0))="全部",INDEX('3.員工名單'!$H:$H,MATCH(A540,'3.員工名單'!$A:$A,0))="兩款共用",INDEX('3.員工名單'!$H:$H,MATCH(A540,'3.員工名單'!$A:$A,0))=INDEX('1.職能辭典'!$J:$J,MATCH(F540,'1.職能辭典'!$C:$C,0))),OR(INDEX('1.職能辭典'!$K:$K,MATCH(F540,'1.職能辭典'!$C:$C,0))="全部",SUMPRODUCT(ISNUMBER(SEARCH({"經營","管理","財務","企劃","營運","技術","數據","美術","測試","客服"},INDEX('3.員工名單'!$I:$I,MATCH(A540,'3.員工名單'!$A:$A,0))))*ISNUMBER(SEARCH({"經營","管理","財務","企劃","營運","技術","數據","美術","測試","客服"},INDEX('1.職能辭典'!$K:$K,MATCH(F540,'1.職能辭典'!$C:$C,0)))))&gt;0)),INDEX('2.職務職能需求'!$B$2:$F$28,MATCH(F540,'2.職務職能需求'!$A$2:$A$28,0),MATCH(D540,'2.職務職能需求'!$B$1:$F$1,0)),0),""))</f>
        <v/>
      </c>
      <c r="H540" s="94" t="n"/>
      <c r="I540" s="94" t="n"/>
      <c r="J540" s="120">
        <f>IF(OR(G540="",I540="",G540=0),"",I540-G540)</f>
        <v/>
      </c>
      <c r="K540" s="120">
        <f>IF(G540="","",IF(G540=0,"不適用",IF(I540="","待評核",IF(I540&gt;=G540,IF(I540&gt;G540,"超越","達標"),"待發展"))))</f>
        <v/>
      </c>
      <c r="L540" s="91" t="n"/>
      <c r="M540" s="91" t="n"/>
      <c r="N540" s="88" t="n"/>
    </row>
    <row r="541" ht="15.75" customHeight="1" s="64">
      <c r="A541" s="88" t="n"/>
      <c r="B541" s="120">
        <f t="array" ref="B541:B541">IF(A541="","",IFERROR(INDEX('3.員工名單'!$B:$B,MATCH(A541,'3.員工名單'!$A:$A,0)),"查無此員工"))</f>
        <v/>
      </c>
      <c r="C541" s="120">
        <f t="array" ref="C541:C541">IF(A541="","",IFERROR(INDEX('3.員工名單'!$C:$C,MATCH(A541,'3.員工名單'!$A:$A,0)),""))</f>
        <v/>
      </c>
      <c r="D541" s="120">
        <f t="array" ref="D541:D541">IF(A541="","",IFERROR(INDEX('3.員工名單'!$D:$D,MATCH(A541,'3.員工名單'!$A:$A,0)),""))</f>
        <v/>
      </c>
      <c r="E541" s="120">
        <f t="array" ref="E541:E541">IF(F541="","",IFERROR(INDEX('1.職能辭典'!$A:$A,MATCH(F541,'1.職能辭典'!$C:$C,0)),""))</f>
        <v/>
      </c>
      <c r="F541" s="94" t="n"/>
      <c r="G541" s="120">
        <f t="array" ref="G541:G541">IF(OR(D541="",F541=""),"",IFERROR(IF(AND(OR(INDEX('1.職能辭典'!$J:$J,MATCH(F541,'1.職能辭典'!$C:$C,0))="全部",INDEX('3.員工名單'!$H:$H,MATCH(A541,'3.員工名單'!$A:$A,0))="兩款共用",INDEX('3.員工名單'!$H:$H,MATCH(A541,'3.員工名單'!$A:$A,0))=INDEX('1.職能辭典'!$J:$J,MATCH(F541,'1.職能辭典'!$C:$C,0))),OR(INDEX('1.職能辭典'!$K:$K,MATCH(F541,'1.職能辭典'!$C:$C,0))="全部",SUMPRODUCT(ISNUMBER(SEARCH({"經營","管理","財務","企劃","營運","技術","數據","美術","測試","客服"},INDEX('3.員工名單'!$I:$I,MATCH(A541,'3.員工名單'!$A:$A,0))))*ISNUMBER(SEARCH({"經營","管理","財務","企劃","營運","技術","數據","美術","測試","客服"},INDEX('1.職能辭典'!$K:$K,MATCH(F541,'1.職能辭典'!$C:$C,0)))))&gt;0)),INDEX('2.職務職能需求'!$B$2:$F$28,MATCH(F541,'2.職務職能需求'!$A$2:$A$28,0),MATCH(D541,'2.職務職能需求'!$B$1:$F$1,0)),0),""))</f>
        <v/>
      </c>
      <c r="H541" s="94" t="n"/>
      <c r="I541" s="94" t="n"/>
      <c r="J541" s="120">
        <f>IF(OR(G541="",I541="",G541=0),"",I541-G541)</f>
        <v/>
      </c>
      <c r="K541" s="120">
        <f>IF(G541="","",IF(G541=0,"不適用",IF(I541="","待評核",IF(I541&gt;=G541,IF(I541&gt;G541,"超越","達標"),"待發展"))))</f>
        <v/>
      </c>
      <c r="L541" s="91" t="n"/>
      <c r="M541" s="91" t="n"/>
      <c r="N541" s="88" t="n"/>
    </row>
    <row r="542" ht="15.75" customHeight="1" s="64">
      <c r="A542" s="88" t="n"/>
      <c r="B542" s="120">
        <f t="array" ref="B542:B542">IF(A542="","",IFERROR(INDEX('3.員工名單'!$B:$B,MATCH(A542,'3.員工名單'!$A:$A,0)),"查無此員工"))</f>
        <v/>
      </c>
      <c r="C542" s="120">
        <f t="array" ref="C542:C542">IF(A542="","",IFERROR(INDEX('3.員工名單'!$C:$C,MATCH(A542,'3.員工名單'!$A:$A,0)),""))</f>
        <v/>
      </c>
      <c r="D542" s="120">
        <f t="array" ref="D542:D542">IF(A542="","",IFERROR(INDEX('3.員工名單'!$D:$D,MATCH(A542,'3.員工名單'!$A:$A,0)),""))</f>
        <v/>
      </c>
      <c r="E542" s="120">
        <f t="array" ref="E542:E542">IF(F542="","",IFERROR(INDEX('1.職能辭典'!$A:$A,MATCH(F542,'1.職能辭典'!$C:$C,0)),""))</f>
        <v/>
      </c>
      <c r="F542" s="94" t="n"/>
      <c r="G542" s="120">
        <f t="array" ref="G542:G542">IF(OR(D542="",F542=""),"",IFERROR(IF(AND(OR(INDEX('1.職能辭典'!$J:$J,MATCH(F542,'1.職能辭典'!$C:$C,0))="全部",INDEX('3.員工名單'!$H:$H,MATCH(A542,'3.員工名單'!$A:$A,0))="兩款共用",INDEX('3.員工名單'!$H:$H,MATCH(A542,'3.員工名單'!$A:$A,0))=INDEX('1.職能辭典'!$J:$J,MATCH(F542,'1.職能辭典'!$C:$C,0))),OR(INDEX('1.職能辭典'!$K:$K,MATCH(F542,'1.職能辭典'!$C:$C,0))="全部",SUMPRODUCT(ISNUMBER(SEARCH({"經營","管理","財務","企劃","營運","技術","數據","美術","測試","客服"},INDEX('3.員工名單'!$I:$I,MATCH(A542,'3.員工名單'!$A:$A,0))))*ISNUMBER(SEARCH({"經營","管理","財務","企劃","營運","技術","數據","美術","測試","客服"},INDEX('1.職能辭典'!$K:$K,MATCH(F542,'1.職能辭典'!$C:$C,0)))))&gt;0)),INDEX('2.職務職能需求'!$B$2:$F$28,MATCH(F542,'2.職務職能需求'!$A$2:$A$28,0),MATCH(D542,'2.職務職能需求'!$B$1:$F$1,0)),0),""))</f>
        <v/>
      </c>
      <c r="H542" s="94" t="n"/>
      <c r="I542" s="94" t="n"/>
      <c r="J542" s="120">
        <f>IF(OR(G542="",I542="",G542=0),"",I542-G542)</f>
        <v/>
      </c>
      <c r="K542" s="120">
        <f>IF(G542="","",IF(G542=0,"不適用",IF(I542="","待評核",IF(I542&gt;=G542,IF(I542&gt;G542,"超越","達標"),"待發展"))))</f>
        <v/>
      </c>
      <c r="L542" s="91" t="n"/>
      <c r="M542" s="91" t="n"/>
      <c r="N542" s="88" t="n"/>
    </row>
    <row r="543" ht="15.75" customHeight="1" s="64">
      <c r="A543" s="88" t="n"/>
      <c r="B543" s="120">
        <f t="array" ref="B543:B543">IF(A543="","",IFERROR(INDEX('3.員工名單'!$B:$B,MATCH(A543,'3.員工名單'!$A:$A,0)),"查無此員工"))</f>
        <v/>
      </c>
      <c r="C543" s="120">
        <f t="array" ref="C543:C543">IF(A543="","",IFERROR(INDEX('3.員工名單'!$C:$C,MATCH(A543,'3.員工名單'!$A:$A,0)),""))</f>
        <v/>
      </c>
      <c r="D543" s="120">
        <f t="array" ref="D543:D543">IF(A543="","",IFERROR(INDEX('3.員工名單'!$D:$D,MATCH(A543,'3.員工名單'!$A:$A,0)),""))</f>
        <v/>
      </c>
      <c r="E543" s="120">
        <f t="array" ref="E543:E543">IF(F543="","",IFERROR(INDEX('1.職能辭典'!$A:$A,MATCH(F543,'1.職能辭典'!$C:$C,0)),""))</f>
        <v/>
      </c>
      <c r="F543" s="94" t="n"/>
      <c r="G543" s="120">
        <f t="array" ref="G543:G543">IF(OR(D543="",F543=""),"",IFERROR(IF(AND(OR(INDEX('1.職能辭典'!$J:$J,MATCH(F543,'1.職能辭典'!$C:$C,0))="全部",INDEX('3.員工名單'!$H:$H,MATCH(A543,'3.員工名單'!$A:$A,0))="兩款共用",INDEX('3.員工名單'!$H:$H,MATCH(A543,'3.員工名單'!$A:$A,0))=INDEX('1.職能辭典'!$J:$J,MATCH(F543,'1.職能辭典'!$C:$C,0))),OR(INDEX('1.職能辭典'!$K:$K,MATCH(F543,'1.職能辭典'!$C:$C,0))="全部",SUMPRODUCT(ISNUMBER(SEARCH({"經營","管理","財務","企劃","營運","技術","數據","美術","測試","客服"},INDEX('3.員工名單'!$I:$I,MATCH(A543,'3.員工名單'!$A:$A,0))))*ISNUMBER(SEARCH({"經營","管理","財務","企劃","營運","技術","數據","美術","測試","客服"},INDEX('1.職能辭典'!$K:$K,MATCH(F543,'1.職能辭典'!$C:$C,0)))))&gt;0)),INDEX('2.職務職能需求'!$B$2:$F$28,MATCH(F543,'2.職務職能需求'!$A$2:$A$28,0),MATCH(D543,'2.職務職能需求'!$B$1:$F$1,0)),0),""))</f>
        <v/>
      </c>
      <c r="H543" s="94" t="n"/>
      <c r="I543" s="94" t="n"/>
      <c r="J543" s="120">
        <f>IF(OR(G543="",I543="",G543=0),"",I543-G543)</f>
        <v/>
      </c>
      <c r="K543" s="120">
        <f>IF(G543="","",IF(G543=0,"不適用",IF(I543="","待評核",IF(I543&gt;=G543,IF(I543&gt;G543,"超越","達標"),"待發展"))))</f>
        <v/>
      </c>
      <c r="L543" s="91" t="n"/>
      <c r="M543" s="91" t="n"/>
      <c r="N543" s="88" t="n"/>
    </row>
    <row r="544" ht="15.75" customHeight="1" s="64">
      <c r="A544" s="88" t="n"/>
      <c r="B544" s="120">
        <f t="array" ref="B544:B544">IF(A544="","",IFERROR(INDEX('3.員工名單'!$B:$B,MATCH(A544,'3.員工名單'!$A:$A,0)),"查無此員工"))</f>
        <v/>
      </c>
      <c r="C544" s="120">
        <f t="array" ref="C544:C544">IF(A544="","",IFERROR(INDEX('3.員工名單'!$C:$C,MATCH(A544,'3.員工名單'!$A:$A,0)),""))</f>
        <v/>
      </c>
      <c r="D544" s="120">
        <f t="array" ref="D544:D544">IF(A544="","",IFERROR(INDEX('3.員工名單'!$D:$D,MATCH(A544,'3.員工名單'!$A:$A,0)),""))</f>
        <v/>
      </c>
      <c r="E544" s="120">
        <f t="array" ref="E544:E544">IF(F544="","",IFERROR(INDEX('1.職能辭典'!$A:$A,MATCH(F544,'1.職能辭典'!$C:$C,0)),""))</f>
        <v/>
      </c>
      <c r="F544" s="94" t="n"/>
      <c r="G544" s="120">
        <f t="array" ref="G544:G544">IF(OR(D544="",F544=""),"",IFERROR(IF(AND(OR(INDEX('1.職能辭典'!$J:$J,MATCH(F544,'1.職能辭典'!$C:$C,0))="全部",INDEX('3.員工名單'!$H:$H,MATCH(A544,'3.員工名單'!$A:$A,0))="兩款共用",INDEX('3.員工名單'!$H:$H,MATCH(A544,'3.員工名單'!$A:$A,0))=INDEX('1.職能辭典'!$J:$J,MATCH(F544,'1.職能辭典'!$C:$C,0))),OR(INDEX('1.職能辭典'!$K:$K,MATCH(F544,'1.職能辭典'!$C:$C,0))="全部",SUMPRODUCT(ISNUMBER(SEARCH({"經營","管理","財務","企劃","營運","技術","數據","美術","測試","客服"},INDEX('3.員工名單'!$I:$I,MATCH(A544,'3.員工名單'!$A:$A,0))))*ISNUMBER(SEARCH({"經營","管理","財務","企劃","營運","技術","數據","美術","測試","客服"},INDEX('1.職能辭典'!$K:$K,MATCH(F544,'1.職能辭典'!$C:$C,0)))))&gt;0)),INDEX('2.職務職能需求'!$B$2:$F$28,MATCH(F544,'2.職務職能需求'!$A$2:$A$28,0),MATCH(D544,'2.職務職能需求'!$B$1:$F$1,0)),0),""))</f>
        <v/>
      </c>
      <c r="H544" s="94" t="n"/>
      <c r="I544" s="94" t="n"/>
      <c r="J544" s="120">
        <f>IF(OR(G544="",I544="",G544=0),"",I544-G544)</f>
        <v/>
      </c>
      <c r="K544" s="120">
        <f>IF(G544="","",IF(G544=0,"不適用",IF(I544="","待評核",IF(I544&gt;=G544,IF(I544&gt;G544,"超越","達標"),"待發展"))))</f>
        <v/>
      </c>
      <c r="L544" s="91" t="n"/>
      <c r="M544" s="91" t="n"/>
      <c r="N544" s="88" t="n"/>
    </row>
    <row r="545" ht="15.75" customHeight="1" s="64">
      <c r="A545" s="88" t="n"/>
      <c r="B545" s="120">
        <f t="array" ref="B545:B545">IF(A545="","",IFERROR(INDEX('3.員工名單'!$B:$B,MATCH(A545,'3.員工名單'!$A:$A,0)),"查無此員工"))</f>
        <v/>
      </c>
      <c r="C545" s="120">
        <f t="array" ref="C545:C545">IF(A545="","",IFERROR(INDEX('3.員工名單'!$C:$C,MATCH(A545,'3.員工名單'!$A:$A,0)),""))</f>
        <v/>
      </c>
      <c r="D545" s="120">
        <f t="array" ref="D545:D545">IF(A545="","",IFERROR(INDEX('3.員工名單'!$D:$D,MATCH(A545,'3.員工名單'!$A:$A,0)),""))</f>
        <v/>
      </c>
      <c r="E545" s="120">
        <f t="array" ref="E545:E545">IF(F545="","",IFERROR(INDEX('1.職能辭典'!$A:$A,MATCH(F545,'1.職能辭典'!$C:$C,0)),""))</f>
        <v/>
      </c>
      <c r="F545" s="94" t="n"/>
      <c r="G545" s="120">
        <f t="array" ref="G545:G545">IF(OR(D545="",F545=""),"",IFERROR(IF(AND(OR(INDEX('1.職能辭典'!$J:$J,MATCH(F545,'1.職能辭典'!$C:$C,0))="全部",INDEX('3.員工名單'!$H:$H,MATCH(A545,'3.員工名單'!$A:$A,0))="兩款共用",INDEX('3.員工名單'!$H:$H,MATCH(A545,'3.員工名單'!$A:$A,0))=INDEX('1.職能辭典'!$J:$J,MATCH(F545,'1.職能辭典'!$C:$C,0))),OR(INDEX('1.職能辭典'!$K:$K,MATCH(F545,'1.職能辭典'!$C:$C,0))="全部",SUMPRODUCT(ISNUMBER(SEARCH({"經營","管理","財務","企劃","營運","技術","數據","美術","測試","客服"},INDEX('3.員工名單'!$I:$I,MATCH(A545,'3.員工名單'!$A:$A,0))))*ISNUMBER(SEARCH({"經營","管理","財務","企劃","營運","技術","數據","美術","測試","客服"},INDEX('1.職能辭典'!$K:$K,MATCH(F545,'1.職能辭典'!$C:$C,0)))))&gt;0)),INDEX('2.職務職能需求'!$B$2:$F$28,MATCH(F545,'2.職務職能需求'!$A$2:$A$28,0),MATCH(D545,'2.職務職能需求'!$B$1:$F$1,0)),0),""))</f>
        <v/>
      </c>
      <c r="H545" s="94" t="n"/>
      <c r="I545" s="94" t="n"/>
      <c r="J545" s="120">
        <f>IF(OR(G545="",I545="",G545=0),"",I545-G545)</f>
        <v/>
      </c>
      <c r="K545" s="120">
        <f>IF(G545="","",IF(G545=0,"不適用",IF(I545="","待評核",IF(I545&gt;=G545,IF(I545&gt;G545,"超越","達標"),"待發展"))))</f>
        <v/>
      </c>
      <c r="L545" s="91" t="n"/>
      <c r="M545" s="91" t="n"/>
      <c r="N545" s="88" t="n"/>
    </row>
    <row r="546" ht="15.75" customHeight="1" s="64">
      <c r="A546" s="88" t="n"/>
      <c r="B546" s="120">
        <f t="array" ref="B546:B546">IF(A546="","",IFERROR(INDEX('3.員工名單'!$B:$B,MATCH(A546,'3.員工名單'!$A:$A,0)),"查無此員工"))</f>
        <v/>
      </c>
      <c r="C546" s="120">
        <f t="array" ref="C546:C546">IF(A546="","",IFERROR(INDEX('3.員工名單'!$C:$C,MATCH(A546,'3.員工名單'!$A:$A,0)),""))</f>
        <v/>
      </c>
      <c r="D546" s="120">
        <f t="array" ref="D546:D546">IF(A546="","",IFERROR(INDEX('3.員工名單'!$D:$D,MATCH(A546,'3.員工名單'!$A:$A,0)),""))</f>
        <v/>
      </c>
      <c r="E546" s="120">
        <f t="array" ref="E546:E546">IF(F546="","",IFERROR(INDEX('1.職能辭典'!$A:$A,MATCH(F546,'1.職能辭典'!$C:$C,0)),""))</f>
        <v/>
      </c>
      <c r="F546" s="94" t="n"/>
      <c r="G546" s="120">
        <f t="array" ref="G546:G546">IF(OR(D546="",F546=""),"",IFERROR(IF(AND(OR(INDEX('1.職能辭典'!$J:$J,MATCH(F546,'1.職能辭典'!$C:$C,0))="全部",INDEX('3.員工名單'!$H:$H,MATCH(A546,'3.員工名單'!$A:$A,0))="兩款共用",INDEX('3.員工名單'!$H:$H,MATCH(A546,'3.員工名單'!$A:$A,0))=INDEX('1.職能辭典'!$J:$J,MATCH(F546,'1.職能辭典'!$C:$C,0))),OR(INDEX('1.職能辭典'!$K:$K,MATCH(F546,'1.職能辭典'!$C:$C,0))="全部",SUMPRODUCT(ISNUMBER(SEARCH({"經營","管理","財務","企劃","營運","技術","數據","美術","測試","客服"},INDEX('3.員工名單'!$I:$I,MATCH(A546,'3.員工名單'!$A:$A,0))))*ISNUMBER(SEARCH({"經營","管理","財務","企劃","營運","技術","數據","美術","測試","客服"},INDEX('1.職能辭典'!$K:$K,MATCH(F546,'1.職能辭典'!$C:$C,0)))))&gt;0)),INDEX('2.職務職能需求'!$B$2:$F$28,MATCH(F546,'2.職務職能需求'!$A$2:$A$28,0),MATCH(D546,'2.職務職能需求'!$B$1:$F$1,0)),0),""))</f>
        <v/>
      </c>
      <c r="H546" s="94" t="n"/>
      <c r="I546" s="94" t="n"/>
      <c r="J546" s="120">
        <f>IF(OR(G546="",I546="",G546=0),"",I546-G546)</f>
        <v/>
      </c>
      <c r="K546" s="120">
        <f>IF(G546="","",IF(G546=0,"不適用",IF(I546="","待評核",IF(I546&gt;=G546,IF(I546&gt;G546,"超越","達標"),"待發展"))))</f>
        <v/>
      </c>
      <c r="L546" s="91" t="n"/>
      <c r="M546" s="91" t="n"/>
      <c r="N546" s="88" t="n"/>
    </row>
    <row r="547" ht="15.75" customHeight="1" s="64">
      <c r="A547" s="88" t="n"/>
      <c r="B547" s="120">
        <f t="array" ref="B547:B547">IF(A547="","",IFERROR(INDEX('3.員工名單'!$B:$B,MATCH(A547,'3.員工名單'!$A:$A,0)),"查無此員工"))</f>
        <v/>
      </c>
      <c r="C547" s="120">
        <f t="array" ref="C547:C547">IF(A547="","",IFERROR(INDEX('3.員工名單'!$C:$C,MATCH(A547,'3.員工名單'!$A:$A,0)),""))</f>
        <v/>
      </c>
      <c r="D547" s="120">
        <f t="array" ref="D547:D547">IF(A547="","",IFERROR(INDEX('3.員工名單'!$D:$D,MATCH(A547,'3.員工名單'!$A:$A,0)),""))</f>
        <v/>
      </c>
      <c r="E547" s="120">
        <f t="array" ref="E547:E547">IF(F547="","",IFERROR(INDEX('1.職能辭典'!$A:$A,MATCH(F547,'1.職能辭典'!$C:$C,0)),""))</f>
        <v/>
      </c>
      <c r="F547" s="94" t="n"/>
      <c r="G547" s="120">
        <f t="array" ref="G547:G547">IF(OR(D547="",F547=""),"",IFERROR(IF(AND(OR(INDEX('1.職能辭典'!$J:$J,MATCH(F547,'1.職能辭典'!$C:$C,0))="全部",INDEX('3.員工名單'!$H:$H,MATCH(A547,'3.員工名單'!$A:$A,0))="兩款共用",INDEX('3.員工名單'!$H:$H,MATCH(A547,'3.員工名單'!$A:$A,0))=INDEX('1.職能辭典'!$J:$J,MATCH(F547,'1.職能辭典'!$C:$C,0))),OR(INDEX('1.職能辭典'!$K:$K,MATCH(F547,'1.職能辭典'!$C:$C,0))="全部",SUMPRODUCT(ISNUMBER(SEARCH({"經營","管理","財務","企劃","營運","技術","數據","美術","測試","客服"},INDEX('3.員工名單'!$I:$I,MATCH(A547,'3.員工名單'!$A:$A,0))))*ISNUMBER(SEARCH({"經營","管理","財務","企劃","營運","技術","數據","美術","測試","客服"},INDEX('1.職能辭典'!$K:$K,MATCH(F547,'1.職能辭典'!$C:$C,0)))))&gt;0)),INDEX('2.職務職能需求'!$B$2:$F$28,MATCH(F547,'2.職務職能需求'!$A$2:$A$28,0),MATCH(D547,'2.職務職能需求'!$B$1:$F$1,0)),0),""))</f>
        <v/>
      </c>
      <c r="H547" s="94" t="n"/>
      <c r="I547" s="94" t="n"/>
      <c r="J547" s="120">
        <f>IF(OR(G547="",I547="",G547=0),"",I547-G547)</f>
        <v/>
      </c>
      <c r="K547" s="120">
        <f>IF(G547="","",IF(G547=0,"不適用",IF(I547="","待評核",IF(I547&gt;=G547,IF(I547&gt;G547,"超越","達標"),"待發展"))))</f>
        <v/>
      </c>
      <c r="L547" s="91" t="n"/>
      <c r="M547" s="91" t="n"/>
      <c r="N547" s="88" t="n"/>
    </row>
    <row r="548" ht="15.75" customHeight="1" s="64">
      <c r="A548" s="88" t="n"/>
      <c r="B548" s="120">
        <f t="array" ref="B548:B548">IF(A548="","",IFERROR(INDEX('3.員工名單'!$B:$B,MATCH(A548,'3.員工名單'!$A:$A,0)),"查無此員工"))</f>
        <v/>
      </c>
      <c r="C548" s="120">
        <f t="array" ref="C548:C548">IF(A548="","",IFERROR(INDEX('3.員工名單'!$C:$C,MATCH(A548,'3.員工名單'!$A:$A,0)),""))</f>
        <v/>
      </c>
      <c r="D548" s="120">
        <f t="array" ref="D548:D548">IF(A548="","",IFERROR(INDEX('3.員工名單'!$D:$D,MATCH(A548,'3.員工名單'!$A:$A,0)),""))</f>
        <v/>
      </c>
      <c r="E548" s="120">
        <f t="array" ref="E548:E548">IF(F548="","",IFERROR(INDEX('1.職能辭典'!$A:$A,MATCH(F548,'1.職能辭典'!$C:$C,0)),""))</f>
        <v/>
      </c>
      <c r="F548" s="94" t="n"/>
      <c r="G548" s="120">
        <f t="array" ref="G548:G548">IF(OR(D548="",F548=""),"",IFERROR(IF(AND(OR(INDEX('1.職能辭典'!$J:$J,MATCH(F548,'1.職能辭典'!$C:$C,0))="全部",INDEX('3.員工名單'!$H:$H,MATCH(A548,'3.員工名單'!$A:$A,0))="兩款共用",INDEX('3.員工名單'!$H:$H,MATCH(A548,'3.員工名單'!$A:$A,0))=INDEX('1.職能辭典'!$J:$J,MATCH(F548,'1.職能辭典'!$C:$C,0))),OR(INDEX('1.職能辭典'!$K:$K,MATCH(F548,'1.職能辭典'!$C:$C,0))="全部",SUMPRODUCT(ISNUMBER(SEARCH({"經營","管理","財務","企劃","營運","技術","數據","美術","測試","客服"},INDEX('3.員工名單'!$I:$I,MATCH(A548,'3.員工名單'!$A:$A,0))))*ISNUMBER(SEARCH({"經營","管理","財務","企劃","營運","技術","數據","美術","測試","客服"},INDEX('1.職能辭典'!$K:$K,MATCH(F548,'1.職能辭典'!$C:$C,0)))))&gt;0)),INDEX('2.職務職能需求'!$B$2:$F$28,MATCH(F548,'2.職務職能需求'!$A$2:$A$28,0),MATCH(D548,'2.職務職能需求'!$B$1:$F$1,0)),0),""))</f>
        <v/>
      </c>
      <c r="H548" s="94" t="n"/>
      <c r="I548" s="94" t="n"/>
      <c r="J548" s="120">
        <f>IF(OR(G548="",I548="",G548=0),"",I548-G548)</f>
        <v/>
      </c>
      <c r="K548" s="120">
        <f>IF(G548="","",IF(G548=0,"不適用",IF(I548="","待評核",IF(I548&gt;=G548,IF(I548&gt;G548,"超越","達標"),"待發展"))))</f>
        <v/>
      </c>
      <c r="L548" s="91" t="n"/>
      <c r="M548" s="91" t="n"/>
      <c r="N548" s="88" t="n"/>
    </row>
    <row r="549" ht="15.75" customHeight="1" s="64">
      <c r="A549" s="88" t="n"/>
      <c r="B549" s="120">
        <f t="array" ref="B549:B549">IF(A549="","",IFERROR(INDEX('3.員工名單'!$B:$B,MATCH(A549,'3.員工名單'!$A:$A,0)),"查無此員工"))</f>
        <v/>
      </c>
      <c r="C549" s="120">
        <f t="array" ref="C549:C549">IF(A549="","",IFERROR(INDEX('3.員工名單'!$C:$C,MATCH(A549,'3.員工名單'!$A:$A,0)),""))</f>
        <v/>
      </c>
      <c r="D549" s="120">
        <f t="array" ref="D549:D549">IF(A549="","",IFERROR(INDEX('3.員工名單'!$D:$D,MATCH(A549,'3.員工名單'!$A:$A,0)),""))</f>
        <v/>
      </c>
      <c r="E549" s="120">
        <f t="array" ref="E549:E549">IF(F549="","",IFERROR(INDEX('1.職能辭典'!$A:$A,MATCH(F549,'1.職能辭典'!$C:$C,0)),""))</f>
        <v/>
      </c>
      <c r="F549" s="94" t="n"/>
      <c r="G549" s="120">
        <f t="array" ref="G549:G549">IF(OR(D549="",F549=""),"",IFERROR(IF(AND(OR(INDEX('1.職能辭典'!$J:$J,MATCH(F549,'1.職能辭典'!$C:$C,0))="全部",INDEX('3.員工名單'!$H:$H,MATCH(A549,'3.員工名單'!$A:$A,0))="兩款共用",INDEX('3.員工名單'!$H:$H,MATCH(A549,'3.員工名單'!$A:$A,0))=INDEX('1.職能辭典'!$J:$J,MATCH(F549,'1.職能辭典'!$C:$C,0))),OR(INDEX('1.職能辭典'!$K:$K,MATCH(F549,'1.職能辭典'!$C:$C,0))="全部",SUMPRODUCT(ISNUMBER(SEARCH({"經營","管理","財務","企劃","營運","技術","數據","美術","測試","客服"},INDEX('3.員工名單'!$I:$I,MATCH(A549,'3.員工名單'!$A:$A,0))))*ISNUMBER(SEARCH({"經營","管理","財務","企劃","營運","技術","數據","美術","測試","客服"},INDEX('1.職能辭典'!$K:$K,MATCH(F549,'1.職能辭典'!$C:$C,0)))))&gt;0)),INDEX('2.職務職能需求'!$B$2:$F$28,MATCH(F549,'2.職務職能需求'!$A$2:$A$28,0),MATCH(D549,'2.職務職能需求'!$B$1:$F$1,0)),0),""))</f>
        <v/>
      </c>
      <c r="H549" s="94" t="n"/>
      <c r="I549" s="94" t="n"/>
      <c r="J549" s="120">
        <f>IF(OR(G549="",I549="",G549=0),"",I549-G549)</f>
        <v/>
      </c>
      <c r="K549" s="120">
        <f>IF(G549="","",IF(G549=0,"不適用",IF(I549="","待評核",IF(I549&gt;=G549,IF(I549&gt;G549,"超越","達標"),"待發展"))))</f>
        <v/>
      </c>
      <c r="L549" s="91" t="n"/>
      <c r="M549" s="91" t="n"/>
      <c r="N549" s="88" t="n"/>
    </row>
    <row r="550" ht="15.75" customHeight="1" s="64">
      <c r="A550" s="88" t="n"/>
      <c r="B550" s="120">
        <f t="array" ref="B550:B550">IF(A550="","",IFERROR(INDEX('3.員工名單'!$B:$B,MATCH(A550,'3.員工名單'!$A:$A,0)),"查無此員工"))</f>
        <v/>
      </c>
      <c r="C550" s="120">
        <f t="array" ref="C550:C550">IF(A550="","",IFERROR(INDEX('3.員工名單'!$C:$C,MATCH(A550,'3.員工名單'!$A:$A,0)),""))</f>
        <v/>
      </c>
      <c r="D550" s="120">
        <f t="array" ref="D550:D550">IF(A550="","",IFERROR(INDEX('3.員工名單'!$D:$D,MATCH(A550,'3.員工名單'!$A:$A,0)),""))</f>
        <v/>
      </c>
      <c r="E550" s="120">
        <f t="array" ref="E550:E550">IF(F550="","",IFERROR(INDEX('1.職能辭典'!$A:$A,MATCH(F550,'1.職能辭典'!$C:$C,0)),""))</f>
        <v/>
      </c>
      <c r="F550" s="94" t="n"/>
      <c r="G550" s="120">
        <f t="array" ref="G550:G550">IF(OR(D550="",F550=""),"",IFERROR(IF(AND(OR(INDEX('1.職能辭典'!$J:$J,MATCH(F550,'1.職能辭典'!$C:$C,0))="全部",INDEX('3.員工名單'!$H:$H,MATCH(A550,'3.員工名單'!$A:$A,0))="兩款共用",INDEX('3.員工名單'!$H:$H,MATCH(A550,'3.員工名單'!$A:$A,0))=INDEX('1.職能辭典'!$J:$J,MATCH(F550,'1.職能辭典'!$C:$C,0))),OR(INDEX('1.職能辭典'!$K:$K,MATCH(F550,'1.職能辭典'!$C:$C,0))="全部",SUMPRODUCT(ISNUMBER(SEARCH({"經營","管理","財務","企劃","營運","技術","數據","美術","測試","客服"},INDEX('3.員工名單'!$I:$I,MATCH(A550,'3.員工名單'!$A:$A,0))))*ISNUMBER(SEARCH({"經營","管理","財務","企劃","營運","技術","數據","美術","測試","客服"},INDEX('1.職能辭典'!$K:$K,MATCH(F550,'1.職能辭典'!$C:$C,0)))))&gt;0)),INDEX('2.職務職能需求'!$B$2:$F$28,MATCH(F550,'2.職務職能需求'!$A$2:$A$28,0),MATCH(D550,'2.職務職能需求'!$B$1:$F$1,0)),0),""))</f>
        <v/>
      </c>
      <c r="H550" s="94" t="n"/>
      <c r="I550" s="94" t="n"/>
      <c r="J550" s="120">
        <f>IF(OR(G550="",I550="",G550=0),"",I550-G550)</f>
        <v/>
      </c>
      <c r="K550" s="120">
        <f>IF(G550="","",IF(G550=0,"不適用",IF(I550="","待評核",IF(I550&gt;=G550,IF(I550&gt;G550,"超越","達標"),"待發展"))))</f>
        <v/>
      </c>
      <c r="L550" s="91" t="n"/>
      <c r="M550" s="91" t="n"/>
      <c r="N550" s="88" t="n"/>
    </row>
    <row r="551" ht="15.75" customHeight="1" s="64">
      <c r="A551" s="88" t="n"/>
      <c r="B551" s="120">
        <f t="array" ref="B551:B551">IF(A551="","",IFERROR(INDEX('3.員工名單'!$B:$B,MATCH(A551,'3.員工名單'!$A:$A,0)),"查無此員工"))</f>
        <v/>
      </c>
      <c r="C551" s="120">
        <f t="array" ref="C551:C551">IF(A551="","",IFERROR(INDEX('3.員工名單'!$C:$C,MATCH(A551,'3.員工名單'!$A:$A,0)),""))</f>
        <v/>
      </c>
      <c r="D551" s="120">
        <f t="array" ref="D551:D551">IF(A551="","",IFERROR(INDEX('3.員工名單'!$D:$D,MATCH(A551,'3.員工名單'!$A:$A,0)),""))</f>
        <v/>
      </c>
      <c r="E551" s="120">
        <f t="array" ref="E551:E551">IF(F551="","",IFERROR(INDEX('1.職能辭典'!$A:$A,MATCH(F551,'1.職能辭典'!$C:$C,0)),""))</f>
        <v/>
      </c>
      <c r="F551" s="94" t="n"/>
      <c r="G551" s="120">
        <f t="array" ref="G551:G551">IF(OR(D551="",F551=""),"",IFERROR(IF(AND(OR(INDEX('1.職能辭典'!$J:$J,MATCH(F551,'1.職能辭典'!$C:$C,0))="全部",INDEX('3.員工名單'!$H:$H,MATCH(A551,'3.員工名單'!$A:$A,0))="兩款共用",INDEX('3.員工名單'!$H:$H,MATCH(A551,'3.員工名單'!$A:$A,0))=INDEX('1.職能辭典'!$J:$J,MATCH(F551,'1.職能辭典'!$C:$C,0))),OR(INDEX('1.職能辭典'!$K:$K,MATCH(F551,'1.職能辭典'!$C:$C,0))="全部",SUMPRODUCT(ISNUMBER(SEARCH({"經營","管理","財務","企劃","營運","技術","數據","美術","測試","客服"},INDEX('3.員工名單'!$I:$I,MATCH(A551,'3.員工名單'!$A:$A,0))))*ISNUMBER(SEARCH({"經營","管理","財務","企劃","營運","技術","數據","美術","測試","客服"},INDEX('1.職能辭典'!$K:$K,MATCH(F551,'1.職能辭典'!$C:$C,0)))))&gt;0)),INDEX('2.職務職能需求'!$B$2:$F$28,MATCH(F551,'2.職務職能需求'!$A$2:$A$28,0),MATCH(D551,'2.職務職能需求'!$B$1:$F$1,0)),0),""))</f>
        <v/>
      </c>
      <c r="H551" s="94" t="n"/>
      <c r="I551" s="94" t="n"/>
      <c r="J551" s="120">
        <f>IF(OR(G551="",I551="",G551=0),"",I551-G551)</f>
        <v/>
      </c>
      <c r="K551" s="120">
        <f>IF(G551="","",IF(G551=0,"不適用",IF(I551="","待評核",IF(I551&gt;=G551,IF(I551&gt;G551,"超越","達標"),"待發展"))))</f>
        <v/>
      </c>
      <c r="L551" s="91" t="n"/>
      <c r="M551" s="91" t="n"/>
      <c r="N551" s="88" t="n"/>
    </row>
    <row r="552" ht="15.75" customHeight="1" s="64">
      <c r="A552" s="88" t="n"/>
      <c r="B552" s="120">
        <f t="array" ref="B552:B552">IF(A552="","",IFERROR(INDEX('3.員工名單'!$B:$B,MATCH(A552,'3.員工名單'!$A:$A,0)),"查無此員工"))</f>
        <v/>
      </c>
      <c r="C552" s="120">
        <f t="array" ref="C552:C552">IF(A552="","",IFERROR(INDEX('3.員工名單'!$C:$C,MATCH(A552,'3.員工名單'!$A:$A,0)),""))</f>
        <v/>
      </c>
      <c r="D552" s="120">
        <f t="array" ref="D552:D552">IF(A552="","",IFERROR(INDEX('3.員工名單'!$D:$D,MATCH(A552,'3.員工名單'!$A:$A,0)),""))</f>
        <v/>
      </c>
      <c r="E552" s="120">
        <f t="array" ref="E552:E552">IF(F552="","",IFERROR(INDEX('1.職能辭典'!$A:$A,MATCH(F552,'1.職能辭典'!$C:$C,0)),""))</f>
        <v/>
      </c>
      <c r="F552" s="94" t="n"/>
      <c r="G552" s="120">
        <f t="array" ref="G552:G552">IF(OR(D552="",F552=""),"",IFERROR(IF(AND(OR(INDEX('1.職能辭典'!$J:$J,MATCH(F552,'1.職能辭典'!$C:$C,0))="全部",INDEX('3.員工名單'!$H:$H,MATCH(A552,'3.員工名單'!$A:$A,0))="兩款共用",INDEX('3.員工名單'!$H:$H,MATCH(A552,'3.員工名單'!$A:$A,0))=INDEX('1.職能辭典'!$J:$J,MATCH(F552,'1.職能辭典'!$C:$C,0))),OR(INDEX('1.職能辭典'!$K:$K,MATCH(F552,'1.職能辭典'!$C:$C,0))="全部",SUMPRODUCT(ISNUMBER(SEARCH({"經營","管理","財務","企劃","營運","技術","數據","美術","測試","客服"},INDEX('3.員工名單'!$I:$I,MATCH(A552,'3.員工名單'!$A:$A,0))))*ISNUMBER(SEARCH({"經營","管理","財務","企劃","營運","技術","數據","美術","測試","客服"},INDEX('1.職能辭典'!$K:$K,MATCH(F552,'1.職能辭典'!$C:$C,0)))))&gt;0)),INDEX('2.職務職能需求'!$B$2:$F$28,MATCH(F552,'2.職務職能需求'!$A$2:$A$28,0),MATCH(D552,'2.職務職能需求'!$B$1:$F$1,0)),0),""))</f>
        <v/>
      </c>
      <c r="H552" s="94" t="n"/>
      <c r="I552" s="94" t="n"/>
      <c r="J552" s="120">
        <f>IF(OR(G552="",I552="",G552=0),"",I552-G552)</f>
        <v/>
      </c>
      <c r="K552" s="120">
        <f>IF(G552="","",IF(G552=0,"不適用",IF(I552="","待評核",IF(I552&gt;=G552,IF(I552&gt;G552,"超越","達標"),"待發展"))))</f>
        <v/>
      </c>
      <c r="L552" s="91" t="n"/>
      <c r="M552" s="91" t="n"/>
      <c r="N552" s="88" t="n"/>
    </row>
    <row r="553" ht="15.75" customHeight="1" s="64">
      <c r="A553" s="88" t="n"/>
      <c r="B553" s="120">
        <f t="array" ref="B553:B553">IF(A553="","",IFERROR(INDEX('3.員工名單'!$B:$B,MATCH(A553,'3.員工名單'!$A:$A,0)),"查無此員工"))</f>
        <v/>
      </c>
      <c r="C553" s="120">
        <f t="array" ref="C553:C553">IF(A553="","",IFERROR(INDEX('3.員工名單'!$C:$C,MATCH(A553,'3.員工名單'!$A:$A,0)),""))</f>
        <v/>
      </c>
      <c r="D553" s="120">
        <f t="array" ref="D553:D553">IF(A553="","",IFERROR(INDEX('3.員工名單'!$D:$D,MATCH(A553,'3.員工名單'!$A:$A,0)),""))</f>
        <v/>
      </c>
      <c r="E553" s="120">
        <f t="array" ref="E553:E553">IF(F553="","",IFERROR(INDEX('1.職能辭典'!$A:$A,MATCH(F553,'1.職能辭典'!$C:$C,0)),""))</f>
        <v/>
      </c>
      <c r="F553" s="94" t="n"/>
      <c r="G553" s="120">
        <f t="array" ref="G553:G553">IF(OR(D553="",F553=""),"",IFERROR(IF(AND(OR(INDEX('1.職能辭典'!$J:$J,MATCH(F553,'1.職能辭典'!$C:$C,0))="全部",INDEX('3.員工名單'!$H:$H,MATCH(A553,'3.員工名單'!$A:$A,0))="兩款共用",INDEX('3.員工名單'!$H:$H,MATCH(A553,'3.員工名單'!$A:$A,0))=INDEX('1.職能辭典'!$J:$J,MATCH(F553,'1.職能辭典'!$C:$C,0))),OR(INDEX('1.職能辭典'!$K:$K,MATCH(F553,'1.職能辭典'!$C:$C,0))="全部",SUMPRODUCT(ISNUMBER(SEARCH({"經營","管理","財務","企劃","營運","技術","數據","美術","測試","客服"},INDEX('3.員工名單'!$I:$I,MATCH(A553,'3.員工名單'!$A:$A,0))))*ISNUMBER(SEARCH({"經營","管理","財務","企劃","營運","技術","數據","美術","測試","客服"},INDEX('1.職能辭典'!$K:$K,MATCH(F553,'1.職能辭典'!$C:$C,0)))))&gt;0)),INDEX('2.職務職能需求'!$B$2:$F$28,MATCH(F553,'2.職務職能需求'!$A$2:$A$28,0),MATCH(D553,'2.職務職能需求'!$B$1:$F$1,0)),0),""))</f>
        <v/>
      </c>
      <c r="H553" s="94" t="n"/>
      <c r="I553" s="94" t="n"/>
      <c r="J553" s="120">
        <f>IF(OR(G553="",I553="",G553=0),"",I553-G553)</f>
        <v/>
      </c>
      <c r="K553" s="120">
        <f>IF(G553="","",IF(G553=0,"不適用",IF(I553="","待評核",IF(I553&gt;=G553,IF(I553&gt;G553,"超越","達標"),"待發展"))))</f>
        <v/>
      </c>
      <c r="L553" s="91" t="n"/>
      <c r="M553" s="91" t="n"/>
      <c r="N553" s="88" t="n"/>
    </row>
    <row r="554" ht="15.75" customHeight="1" s="64">
      <c r="A554" s="88" t="n"/>
      <c r="B554" s="120">
        <f t="array" ref="B554:B554">IF(A554="","",IFERROR(INDEX('3.員工名單'!$B:$B,MATCH(A554,'3.員工名單'!$A:$A,0)),"查無此員工"))</f>
        <v/>
      </c>
      <c r="C554" s="120">
        <f t="array" ref="C554:C554">IF(A554="","",IFERROR(INDEX('3.員工名單'!$C:$C,MATCH(A554,'3.員工名單'!$A:$A,0)),""))</f>
        <v/>
      </c>
      <c r="D554" s="120">
        <f t="array" ref="D554:D554">IF(A554="","",IFERROR(INDEX('3.員工名單'!$D:$D,MATCH(A554,'3.員工名單'!$A:$A,0)),""))</f>
        <v/>
      </c>
      <c r="E554" s="120">
        <f t="array" ref="E554:E554">IF(F554="","",IFERROR(INDEX('1.職能辭典'!$A:$A,MATCH(F554,'1.職能辭典'!$C:$C,0)),""))</f>
        <v/>
      </c>
      <c r="F554" s="94" t="n"/>
      <c r="G554" s="120">
        <f t="array" ref="G554:G554">IF(OR(D554="",F554=""),"",IFERROR(IF(AND(OR(INDEX('1.職能辭典'!$J:$J,MATCH(F554,'1.職能辭典'!$C:$C,0))="全部",INDEX('3.員工名單'!$H:$H,MATCH(A554,'3.員工名單'!$A:$A,0))="兩款共用",INDEX('3.員工名單'!$H:$H,MATCH(A554,'3.員工名單'!$A:$A,0))=INDEX('1.職能辭典'!$J:$J,MATCH(F554,'1.職能辭典'!$C:$C,0))),OR(INDEX('1.職能辭典'!$K:$K,MATCH(F554,'1.職能辭典'!$C:$C,0))="全部",SUMPRODUCT(ISNUMBER(SEARCH({"經營","管理","財務","企劃","營運","技術","數據","美術","測試","客服"},INDEX('3.員工名單'!$I:$I,MATCH(A554,'3.員工名單'!$A:$A,0))))*ISNUMBER(SEARCH({"經營","管理","財務","企劃","營運","技術","數據","美術","測試","客服"},INDEX('1.職能辭典'!$K:$K,MATCH(F554,'1.職能辭典'!$C:$C,0)))))&gt;0)),INDEX('2.職務職能需求'!$B$2:$F$28,MATCH(F554,'2.職務職能需求'!$A$2:$A$28,0),MATCH(D554,'2.職務職能需求'!$B$1:$F$1,0)),0),""))</f>
        <v/>
      </c>
      <c r="H554" s="94" t="n"/>
      <c r="I554" s="94" t="n"/>
      <c r="J554" s="120">
        <f>IF(OR(G554="",I554="",G554=0),"",I554-G554)</f>
        <v/>
      </c>
      <c r="K554" s="120">
        <f>IF(G554="","",IF(G554=0,"不適用",IF(I554="","待評核",IF(I554&gt;=G554,IF(I554&gt;G554,"超越","達標"),"待發展"))))</f>
        <v/>
      </c>
      <c r="L554" s="91" t="n"/>
      <c r="M554" s="91" t="n"/>
      <c r="N554" s="88" t="n"/>
    </row>
    <row r="555" ht="15.75" customHeight="1" s="64">
      <c r="A555" s="88" t="n"/>
      <c r="B555" s="120">
        <f t="array" ref="B555:B555">IF(A555="","",IFERROR(INDEX('3.員工名單'!$B:$B,MATCH(A555,'3.員工名單'!$A:$A,0)),"查無此員工"))</f>
        <v/>
      </c>
      <c r="C555" s="120">
        <f t="array" ref="C555:C555">IF(A555="","",IFERROR(INDEX('3.員工名單'!$C:$C,MATCH(A555,'3.員工名單'!$A:$A,0)),""))</f>
        <v/>
      </c>
      <c r="D555" s="120">
        <f t="array" ref="D555:D555">IF(A555="","",IFERROR(INDEX('3.員工名單'!$D:$D,MATCH(A555,'3.員工名單'!$A:$A,0)),""))</f>
        <v/>
      </c>
      <c r="E555" s="120">
        <f t="array" ref="E555:E555">IF(F555="","",IFERROR(INDEX('1.職能辭典'!$A:$A,MATCH(F555,'1.職能辭典'!$C:$C,0)),""))</f>
        <v/>
      </c>
      <c r="F555" s="94" t="n"/>
      <c r="G555" s="120">
        <f t="array" ref="G555:G555">IF(OR(D555="",F555=""),"",IFERROR(IF(AND(OR(INDEX('1.職能辭典'!$J:$J,MATCH(F555,'1.職能辭典'!$C:$C,0))="全部",INDEX('3.員工名單'!$H:$H,MATCH(A555,'3.員工名單'!$A:$A,0))="兩款共用",INDEX('3.員工名單'!$H:$H,MATCH(A555,'3.員工名單'!$A:$A,0))=INDEX('1.職能辭典'!$J:$J,MATCH(F555,'1.職能辭典'!$C:$C,0))),OR(INDEX('1.職能辭典'!$K:$K,MATCH(F555,'1.職能辭典'!$C:$C,0))="全部",SUMPRODUCT(ISNUMBER(SEARCH({"經營","管理","財務","企劃","營運","技術","數據","美術","測試","客服"},INDEX('3.員工名單'!$I:$I,MATCH(A555,'3.員工名單'!$A:$A,0))))*ISNUMBER(SEARCH({"經營","管理","財務","企劃","營運","技術","數據","美術","測試","客服"},INDEX('1.職能辭典'!$K:$K,MATCH(F555,'1.職能辭典'!$C:$C,0)))))&gt;0)),INDEX('2.職務職能需求'!$B$2:$F$28,MATCH(F555,'2.職務職能需求'!$A$2:$A$28,0),MATCH(D555,'2.職務職能需求'!$B$1:$F$1,0)),0),""))</f>
        <v/>
      </c>
      <c r="H555" s="94" t="n"/>
      <c r="I555" s="94" t="n"/>
      <c r="J555" s="120">
        <f>IF(OR(G555="",I555="",G555=0),"",I555-G555)</f>
        <v/>
      </c>
      <c r="K555" s="120">
        <f>IF(G555="","",IF(G555=0,"不適用",IF(I555="","待評核",IF(I555&gt;=G555,IF(I555&gt;G555,"超越","達標"),"待發展"))))</f>
        <v/>
      </c>
      <c r="L555" s="91" t="n"/>
      <c r="M555" s="91" t="n"/>
      <c r="N555" s="88" t="n"/>
    </row>
    <row r="556" ht="15.75" customHeight="1" s="64">
      <c r="A556" s="88" t="n"/>
      <c r="B556" s="120">
        <f t="array" ref="B556:B556">IF(A556="","",IFERROR(INDEX('3.員工名單'!$B:$B,MATCH(A556,'3.員工名單'!$A:$A,0)),"查無此員工"))</f>
        <v/>
      </c>
      <c r="C556" s="120">
        <f t="array" ref="C556:C556">IF(A556="","",IFERROR(INDEX('3.員工名單'!$C:$C,MATCH(A556,'3.員工名單'!$A:$A,0)),""))</f>
        <v/>
      </c>
      <c r="D556" s="120">
        <f t="array" ref="D556:D556">IF(A556="","",IFERROR(INDEX('3.員工名單'!$D:$D,MATCH(A556,'3.員工名單'!$A:$A,0)),""))</f>
        <v/>
      </c>
      <c r="E556" s="120">
        <f t="array" ref="E556:E556">IF(F556="","",IFERROR(INDEX('1.職能辭典'!$A:$A,MATCH(F556,'1.職能辭典'!$C:$C,0)),""))</f>
        <v/>
      </c>
      <c r="F556" s="94" t="n"/>
      <c r="G556" s="120">
        <f t="array" ref="G556:G556">IF(OR(D556="",F556=""),"",IFERROR(IF(AND(OR(INDEX('1.職能辭典'!$J:$J,MATCH(F556,'1.職能辭典'!$C:$C,0))="全部",INDEX('3.員工名單'!$H:$H,MATCH(A556,'3.員工名單'!$A:$A,0))="兩款共用",INDEX('3.員工名單'!$H:$H,MATCH(A556,'3.員工名單'!$A:$A,0))=INDEX('1.職能辭典'!$J:$J,MATCH(F556,'1.職能辭典'!$C:$C,0))),OR(INDEX('1.職能辭典'!$K:$K,MATCH(F556,'1.職能辭典'!$C:$C,0))="全部",SUMPRODUCT(ISNUMBER(SEARCH({"經營","管理","財務","企劃","營運","技術","數據","美術","測試","客服"},INDEX('3.員工名單'!$I:$I,MATCH(A556,'3.員工名單'!$A:$A,0))))*ISNUMBER(SEARCH({"經營","管理","財務","企劃","營運","技術","數據","美術","測試","客服"},INDEX('1.職能辭典'!$K:$K,MATCH(F556,'1.職能辭典'!$C:$C,0)))))&gt;0)),INDEX('2.職務職能需求'!$B$2:$F$28,MATCH(F556,'2.職務職能需求'!$A$2:$A$28,0),MATCH(D556,'2.職務職能需求'!$B$1:$F$1,0)),0),""))</f>
        <v/>
      </c>
      <c r="H556" s="94" t="n"/>
      <c r="I556" s="94" t="n"/>
      <c r="J556" s="120">
        <f>IF(OR(G556="",I556="",G556=0),"",I556-G556)</f>
        <v/>
      </c>
      <c r="K556" s="120">
        <f>IF(G556="","",IF(G556=0,"不適用",IF(I556="","待評核",IF(I556&gt;=G556,IF(I556&gt;G556,"超越","達標"),"待發展"))))</f>
        <v/>
      </c>
      <c r="L556" s="91" t="n"/>
      <c r="M556" s="91" t="n"/>
      <c r="N556" s="88" t="n"/>
    </row>
    <row r="557" ht="15.75" customHeight="1" s="64">
      <c r="A557" s="88" t="n"/>
      <c r="B557" s="120">
        <f t="array" ref="B557:B557">IF(A557="","",IFERROR(INDEX('3.員工名單'!$B:$B,MATCH(A557,'3.員工名單'!$A:$A,0)),"查無此員工"))</f>
        <v/>
      </c>
      <c r="C557" s="120">
        <f t="array" ref="C557:C557">IF(A557="","",IFERROR(INDEX('3.員工名單'!$C:$C,MATCH(A557,'3.員工名單'!$A:$A,0)),""))</f>
        <v/>
      </c>
      <c r="D557" s="120">
        <f t="array" ref="D557:D557">IF(A557="","",IFERROR(INDEX('3.員工名單'!$D:$D,MATCH(A557,'3.員工名單'!$A:$A,0)),""))</f>
        <v/>
      </c>
      <c r="E557" s="120">
        <f t="array" ref="E557:E557">IF(F557="","",IFERROR(INDEX('1.職能辭典'!$A:$A,MATCH(F557,'1.職能辭典'!$C:$C,0)),""))</f>
        <v/>
      </c>
      <c r="F557" s="94" t="n"/>
      <c r="G557" s="120">
        <f t="array" ref="G557:G557">IF(OR(D557="",F557=""),"",IFERROR(IF(AND(OR(INDEX('1.職能辭典'!$J:$J,MATCH(F557,'1.職能辭典'!$C:$C,0))="全部",INDEX('3.員工名單'!$H:$H,MATCH(A557,'3.員工名單'!$A:$A,0))="兩款共用",INDEX('3.員工名單'!$H:$H,MATCH(A557,'3.員工名單'!$A:$A,0))=INDEX('1.職能辭典'!$J:$J,MATCH(F557,'1.職能辭典'!$C:$C,0))),OR(INDEX('1.職能辭典'!$K:$K,MATCH(F557,'1.職能辭典'!$C:$C,0))="全部",SUMPRODUCT(ISNUMBER(SEARCH({"經營","管理","財務","企劃","營運","技術","數據","美術","測試","客服"},INDEX('3.員工名單'!$I:$I,MATCH(A557,'3.員工名單'!$A:$A,0))))*ISNUMBER(SEARCH({"經營","管理","財務","企劃","營運","技術","數據","美術","測試","客服"},INDEX('1.職能辭典'!$K:$K,MATCH(F557,'1.職能辭典'!$C:$C,0)))))&gt;0)),INDEX('2.職務職能需求'!$B$2:$F$28,MATCH(F557,'2.職務職能需求'!$A$2:$A$28,0),MATCH(D557,'2.職務職能需求'!$B$1:$F$1,0)),0),""))</f>
        <v/>
      </c>
      <c r="H557" s="94" t="n"/>
      <c r="I557" s="94" t="n"/>
      <c r="J557" s="120">
        <f>IF(OR(G557="",I557="",G557=0),"",I557-G557)</f>
        <v/>
      </c>
      <c r="K557" s="120">
        <f>IF(G557="","",IF(G557=0,"不適用",IF(I557="","待評核",IF(I557&gt;=G557,IF(I557&gt;G557,"超越","達標"),"待發展"))))</f>
        <v/>
      </c>
      <c r="L557" s="91" t="n"/>
      <c r="M557" s="91" t="n"/>
      <c r="N557" s="88" t="n"/>
    </row>
    <row r="558" ht="15.75" customHeight="1" s="64">
      <c r="A558" s="88" t="n"/>
      <c r="B558" s="120">
        <f t="array" ref="B558:B558">IF(A558="","",IFERROR(INDEX('3.員工名單'!$B:$B,MATCH(A558,'3.員工名單'!$A:$A,0)),"查無此員工"))</f>
        <v/>
      </c>
      <c r="C558" s="120">
        <f t="array" ref="C558:C558">IF(A558="","",IFERROR(INDEX('3.員工名單'!$C:$C,MATCH(A558,'3.員工名單'!$A:$A,0)),""))</f>
        <v/>
      </c>
      <c r="D558" s="120">
        <f t="array" ref="D558:D558">IF(A558="","",IFERROR(INDEX('3.員工名單'!$D:$D,MATCH(A558,'3.員工名單'!$A:$A,0)),""))</f>
        <v/>
      </c>
      <c r="E558" s="120">
        <f t="array" ref="E558:E558">IF(F558="","",IFERROR(INDEX('1.職能辭典'!$A:$A,MATCH(F558,'1.職能辭典'!$C:$C,0)),""))</f>
        <v/>
      </c>
      <c r="F558" s="94" t="n"/>
      <c r="G558" s="120">
        <f t="array" ref="G558:G558">IF(OR(D558="",F558=""),"",IFERROR(IF(AND(OR(INDEX('1.職能辭典'!$J:$J,MATCH(F558,'1.職能辭典'!$C:$C,0))="全部",INDEX('3.員工名單'!$H:$H,MATCH(A558,'3.員工名單'!$A:$A,0))="兩款共用",INDEX('3.員工名單'!$H:$H,MATCH(A558,'3.員工名單'!$A:$A,0))=INDEX('1.職能辭典'!$J:$J,MATCH(F558,'1.職能辭典'!$C:$C,0))),OR(INDEX('1.職能辭典'!$K:$K,MATCH(F558,'1.職能辭典'!$C:$C,0))="全部",SUMPRODUCT(ISNUMBER(SEARCH({"經營","管理","財務","企劃","營運","技術","數據","美術","測試","客服"},INDEX('3.員工名單'!$I:$I,MATCH(A558,'3.員工名單'!$A:$A,0))))*ISNUMBER(SEARCH({"經營","管理","財務","企劃","營運","技術","數據","美術","測試","客服"},INDEX('1.職能辭典'!$K:$K,MATCH(F558,'1.職能辭典'!$C:$C,0)))))&gt;0)),INDEX('2.職務職能需求'!$B$2:$F$28,MATCH(F558,'2.職務職能需求'!$A$2:$A$28,0),MATCH(D558,'2.職務職能需求'!$B$1:$F$1,0)),0),""))</f>
        <v/>
      </c>
      <c r="H558" s="94" t="n"/>
      <c r="I558" s="94" t="n"/>
      <c r="J558" s="120">
        <f>IF(OR(G558="",I558="",G558=0),"",I558-G558)</f>
        <v/>
      </c>
      <c r="K558" s="120">
        <f>IF(G558="","",IF(G558=0,"不適用",IF(I558="","待評核",IF(I558&gt;=G558,IF(I558&gt;G558,"超越","達標"),"待發展"))))</f>
        <v/>
      </c>
      <c r="L558" s="91" t="n"/>
      <c r="M558" s="91" t="n"/>
      <c r="N558" s="88" t="n"/>
    </row>
    <row r="559" ht="15.75" customHeight="1" s="64">
      <c r="A559" s="88" t="n"/>
      <c r="B559" s="120">
        <f t="array" ref="B559:B559">IF(A559="","",IFERROR(INDEX('3.員工名單'!$B:$B,MATCH(A559,'3.員工名單'!$A:$A,0)),"查無此員工"))</f>
        <v/>
      </c>
      <c r="C559" s="120">
        <f t="array" ref="C559:C559">IF(A559="","",IFERROR(INDEX('3.員工名單'!$C:$C,MATCH(A559,'3.員工名單'!$A:$A,0)),""))</f>
        <v/>
      </c>
      <c r="D559" s="120">
        <f t="array" ref="D559:D559">IF(A559="","",IFERROR(INDEX('3.員工名單'!$D:$D,MATCH(A559,'3.員工名單'!$A:$A,0)),""))</f>
        <v/>
      </c>
      <c r="E559" s="120">
        <f t="array" ref="E559:E559">IF(F559="","",IFERROR(INDEX('1.職能辭典'!$A:$A,MATCH(F559,'1.職能辭典'!$C:$C,0)),""))</f>
        <v/>
      </c>
      <c r="F559" s="94" t="n"/>
      <c r="G559" s="120">
        <f t="array" ref="G559:G559">IF(OR(D559="",F559=""),"",IFERROR(IF(AND(OR(INDEX('1.職能辭典'!$J:$J,MATCH(F559,'1.職能辭典'!$C:$C,0))="全部",INDEX('3.員工名單'!$H:$H,MATCH(A559,'3.員工名單'!$A:$A,0))="兩款共用",INDEX('3.員工名單'!$H:$H,MATCH(A559,'3.員工名單'!$A:$A,0))=INDEX('1.職能辭典'!$J:$J,MATCH(F559,'1.職能辭典'!$C:$C,0))),OR(INDEX('1.職能辭典'!$K:$K,MATCH(F559,'1.職能辭典'!$C:$C,0))="全部",SUMPRODUCT(ISNUMBER(SEARCH({"經營","管理","財務","企劃","營運","技術","數據","美術","測試","客服"},INDEX('3.員工名單'!$I:$I,MATCH(A559,'3.員工名單'!$A:$A,0))))*ISNUMBER(SEARCH({"經營","管理","財務","企劃","營運","技術","數據","美術","測試","客服"},INDEX('1.職能辭典'!$K:$K,MATCH(F559,'1.職能辭典'!$C:$C,0)))))&gt;0)),INDEX('2.職務職能需求'!$B$2:$F$28,MATCH(F559,'2.職務職能需求'!$A$2:$A$28,0),MATCH(D559,'2.職務職能需求'!$B$1:$F$1,0)),0),""))</f>
        <v/>
      </c>
      <c r="H559" s="94" t="n"/>
      <c r="I559" s="94" t="n"/>
      <c r="J559" s="120">
        <f>IF(OR(G559="",I559="",G559=0),"",I559-G559)</f>
        <v/>
      </c>
      <c r="K559" s="120">
        <f>IF(G559="","",IF(G559=0,"不適用",IF(I559="","待評核",IF(I559&gt;=G559,IF(I559&gt;G559,"超越","達標"),"待發展"))))</f>
        <v/>
      </c>
      <c r="L559" s="91" t="n"/>
      <c r="M559" s="91" t="n"/>
      <c r="N559" s="88" t="n"/>
    </row>
    <row r="560" ht="15.75" customHeight="1" s="64">
      <c r="A560" s="88" t="n"/>
      <c r="B560" s="120">
        <f t="array" ref="B560:B560">IF(A560="","",IFERROR(INDEX('3.員工名單'!$B:$B,MATCH(A560,'3.員工名單'!$A:$A,0)),"查無此員工"))</f>
        <v/>
      </c>
      <c r="C560" s="120">
        <f t="array" ref="C560:C560">IF(A560="","",IFERROR(INDEX('3.員工名單'!$C:$C,MATCH(A560,'3.員工名單'!$A:$A,0)),""))</f>
        <v/>
      </c>
      <c r="D560" s="120">
        <f t="array" ref="D560:D560">IF(A560="","",IFERROR(INDEX('3.員工名單'!$D:$D,MATCH(A560,'3.員工名單'!$A:$A,0)),""))</f>
        <v/>
      </c>
      <c r="E560" s="120">
        <f t="array" ref="E560:E560">IF(F560="","",IFERROR(INDEX('1.職能辭典'!$A:$A,MATCH(F560,'1.職能辭典'!$C:$C,0)),""))</f>
        <v/>
      </c>
      <c r="F560" s="94" t="n"/>
      <c r="G560" s="120">
        <f t="array" ref="G560:G560">IF(OR(D560="",F560=""),"",IFERROR(IF(AND(OR(INDEX('1.職能辭典'!$J:$J,MATCH(F560,'1.職能辭典'!$C:$C,0))="全部",INDEX('3.員工名單'!$H:$H,MATCH(A560,'3.員工名單'!$A:$A,0))="兩款共用",INDEX('3.員工名單'!$H:$H,MATCH(A560,'3.員工名單'!$A:$A,0))=INDEX('1.職能辭典'!$J:$J,MATCH(F560,'1.職能辭典'!$C:$C,0))),OR(INDEX('1.職能辭典'!$K:$K,MATCH(F560,'1.職能辭典'!$C:$C,0))="全部",SUMPRODUCT(ISNUMBER(SEARCH({"經營","管理","財務","企劃","營運","技術","數據","美術","測試","客服"},INDEX('3.員工名單'!$I:$I,MATCH(A560,'3.員工名單'!$A:$A,0))))*ISNUMBER(SEARCH({"經營","管理","財務","企劃","營運","技術","數據","美術","測試","客服"},INDEX('1.職能辭典'!$K:$K,MATCH(F560,'1.職能辭典'!$C:$C,0)))))&gt;0)),INDEX('2.職務職能需求'!$B$2:$F$28,MATCH(F560,'2.職務職能需求'!$A$2:$A$28,0),MATCH(D560,'2.職務職能需求'!$B$1:$F$1,0)),0),""))</f>
        <v/>
      </c>
      <c r="H560" s="94" t="n"/>
      <c r="I560" s="94" t="n"/>
      <c r="J560" s="120">
        <f>IF(OR(G560="",I560="",G560=0),"",I560-G560)</f>
        <v/>
      </c>
      <c r="K560" s="120">
        <f>IF(G560="","",IF(G560=0,"不適用",IF(I560="","待評核",IF(I560&gt;=G560,IF(I560&gt;G560,"超越","達標"),"待發展"))))</f>
        <v/>
      </c>
      <c r="L560" s="91" t="n"/>
      <c r="M560" s="91" t="n"/>
      <c r="N560" s="88" t="n"/>
    </row>
    <row r="561" ht="15.75" customHeight="1" s="64">
      <c r="A561" s="88" t="n"/>
      <c r="B561" s="120">
        <f t="array" ref="B561:B561">IF(A561="","",IFERROR(INDEX('3.員工名單'!$B:$B,MATCH(A561,'3.員工名單'!$A:$A,0)),"查無此員工"))</f>
        <v/>
      </c>
      <c r="C561" s="120">
        <f t="array" ref="C561:C561">IF(A561="","",IFERROR(INDEX('3.員工名單'!$C:$C,MATCH(A561,'3.員工名單'!$A:$A,0)),""))</f>
        <v/>
      </c>
      <c r="D561" s="120">
        <f t="array" ref="D561:D561">IF(A561="","",IFERROR(INDEX('3.員工名單'!$D:$D,MATCH(A561,'3.員工名單'!$A:$A,0)),""))</f>
        <v/>
      </c>
      <c r="E561" s="120">
        <f t="array" ref="E561:E561">IF(F561="","",IFERROR(INDEX('1.職能辭典'!$A:$A,MATCH(F561,'1.職能辭典'!$C:$C,0)),""))</f>
        <v/>
      </c>
      <c r="F561" s="94" t="n"/>
      <c r="G561" s="120">
        <f t="array" ref="G561:G561">IF(OR(D561="",F561=""),"",IFERROR(IF(AND(OR(INDEX('1.職能辭典'!$J:$J,MATCH(F561,'1.職能辭典'!$C:$C,0))="全部",INDEX('3.員工名單'!$H:$H,MATCH(A561,'3.員工名單'!$A:$A,0))="兩款共用",INDEX('3.員工名單'!$H:$H,MATCH(A561,'3.員工名單'!$A:$A,0))=INDEX('1.職能辭典'!$J:$J,MATCH(F561,'1.職能辭典'!$C:$C,0))),OR(INDEX('1.職能辭典'!$K:$K,MATCH(F561,'1.職能辭典'!$C:$C,0))="全部",SUMPRODUCT(ISNUMBER(SEARCH({"經營","管理","財務","企劃","營運","技術","數據","美術","測試","客服"},INDEX('3.員工名單'!$I:$I,MATCH(A561,'3.員工名單'!$A:$A,0))))*ISNUMBER(SEARCH({"經營","管理","財務","企劃","營運","技術","數據","美術","測試","客服"},INDEX('1.職能辭典'!$K:$K,MATCH(F561,'1.職能辭典'!$C:$C,0)))))&gt;0)),INDEX('2.職務職能需求'!$B$2:$F$28,MATCH(F561,'2.職務職能需求'!$A$2:$A$28,0),MATCH(D561,'2.職務職能需求'!$B$1:$F$1,0)),0),""))</f>
        <v/>
      </c>
      <c r="H561" s="94" t="n"/>
      <c r="I561" s="94" t="n"/>
      <c r="J561" s="120">
        <f>IF(OR(G561="",I561="",G561=0),"",I561-G561)</f>
        <v/>
      </c>
      <c r="K561" s="120">
        <f>IF(G561="","",IF(G561=0,"不適用",IF(I561="","待評核",IF(I561&gt;=G561,IF(I561&gt;G561,"超越","達標"),"待發展"))))</f>
        <v/>
      </c>
      <c r="L561" s="91" t="n"/>
      <c r="M561" s="91" t="n"/>
      <c r="N561" s="88" t="n"/>
    </row>
    <row r="562" ht="15.75" customHeight="1" s="64">
      <c r="A562" s="88" t="n"/>
      <c r="B562" s="120">
        <f t="array" ref="B562:B562">IF(A562="","",IFERROR(INDEX('3.員工名單'!$B:$B,MATCH(A562,'3.員工名單'!$A:$A,0)),"查無此員工"))</f>
        <v/>
      </c>
      <c r="C562" s="120">
        <f t="array" ref="C562:C562">IF(A562="","",IFERROR(INDEX('3.員工名單'!$C:$C,MATCH(A562,'3.員工名單'!$A:$A,0)),""))</f>
        <v/>
      </c>
      <c r="D562" s="120">
        <f t="array" ref="D562:D562">IF(A562="","",IFERROR(INDEX('3.員工名單'!$D:$D,MATCH(A562,'3.員工名單'!$A:$A,0)),""))</f>
        <v/>
      </c>
      <c r="E562" s="120">
        <f t="array" ref="E562:E562">IF(F562="","",IFERROR(INDEX('1.職能辭典'!$A:$A,MATCH(F562,'1.職能辭典'!$C:$C,0)),""))</f>
        <v/>
      </c>
      <c r="F562" s="94" t="n"/>
      <c r="G562" s="120">
        <f t="array" ref="G562:G562">IF(OR(D562="",F562=""),"",IFERROR(IF(AND(OR(INDEX('1.職能辭典'!$J:$J,MATCH(F562,'1.職能辭典'!$C:$C,0))="全部",INDEX('3.員工名單'!$H:$H,MATCH(A562,'3.員工名單'!$A:$A,0))="兩款共用",INDEX('3.員工名單'!$H:$H,MATCH(A562,'3.員工名單'!$A:$A,0))=INDEX('1.職能辭典'!$J:$J,MATCH(F562,'1.職能辭典'!$C:$C,0))),OR(INDEX('1.職能辭典'!$K:$K,MATCH(F562,'1.職能辭典'!$C:$C,0))="全部",SUMPRODUCT(ISNUMBER(SEARCH({"經營","管理","財務","企劃","營運","技術","數據","美術","測試","客服"},INDEX('3.員工名單'!$I:$I,MATCH(A562,'3.員工名單'!$A:$A,0))))*ISNUMBER(SEARCH({"經營","管理","財務","企劃","營運","技術","數據","美術","測試","客服"},INDEX('1.職能辭典'!$K:$K,MATCH(F562,'1.職能辭典'!$C:$C,0)))))&gt;0)),INDEX('2.職務職能需求'!$B$2:$F$28,MATCH(F562,'2.職務職能需求'!$A$2:$A$28,0),MATCH(D562,'2.職務職能需求'!$B$1:$F$1,0)),0),""))</f>
        <v/>
      </c>
      <c r="H562" s="94" t="n"/>
      <c r="I562" s="94" t="n"/>
      <c r="J562" s="120">
        <f>IF(OR(G562="",I562="",G562=0),"",I562-G562)</f>
        <v/>
      </c>
      <c r="K562" s="120">
        <f>IF(G562="","",IF(G562=0,"不適用",IF(I562="","待評核",IF(I562&gt;=G562,IF(I562&gt;G562,"超越","達標"),"待發展"))))</f>
        <v/>
      </c>
      <c r="L562" s="91" t="n"/>
      <c r="M562" s="91" t="n"/>
      <c r="N562" s="88" t="n"/>
    </row>
    <row r="563" ht="15.75" customHeight="1" s="64">
      <c r="A563" s="88" t="n"/>
      <c r="B563" s="120">
        <f t="array" ref="B563:B563">IF(A563="","",IFERROR(INDEX('3.員工名單'!$B:$B,MATCH(A563,'3.員工名單'!$A:$A,0)),"查無此員工"))</f>
        <v/>
      </c>
      <c r="C563" s="120">
        <f t="array" ref="C563:C563">IF(A563="","",IFERROR(INDEX('3.員工名單'!$C:$C,MATCH(A563,'3.員工名單'!$A:$A,0)),""))</f>
        <v/>
      </c>
      <c r="D563" s="120">
        <f t="array" ref="D563:D563">IF(A563="","",IFERROR(INDEX('3.員工名單'!$D:$D,MATCH(A563,'3.員工名單'!$A:$A,0)),""))</f>
        <v/>
      </c>
      <c r="E563" s="120">
        <f t="array" ref="E563:E563">IF(F563="","",IFERROR(INDEX('1.職能辭典'!$A:$A,MATCH(F563,'1.職能辭典'!$C:$C,0)),""))</f>
        <v/>
      </c>
      <c r="F563" s="94" t="n"/>
      <c r="G563" s="120">
        <f t="array" ref="G563:G563">IF(OR(D563="",F563=""),"",IFERROR(IF(AND(OR(INDEX('1.職能辭典'!$J:$J,MATCH(F563,'1.職能辭典'!$C:$C,0))="全部",INDEX('3.員工名單'!$H:$H,MATCH(A563,'3.員工名單'!$A:$A,0))="兩款共用",INDEX('3.員工名單'!$H:$H,MATCH(A563,'3.員工名單'!$A:$A,0))=INDEX('1.職能辭典'!$J:$J,MATCH(F563,'1.職能辭典'!$C:$C,0))),OR(INDEX('1.職能辭典'!$K:$K,MATCH(F563,'1.職能辭典'!$C:$C,0))="全部",SUMPRODUCT(ISNUMBER(SEARCH({"經營","管理","財務","企劃","營運","技術","數據","美術","測試","客服"},INDEX('3.員工名單'!$I:$I,MATCH(A563,'3.員工名單'!$A:$A,0))))*ISNUMBER(SEARCH({"經營","管理","財務","企劃","營運","技術","數據","美術","測試","客服"},INDEX('1.職能辭典'!$K:$K,MATCH(F563,'1.職能辭典'!$C:$C,0)))))&gt;0)),INDEX('2.職務職能需求'!$B$2:$F$28,MATCH(F563,'2.職務職能需求'!$A$2:$A$28,0),MATCH(D563,'2.職務職能需求'!$B$1:$F$1,0)),0),""))</f>
        <v/>
      </c>
      <c r="H563" s="94" t="n"/>
      <c r="I563" s="94" t="n"/>
      <c r="J563" s="120">
        <f>IF(OR(G563="",I563="",G563=0),"",I563-G563)</f>
        <v/>
      </c>
      <c r="K563" s="120">
        <f>IF(G563="","",IF(G563=0,"不適用",IF(I563="","待評核",IF(I563&gt;=G563,IF(I563&gt;G563,"超越","達標"),"待發展"))))</f>
        <v/>
      </c>
      <c r="L563" s="91" t="n"/>
      <c r="M563" s="91" t="n"/>
      <c r="N563" s="88" t="n"/>
    </row>
    <row r="564" ht="15.75" customHeight="1" s="64">
      <c r="A564" s="88" t="n"/>
      <c r="B564" s="120">
        <f t="array" ref="B564:B564">IF(A564="","",IFERROR(INDEX('3.員工名單'!$B:$B,MATCH(A564,'3.員工名單'!$A:$A,0)),"查無此員工"))</f>
        <v/>
      </c>
      <c r="C564" s="120">
        <f t="array" ref="C564:C564">IF(A564="","",IFERROR(INDEX('3.員工名單'!$C:$C,MATCH(A564,'3.員工名單'!$A:$A,0)),""))</f>
        <v/>
      </c>
      <c r="D564" s="120">
        <f t="array" ref="D564:D564">IF(A564="","",IFERROR(INDEX('3.員工名單'!$D:$D,MATCH(A564,'3.員工名單'!$A:$A,0)),""))</f>
        <v/>
      </c>
      <c r="E564" s="120">
        <f t="array" ref="E564:E564">IF(F564="","",IFERROR(INDEX('1.職能辭典'!$A:$A,MATCH(F564,'1.職能辭典'!$C:$C,0)),""))</f>
        <v/>
      </c>
      <c r="F564" s="94" t="n"/>
      <c r="G564" s="120">
        <f t="array" ref="G564:G564">IF(OR(D564="",F564=""),"",IFERROR(IF(AND(OR(INDEX('1.職能辭典'!$J:$J,MATCH(F564,'1.職能辭典'!$C:$C,0))="全部",INDEX('3.員工名單'!$H:$H,MATCH(A564,'3.員工名單'!$A:$A,0))="兩款共用",INDEX('3.員工名單'!$H:$H,MATCH(A564,'3.員工名單'!$A:$A,0))=INDEX('1.職能辭典'!$J:$J,MATCH(F564,'1.職能辭典'!$C:$C,0))),OR(INDEX('1.職能辭典'!$K:$K,MATCH(F564,'1.職能辭典'!$C:$C,0))="全部",SUMPRODUCT(ISNUMBER(SEARCH({"經營","管理","財務","企劃","營運","技術","數據","美術","測試","客服"},INDEX('3.員工名單'!$I:$I,MATCH(A564,'3.員工名單'!$A:$A,0))))*ISNUMBER(SEARCH({"經營","管理","財務","企劃","營運","技術","數據","美術","測試","客服"},INDEX('1.職能辭典'!$K:$K,MATCH(F564,'1.職能辭典'!$C:$C,0)))))&gt;0)),INDEX('2.職務職能需求'!$B$2:$F$28,MATCH(F564,'2.職務職能需求'!$A$2:$A$28,0),MATCH(D564,'2.職務職能需求'!$B$1:$F$1,0)),0),""))</f>
        <v/>
      </c>
      <c r="H564" s="94" t="n"/>
      <c r="I564" s="94" t="n"/>
      <c r="J564" s="120">
        <f>IF(OR(G564="",I564="",G564=0),"",I564-G564)</f>
        <v/>
      </c>
      <c r="K564" s="120">
        <f>IF(G564="","",IF(G564=0,"不適用",IF(I564="","待評核",IF(I564&gt;=G564,IF(I564&gt;G564,"超越","達標"),"待發展"))))</f>
        <v/>
      </c>
      <c r="L564" s="91" t="n"/>
      <c r="M564" s="91" t="n"/>
      <c r="N564" s="88" t="n"/>
    </row>
    <row r="565" ht="15.75" customHeight="1" s="64">
      <c r="A565" s="88" t="n"/>
      <c r="B565" s="120">
        <f t="array" ref="B565:B565">IF(A565="","",IFERROR(INDEX('3.員工名單'!$B:$B,MATCH(A565,'3.員工名單'!$A:$A,0)),"查無此員工"))</f>
        <v/>
      </c>
      <c r="C565" s="120">
        <f t="array" ref="C565:C565">IF(A565="","",IFERROR(INDEX('3.員工名單'!$C:$C,MATCH(A565,'3.員工名單'!$A:$A,0)),""))</f>
        <v/>
      </c>
      <c r="D565" s="120">
        <f t="array" ref="D565:D565">IF(A565="","",IFERROR(INDEX('3.員工名單'!$D:$D,MATCH(A565,'3.員工名單'!$A:$A,0)),""))</f>
        <v/>
      </c>
      <c r="E565" s="120">
        <f t="array" ref="E565:E565">IF(F565="","",IFERROR(INDEX('1.職能辭典'!$A:$A,MATCH(F565,'1.職能辭典'!$C:$C,0)),""))</f>
        <v/>
      </c>
      <c r="F565" s="94" t="n"/>
      <c r="G565" s="120">
        <f t="array" ref="G565:G565">IF(OR(D565="",F565=""),"",IFERROR(IF(AND(OR(INDEX('1.職能辭典'!$J:$J,MATCH(F565,'1.職能辭典'!$C:$C,0))="全部",INDEX('3.員工名單'!$H:$H,MATCH(A565,'3.員工名單'!$A:$A,0))="兩款共用",INDEX('3.員工名單'!$H:$H,MATCH(A565,'3.員工名單'!$A:$A,0))=INDEX('1.職能辭典'!$J:$J,MATCH(F565,'1.職能辭典'!$C:$C,0))),OR(INDEX('1.職能辭典'!$K:$K,MATCH(F565,'1.職能辭典'!$C:$C,0))="全部",SUMPRODUCT(ISNUMBER(SEARCH({"經營","管理","財務","企劃","營運","技術","數據","美術","測試","客服"},INDEX('3.員工名單'!$I:$I,MATCH(A565,'3.員工名單'!$A:$A,0))))*ISNUMBER(SEARCH({"經營","管理","財務","企劃","營運","技術","數據","美術","測試","客服"},INDEX('1.職能辭典'!$K:$K,MATCH(F565,'1.職能辭典'!$C:$C,0)))))&gt;0)),INDEX('2.職務職能需求'!$B$2:$F$28,MATCH(F565,'2.職務職能需求'!$A$2:$A$28,0),MATCH(D565,'2.職務職能需求'!$B$1:$F$1,0)),0),""))</f>
        <v/>
      </c>
      <c r="H565" s="94" t="n"/>
      <c r="I565" s="94" t="n"/>
      <c r="J565" s="120">
        <f>IF(OR(G565="",I565="",G565=0),"",I565-G565)</f>
        <v/>
      </c>
      <c r="K565" s="120">
        <f>IF(G565="","",IF(G565=0,"不適用",IF(I565="","待評核",IF(I565&gt;=G565,IF(I565&gt;G565,"超越","達標"),"待發展"))))</f>
        <v/>
      </c>
      <c r="L565" s="91" t="n"/>
      <c r="M565" s="91" t="n"/>
      <c r="N565" s="88" t="n"/>
    </row>
    <row r="566" ht="15.75" customHeight="1" s="64">
      <c r="A566" s="88" t="n"/>
      <c r="B566" s="120">
        <f t="array" ref="B566:B566">IF(A566="","",IFERROR(INDEX('3.員工名單'!$B:$B,MATCH(A566,'3.員工名單'!$A:$A,0)),"查無此員工"))</f>
        <v/>
      </c>
      <c r="C566" s="120">
        <f t="array" ref="C566:C566">IF(A566="","",IFERROR(INDEX('3.員工名單'!$C:$C,MATCH(A566,'3.員工名單'!$A:$A,0)),""))</f>
        <v/>
      </c>
      <c r="D566" s="120">
        <f t="array" ref="D566:D566">IF(A566="","",IFERROR(INDEX('3.員工名單'!$D:$D,MATCH(A566,'3.員工名單'!$A:$A,0)),""))</f>
        <v/>
      </c>
      <c r="E566" s="120">
        <f t="array" ref="E566:E566">IF(F566="","",IFERROR(INDEX('1.職能辭典'!$A:$A,MATCH(F566,'1.職能辭典'!$C:$C,0)),""))</f>
        <v/>
      </c>
      <c r="F566" s="94" t="n"/>
      <c r="G566" s="120">
        <f t="array" ref="G566:G566">IF(OR(D566="",F566=""),"",IFERROR(IF(AND(OR(INDEX('1.職能辭典'!$J:$J,MATCH(F566,'1.職能辭典'!$C:$C,0))="全部",INDEX('3.員工名單'!$H:$H,MATCH(A566,'3.員工名單'!$A:$A,0))="兩款共用",INDEX('3.員工名單'!$H:$H,MATCH(A566,'3.員工名單'!$A:$A,0))=INDEX('1.職能辭典'!$J:$J,MATCH(F566,'1.職能辭典'!$C:$C,0))),OR(INDEX('1.職能辭典'!$K:$K,MATCH(F566,'1.職能辭典'!$C:$C,0))="全部",SUMPRODUCT(ISNUMBER(SEARCH({"經營","管理","財務","企劃","營運","技術","數據","美術","測試","客服"},INDEX('3.員工名單'!$I:$I,MATCH(A566,'3.員工名單'!$A:$A,0))))*ISNUMBER(SEARCH({"經營","管理","財務","企劃","營運","技術","數據","美術","測試","客服"},INDEX('1.職能辭典'!$K:$K,MATCH(F566,'1.職能辭典'!$C:$C,0)))))&gt;0)),INDEX('2.職務職能需求'!$B$2:$F$28,MATCH(F566,'2.職務職能需求'!$A$2:$A$28,0),MATCH(D566,'2.職務職能需求'!$B$1:$F$1,0)),0),""))</f>
        <v/>
      </c>
      <c r="H566" s="94" t="n"/>
      <c r="I566" s="94" t="n"/>
      <c r="J566" s="120">
        <f>IF(OR(G566="",I566="",G566=0),"",I566-G566)</f>
        <v/>
      </c>
      <c r="K566" s="120">
        <f>IF(G566="","",IF(G566=0,"不適用",IF(I566="","待評核",IF(I566&gt;=G566,IF(I566&gt;G566,"超越","達標"),"待發展"))))</f>
        <v/>
      </c>
      <c r="L566" s="91" t="n"/>
      <c r="M566" s="91" t="n"/>
      <c r="N566" s="88" t="n"/>
    </row>
    <row r="567" ht="15.75" customHeight="1" s="64">
      <c r="A567" s="88" t="n"/>
      <c r="B567" s="120">
        <f t="array" ref="B567:B567">IF(A567="","",IFERROR(INDEX('3.員工名單'!$B:$B,MATCH(A567,'3.員工名單'!$A:$A,0)),"查無此員工"))</f>
        <v/>
      </c>
      <c r="C567" s="120">
        <f t="array" ref="C567:C567">IF(A567="","",IFERROR(INDEX('3.員工名單'!$C:$C,MATCH(A567,'3.員工名單'!$A:$A,0)),""))</f>
        <v/>
      </c>
      <c r="D567" s="120">
        <f t="array" ref="D567:D567">IF(A567="","",IFERROR(INDEX('3.員工名單'!$D:$D,MATCH(A567,'3.員工名單'!$A:$A,0)),""))</f>
        <v/>
      </c>
      <c r="E567" s="120">
        <f t="array" ref="E567:E567">IF(F567="","",IFERROR(INDEX('1.職能辭典'!$A:$A,MATCH(F567,'1.職能辭典'!$C:$C,0)),""))</f>
        <v/>
      </c>
      <c r="F567" s="94" t="n"/>
      <c r="G567" s="120">
        <f t="array" ref="G567:G567">IF(OR(D567="",F567=""),"",IFERROR(IF(AND(OR(INDEX('1.職能辭典'!$J:$J,MATCH(F567,'1.職能辭典'!$C:$C,0))="全部",INDEX('3.員工名單'!$H:$H,MATCH(A567,'3.員工名單'!$A:$A,0))="兩款共用",INDEX('3.員工名單'!$H:$H,MATCH(A567,'3.員工名單'!$A:$A,0))=INDEX('1.職能辭典'!$J:$J,MATCH(F567,'1.職能辭典'!$C:$C,0))),OR(INDEX('1.職能辭典'!$K:$K,MATCH(F567,'1.職能辭典'!$C:$C,0))="全部",SUMPRODUCT(ISNUMBER(SEARCH({"經營","管理","財務","企劃","營運","技術","數據","美術","測試","客服"},INDEX('3.員工名單'!$I:$I,MATCH(A567,'3.員工名單'!$A:$A,0))))*ISNUMBER(SEARCH({"經營","管理","財務","企劃","營運","技術","數據","美術","測試","客服"},INDEX('1.職能辭典'!$K:$K,MATCH(F567,'1.職能辭典'!$C:$C,0)))))&gt;0)),INDEX('2.職務職能需求'!$B$2:$F$28,MATCH(F567,'2.職務職能需求'!$A$2:$A$28,0),MATCH(D567,'2.職務職能需求'!$B$1:$F$1,0)),0),""))</f>
        <v/>
      </c>
      <c r="H567" s="94" t="n"/>
      <c r="I567" s="94" t="n"/>
      <c r="J567" s="120">
        <f>IF(OR(G567="",I567="",G567=0),"",I567-G567)</f>
        <v/>
      </c>
      <c r="K567" s="120">
        <f>IF(G567="","",IF(G567=0,"不適用",IF(I567="","待評核",IF(I567&gt;=G567,IF(I567&gt;G567,"超越","達標"),"待發展"))))</f>
        <v/>
      </c>
      <c r="L567" s="91" t="n"/>
      <c r="M567" s="91" t="n"/>
      <c r="N567" s="88" t="n"/>
    </row>
    <row r="568" ht="15.75" customHeight="1" s="64">
      <c r="A568" s="88" t="n"/>
      <c r="B568" s="120">
        <f t="array" ref="B568:B568">IF(A568="","",IFERROR(INDEX('3.員工名單'!$B:$B,MATCH(A568,'3.員工名單'!$A:$A,0)),"查無此員工"))</f>
        <v/>
      </c>
      <c r="C568" s="120">
        <f t="array" ref="C568:C568">IF(A568="","",IFERROR(INDEX('3.員工名單'!$C:$C,MATCH(A568,'3.員工名單'!$A:$A,0)),""))</f>
        <v/>
      </c>
      <c r="D568" s="120">
        <f t="array" ref="D568:D568">IF(A568="","",IFERROR(INDEX('3.員工名單'!$D:$D,MATCH(A568,'3.員工名單'!$A:$A,0)),""))</f>
        <v/>
      </c>
      <c r="E568" s="120">
        <f t="array" ref="E568:E568">IF(F568="","",IFERROR(INDEX('1.職能辭典'!$A:$A,MATCH(F568,'1.職能辭典'!$C:$C,0)),""))</f>
        <v/>
      </c>
      <c r="F568" s="94" t="n"/>
      <c r="G568" s="120">
        <f t="array" ref="G568:G568">IF(OR(D568="",F568=""),"",IFERROR(IF(AND(OR(INDEX('1.職能辭典'!$J:$J,MATCH(F568,'1.職能辭典'!$C:$C,0))="全部",INDEX('3.員工名單'!$H:$H,MATCH(A568,'3.員工名單'!$A:$A,0))="兩款共用",INDEX('3.員工名單'!$H:$H,MATCH(A568,'3.員工名單'!$A:$A,0))=INDEX('1.職能辭典'!$J:$J,MATCH(F568,'1.職能辭典'!$C:$C,0))),OR(INDEX('1.職能辭典'!$K:$K,MATCH(F568,'1.職能辭典'!$C:$C,0))="全部",SUMPRODUCT(ISNUMBER(SEARCH({"經營","管理","財務","企劃","營運","技術","數據","美術","測試","客服"},INDEX('3.員工名單'!$I:$I,MATCH(A568,'3.員工名單'!$A:$A,0))))*ISNUMBER(SEARCH({"經營","管理","財務","企劃","營運","技術","數據","美術","測試","客服"},INDEX('1.職能辭典'!$K:$K,MATCH(F568,'1.職能辭典'!$C:$C,0)))))&gt;0)),INDEX('2.職務職能需求'!$B$2:$F$28,MATCH(F568,'2.職務職能需求'!$A$2:$A$28,0),MATCH(D568,'2.職務職能需求'!$B$1:$F$1,0)),0),""))</f>
        <v/>
      </c>
      <c r="H568" s="94" t="n"/>
      <c r="I568" s="94" t="n"/>
      <c r="J568" s="120">
        <f>IF(OR(G568="",I568="",G568=0),"",I568-G568)</f>
        <v/>
      </c>
      <c r="K568" s="120">
        <f>IF(G568="","",IF(G568=0,"不適用",IF(I568="","待評核",IF(I568&gt;=G568,IF(I568&gt;G568,"超越","達標"),"待發展"))))</f>
        <v/>
      </c>
      <c r="L568" s="91" t="n"/>
      <c r="M568" s="91" t="n"/>
      <c r="N568" s="88" t="n"/>
    </row>
    <row r="569" ht="15.75" customHeight="1" s="64">
      <c r="A569" s="88" t="n"/>
      <c r="B569" s="120">
        <f t="array" ref="B569:B569">IF(A569="","",IFERROR(INDEX('3.員工名單'!$B:$B,MATCH(A569,'3.員工名單'!$A:$A,0)),"查無此員工"))</f>
        <v/>
      </c>
      <c r="C569" s="120">
        <f t="array" ref="C569:C569">IF(A569="","",IFERROR(INDEX('3.員工名單'!$C:$C,MATCH(A569,'3.員工名單'!$A:$A,0)),""))</f>
        <v/>
      </c>
      <c r="D569" s="120">
        <f t="array" ref="D569:D569">IF(A569="","",IFERROR(INDEX('3.員工名單'!$D:$D,MATCH(A569,'3.員工名單'!$A:$A,0)),""))</f>
        <v/>
      </c>
      <c r="E569" s="120">
        <f t="array" ref="E569:E569">IF(F569="","",IFERROR(INDEX('1.職能辭典'!$A:$A,MATCH(F569,'1.職能辭典'!$C:$C,0)),""))</f>
        <v/>
      </c>
      <c r="F569" s="94" t="n"/>
      <c r="G569" s="120">
        <f t="array" ref="G569:G569">IF(OR(D569="",F569=""),"",IFERROR(IF(AND(OR(INDEX('1.職能辭典'!$J:$J,MATCH(F569,'1.職能辭典'!$C:$C,0))="全部",INDEX('3.員工名單'!$H:$H,MATCH(A569,'3.員工名單'!$A:$A,0))="兩款共用",INDEX('3.員工名單'!$H:$H,MATCH(A569,'3.員工名單'!$A:$A,0))=INDEX('1.職能辭典'!$J:$J,MATCH(F569,'1.職能辭典'!$C:$C,0))),OR(INDEX('1.職能辭典'!$K:$K,MATCH(F569,'1.職能辭典'!$C:$C,0))="全部",SUMPRODUCT(ISNUMBER(SEARCH({"經營","管理","財務","企劃","營運","技術","數據","美術","測試","客服"},INDEX('3.員工名單'!$I:$I,MATCH(A569,'3.員工名單'!$A:$A,0))))*ISNUMBER(SEARCH({"經營","管理","財務","企劃","營運","技術","數據","美術","測試","客服"},INDEX('1.職能辭典'!$K:$K,MATCH(F569,'1.職能辭典'!$C:$C,0)))))&gt;0)),INDEX('2.職務職能需求'!$B$2:$F$28,MATCH(F569,'2.職務職能需求'!$A$2:$A$28,0),MATCH(D569,'2.職務職能需求'!$B$1:$F$1,0)),0),""))</f>
        <v/>
      </c>
      <c r="H569" s="94" t="n"/>
      <c r="I569" s="94" t="n"/>
      <c r="J569" s="120">
        <f>IF(OR(G569="",I569="",G569=0),"",I569-G569)</f>
        <v/>
      </c>
      <c r="K569" s="120">
        <f>IF(G569="","",IF(G569=0,"不適用",IF(I569="","待評核",IF(I569&gt;=G569,IF(I569&gt;G569,"超越","達標"),"待發展"))))</f>
        <v/>
      </c>
      <c r="L569" s="91" t="n"/>
      <c r="M569" s="91" t="n"/>
      <c r="N569" s="88" t="n"/>
    </row>
    <row r="570" ht="15.75" customHeight="1" s="64">
      <c r="A570" s="88" t="n"/>
      <c r="B570" s="120">
        <f t="array" ref="B570:B570">IF(A570="","",IFERROR(INDEX('3.員工名單'!$B:$B,MATCH(A570,'3.員工名單'!$A:$A,0)),"查無此員工"))</f>
        <v/>
      </c>
      <c r="C570" s="120">
        <f t="array" ref="C570:C570">IF(A570="","",IFERROR(INDEX('3.員工名單'!$C:$C,MATCH(A570,'3.員工名單'!$A:$A,0)),""))</f>
        <v/>
      </c>
      <c r="D570" s="120">
        <f t="array" ref="D570:D570">IF(A570="","",IFERROR(INDEX('3.員工名單'!$D:$D,MATCH(A570,'3.員工名單'!$A:$A,0)),""))</f>
        <v/>
      </c>
      <c r="E570" s="120">
        <f t="array" ref="E570:E570">IF(F570="","",IFERROR(INDEX('1.職能辭典'!$A:$A,MATCH(F570,'1.職能辭典'!$C:$C,0)),""))</f>
        <v/>
      </c>
      <c r="F570" s="94" t="n"/>
      <c r="G570" s="120">
        <f t="array" ref="G570:G570">IF(OR(D570="",F570=""),"",IFERROR(IF(AND(OR(INDEX('1.職能辭典'!$J:$J,MATCH(F570,'1.職能辭典'!$C:$C,0))="全部",INDEX('3.員工名單'!$H:$H,MATCH(A570,'3.員工名單'!$A:$A,0))="兩款共用",INDEX('3.員工名單'!$H:$H,MATCH(A570,'3.員工名單'!$A:$A,0))=INDEX('1.職能辭典'!$J:$J,MATCH(F570,'1.職能辭典'!$C:$C,0))),OR(INDEX('1.職能辭典'!$K:$K,MATCH(F570,'1.職能辭典'!$C:$C,0))="全部",SUMPRODUCT(ISNUMBER(SEARCH({"經營","管理","財務","企劃","營運","技術","數據","美術","測試","客服"},INDEX('3.員工名單'!$I:$I,MATCH(A570,'3.員工名單'!$A:$A,0))))*ISNUMBER(SEARCH({"經營","管理","財務","企劃","營運","技術","數據","美術","測試","客服"},INDEX('1.職能辭典'!$K:$K,MATCH(F570,'1.職能辭典'!$C:$C,0)))))&gt;0)),INDEX('2.職務職能需求'!$B$2:$F$28,MATCH(F570,'2.職務職能需求'!$A$2:$A$28,0),MATCH(D570,'2.職務職能需求'!$B$1:$F$1,0)),0),""))</f>
        <v/>
      </c>
      <c r="H570" s="94" t="n"/>
      <c r="I570" s="94" t="n"/>
      <c r="J570" s="120">
        <f>IF(OR(G570="",I570="",G570=0),"",I570-G570)</f>
        <v/>
      </c>
      <c r="K570" s="120">
        <f>IF(G570="","",IF(G570=0,"不適用",IF(I570="","待評核",IF(I570&gt;=G570,IF(I570&gt;G570,"超越","達標"),"待發展"))))</f>
        <v/>
      </c>
      <c r="L570" s="91" t="n"/>
      <c r="M570" s="91" t="n"/>
      <c r="N570" s="88" t="n"/>
    </row>
    <row r="571" ht="15.75" customHeight="1" s="64">
      <c r="A571" s="88" t="n"/>
      <c r="B571" s="120">
        <f t="array" ref="B571:B571">IF(A571="","",IFERROR(INDEX('3.員工名單'!$B:$B,MATCH(A571,'3.員工名單'!$A:$A,0)),"查無此員工"))</f>
        <v/>
      </c>
      <c r="C571" s="120">
        <f t="array" ref="C571:C571">IF(A571="","",IFERROR(INDEX('3.員工名單'!$C:$C,MATCH(A571,'3.員工名單'!$A:$A,0)),""))</f>
        <v/>
      </c>
      <c r="D571" s="120">
        <f t="array" ref="D571:D571">IF(A571="","",IFERROR(INDEX('3.員工名單'!$D:$D,MATCH(A571,'3.員工名單'!$A:$A,0)),""))</f>
        <v/>
      </c>
      <c r="E571" s="120">
        <f t="array" ref="E571:E571">IF(F571="","",IFERROR(INDEX('1.職能辭典'!$A:$A,MATCH(F571,'1.職能辭典'!$C:$C,0)),""))</f>
        <v/>
      </c>
      <c r="F571" s="94" t="n"/>
      <c r="G571" s="120">
        <f t="array" ref="G571:G571">IF(OR(D571="",F571=""),"",IFERROR(IF(AND(OR(INDEX('1.職能辭典'!$J:$J,MATCH(F571,'1.職能辭典'!$C:$C,0))="全部",INDEX('3.員工名單'!$H:$H,MATCH(A571,'3.員工名單'!$A:$A,0))="兩款共用",INDEX('3.員工名單'!$H:$H,MATCH(A571,'3.員工名單'!$A:$A,0))=INDEX('1.職能辭典'!$J:$J,MATCH(F571,'1.職能辭典'!$C:$C,0))),OR(INDEX('1.職能辭典'!$K:$K,MATCH(F571,'1.職能辭典'!$C:$C,0))="全部",SUMPRODUCT(ISNUMBER(SEARCH({"經營","管理","財務","企劃","營運","技術","數據","美術","測試","客服"},INDEX('3.員工名單'!$I:$I,MATCH(A571,'3.員工名單'!$A:$A,0))))*ISNUMBER(SEARCH({"經營","管理","財務","企劃","營運","技術","數據","美術","測試","客服"},INDEX('1.職能辭典'!$K:$K,MATCH(F571,'1.職能辭典'!$C:$C,0)))))&gt;0)),INDEX('2.職務職能需求'!$B$2:$F$28,MATCH(F571,'2.職務職能需求'!$A$2:$A$28,0),MATCH(D571,'2.職務職能需求'!$B$1:$F$1,0)),0),""))</f>
        <v/>
      </c>
      <c r="H571" s="94" t="n"/>
      <c r="I571" s="94" t="n"/>
      <c r="J571" s="120">
        <f>IF(OR(G571="",I571="",G571=0),"",I571-G571)</f>
        <v/>
      </c>
      <c r="K571" s="120">
        <f>IF(G571="","",IF(G571=0,"不適用",IF(I571="","待評核",IF(I571&gt;=G571,IF(I571&gt;G571,"超越","達標"),"待發展"))))</f>
        <v/>
      </c>
      <c r="L571" s="91" t="n"/>
      <c r="M571" s="91" t="n"/>
      <c r="N571" s="88" t="n"/>
    </row>
    <row r="572" ht="15.75" customHeight="1" s="64">
      <c r="A572" s="88" t="n"/>
      <c r="B572" s="120">
        <f t="array" ref="B572:B572">IF(A572="","",IFERROR(INDEX('3.員工名單'!$B:$B,MATCH(A572,'3.員工名單'!$A:$A,0)),"查無此員工"))</f>
        <v/>
      </c>
      <c r="C572" s="120">
        <f t="array" ref="C572:C572">IF(A572="","",IFERROR(INDEX('3.員工名單'!$C:$C,MATCH(A572,'3.員工名單'!$A:$A,0)),""))</f>
        <v/>
      </c>
      <c r="D572" s="120">
        <f t="array" ref="D572:D572">IF(A572="","",IFERROR(INDEX('3.員工名單'!$D:$D,MATCH(A572,'3.員工名單'!$A:$A,0)),""))</f>
        <v/>
      </c>
      <c r="E572" s="120">
        <f t="array" ref="E572:E572">IF(F572="","",IFERROR(INDEX('1.職能辭典'!$A:$A,MATCH(F572,'1.職能辭典'!$C:$C,0)),""))</f>
        <v/>
      </c>
      <c r="F572" s="94" t="n"/>
      <c r="G572" s="120">
        <f t="array" ref="G572:G572">IF(OR(D572="",F572=""),"",IFERROR(IF(AND(OR(INDEX('1.職能辭典'!$J:$J,MATCH(F572,'1.職能辭典'!$C:$C,0))="全部",INDEX('3.員工名單'!$H:$H,MATCH(A572,'3.員工名單'!$A:$A,0))="兩款共用",INDEX('3.員工名單'!$H:$H,MATCH(A572,'3.員工名單'!$A:$A,0))=INDEX('1.職能辭典'!$J:$J,MATCH(F572,'1.職能辭典'!$C:$C,0))),OR(INDEX('1.職能辭典'!$K:$K,MATCH(F572,'1.職能辭典'!$C:$C,0))="全部",SUMPRODUCT(ISNUMBER(SEARCH({"經營","管理","財務","企劃","營運","技術","數據","美術","測試","客服"},INDEX('3.員工名單'!$I:$I,MATCH(A572,'3.員工名單'!$A:$A,0))))*ISNUMBER(SEARCH({"經營","管理","財務","企劃","營運","技術","數據","美術","測試","客服"},INDEX('1.職能辭典'!$K:$K,MATCH(F572,'1.職能辭典'!$C:$C,0)))))&gt;0)),INDEX('2.職務職能需求'!$B$2:$F$28,MATCH(F572,'2.職務職能需求'!$A$2:$A$28,0),MATCH(D572,'2.職務職能需求'!$B$1:$F$1,0)),0),""))</f>
        <v/>
      </c>
      <c r="H572" s="94" t="n"/>
      <c r="I572" s="94" t="n"/>
      <c r="J572" s="120">
        <f>IF(OR(G572="",I572="",G572=0),"",I572-G572)</f>
        <v/>
      </c>
      <c r="K572" s="120">
        <f>IF(G572="","",IF(G572=0,"不適用",IF(I572="","待評核",IF(I572&gt;=G572,IF(I572&gt;G572,"超越","達標"),"待發展"))))</f>
        <v/>
      </c>
      <c r="L572" s="91" t="n"/>
      <c r="M572" s="91" t="n"/>
      <c r="N572" s="88" t="n"/>
    </row>
    <row r="573" ht="15.75" customHeight="1" s="64">
      <c r="A573" s="88" t="n"/>
      <c r="B573" s="120">
        <f t="array" ref="B573:B573">IF(A573="","",IFERROR(INDEX('3.員工名單'!$B:$B,MATCH(A573,'3.員工名單'!$A:$A,0)),"查無此員工"))</f>
        <v/>
      </c>
      <c r="C573" s="120">
        <f t="array" ref="C573:C573">IF(A573="","",IFERROR(INDEX('3.員工名單'!$C:$C,MATCH(A573,'3.員工名單'!$A:$A,0)),""))</f>
        <v/>
      </c>
      <c r="D573" s="120">
        <f t="array" ref="D573:D573">IF(A573="","",IFERROR(INDEX('3.員工名單'!$D:$D,MATCH(A573,'3.員工名單'!$A:$A,0)),""))</f>
        <v/>
      </c>
      <c r="E573" s="120">
        <f t="array" ref="E573:E573">IF(F573="","",IFERROR(INDEX('1.職能辭典'!$A:$A,MATCH(F573,'1.職能辭典'!$C:$C,0)),""))</f>
        <v/>
      </c>
      <c r="F573" s="94" t="n"/>
      <c r="G573" s="120">
        <f t="array" ref="G573:G573">IF(OR(D573="",F573=""),"",IFERROR(IF(AND(OR(INDEX('1.職能辭典'!$J:$J,MATCH(F573,'1.職能辭典'!$C:$C,0))="全部",INDEX('3.員工名單'!$H:$H,MATCH(A573,'3.員工名單'!$A:$A,0))="兩款共用",INDEX('3.員工名單'!$H:$H,MATCH(A573,'3.員工名單'!$A:$A,0))=INDEX('1.職能辭典'!$J:$J,MATCH(F573,'1.職能辭典'!$C:$C,0))),OR(INDEX('1.職能辭典'!$K:$K,MATCH(F573,'1.職能辭典'!$C:$C,0))="全部",SUMPRODUCT(ISNUMBER(SEARCH({"經營","管理","財務","企劃","營運","技術","數據","美術","測試","客服"},INDEX('3.員工名單'!$I:$I,MATCH(A573,'3.員工名單'!$A:$A,0))))*ISNUMBER(SEARCH({"經營","管理","財務","企劃","營運","技術","數據","美術","測試","客服"},INDEX('1.職能辭典'!$K:$K,MATCH(F573,'1.職能辭典'!$C:$C,0)))))&gt;0)),INDEX('2.職務職能需求'!$B$2:$F$28,MATCH(F573,'2.職務職能需求'!$A$2:$A$28,0),MATCH(D573,'2.職務職能需求'!$B$1:$F$1,0)),0),""))</f>
        <v/>
      </c>
      <c r="H573" s="94" t="n"/>
      <c r="I573" s="94" t="n"/>
      <c r="J573" s="120">
        <f>IF(OR(G573="",I573="",G573=0),"",I573-G573)</f>
        <v/>
      </c>
      <c r="K573" s="120">
        <f>IF(G573="","",IF(G573=0,"不適用",IF(I573="","待評核",IF(I573&gt;=G573,IF(I573&gt;G573,"超越","達標"),"待發展"))))</f>
        <v/>
      </c>
      <c r="L573" s="91" t="n"/>
      <c r="M573" s="91" t="n"/>
      <c r="N573" s="88" t="n"/>
    </row>
    <row r="574" ht="15.75" customHeight="1" s="64">
      <c r="A574" s="88" t="n"/>
      <c r="B574" s="120">
        <f t="array" ref="B574:B574">IF(A574="","",IFERROR(INDEX('3.員工名單'!$B:$B,MATCH(A574,'3.員工名單'!$A:$A,0)),"查無此員工"))</f>
        <v/>
      </c>
      <c r="C574" s="120">
        <f t="array" ref="C574:C574">IF(A574="","",IFERROR(INDEX('3.員工名單'!$C:$C,MATCH(A574,'3.員工名單'!$A:$A,0)),""))</f>
        <v/>
      </c>
      <c r="D574" s="120">
        <f t="array" ref="D574:D574">IF(A574="","",IFERROR(INDEX('3.員工名單'!$D:$D,MATCH(A574,'3.員工名單'!$A:$A,0)),""))</f>
        <v/>
      </c>
      <c r="E574" s="120">
        <f t="array" ref="E574:E574">IF(F574="","",IFERROR(INDEX('1.職能辭典'!$A:$A,MATCH(F574,'1.職能辭典'!$C:$C,0)),""))</f>
        <v/>
      </c>
      <c r="F574" s="94" t="n"/>
      <c r="G574" s="120">
        <f t="array" ref="G574:G574">IF(OR(D574="",F574=""),"",IFERROR(IF(AND(OR(INDEX('1.職能辭典'!$J:$J,MATCH(F574,'1.職能辭典'!$C:$C,0))="全部",INDEX('3.員工名單'!$H:$H,MATCH(A574,'3.員工名單'!$A:$A,0))="兩款共用",INDEX('3.員工名單'!$H:$H,MATCH(A574,'3.員工名單'!$A:$A,0))=INDEX('1.職能辭典'!$J:$J,MATCH(F574,'1.職能辭典'!$C:$C,0))),OR(INDEX('1.職能辭典'!$K:$K,MATCH(F574,'1.職能辭典'!$C:$C,0))="全部",SUMPRODUCT(ISNUMBER(SEARCH({"經營","管理","財務","企劃","營運","技術","數據","美術","測試","客服"},INDEX('3.員工名單'!$I:$I,MATCH(A574,'3.員工名單'!$A:$A,0))))*ISNUMBER(SEARCH({"經營","管理","財務","企劃","營運","技術","數據","美術","測試","客服"},INDEX('1.職能辭典'!$K:$K,MATCH(F574,'1.職能辭典'!$C:$C,0)))))&gt;0)),INDEX('2.職務職能需求'!$B$2:$F$28,MATCH(F574,'2.職務職能需求'!$A$2:$A$28,0),MATCH(D574,'2.職務職能需求'!$B$1:$F$1,0)),0),""))</f>
        <v/>
      </c>
      <c r="H574" s="94" t="n"/>
      <c r="I574" s="94" t="n"/>
      <c r="J574" s="120">
        <f>IF(OR(G574="",I574="",G574=0),"",I574-G574)</f>
        <v/>
      </c>
      <c r="K574" s="120">
        <f>IF(G574="","",IF(G574=0,"不適用",IF(I574="","待評核",IF(I574&gt;=G574,IF(I574&gt;G574,"超越","達標"),"待發展"))))</f>
        <v/>
      </c>
      <c r="L574" s="91" t="n"/>
      <c r="M574" s="91" t="n"/>
      <c r="N574" s="88" t="n"/>
    </row>
    <row r="575" ht="15.75" customHeight="1" s="64">
      <c r="A575" s="88" t="n"/>
      <c r="B575" s="120">
        <f t="array" ref="B575:B575">IF(A575="","",IFERROR(INDEX('3.員工名單'!$B:$B,MATCH(A575,'3.員工名單'!$A:$A,0)),"查無此員工"))</f>
        <v/>
      </c>
      <c r="C575" s="120">
        <f t="array" ref="C575:C575">IF(A575="","",IFERROR(INDEX('3.員工名單'!$C:$C,MATCH(A575,'3.員工名單'!$A:$A,0)),""))</f>
        <v/>
      </c>
      <c r="D575" s="120">
        <f t="array" ref="D575:D575">IF(A575="","",IFERROR(INDEX('3.員工名單'!$D:$D,MATCH(A575,'3.員工名單'!$A:$A,0)),""))</f>
        <v/>
      </c>
      <c r="E575" s="120">
        <f t="array" ref="E575:E575">IF(F575="","",IFERROR(INDEX('1.職能辭典'!$A:$A,MATCH(F575,'1.職能辭典'!$C:$C,0)),""))</f>
        <v/>
      </c>
      <c r="F575" s="94" t="n"/>
      <c r="G575" s="120">
        <f t="array" ref="G575:G575">IF(OR(D575="",F575=""),"",IFERROR(IF(AND(OR(INDEX('1.職能辭典'!$J:$J,MATCH(F575,'1.職能辭典'!$C:$C,0))="全部",INDEX('3.員工名單'!$H:$H,MATCH(A575,'3.員工名單'!$A:$A,0))="兩款共用",INDEX('3.員工名單'!$H:$H,MATCH(A575,'3.員工名單'!$A:$A,0))=INDEX('1.職能辭典'!$J:$J,MATCH(F575,'1.職能辭典'!$C:$C,0))),OR(INDEX('1.職能辭典'!$K:$K,MATCH(F575,'1.職能辭典'!$C:$C,0))="全部",SUMPRODUCT(ISNUMBER(SEARCH({"經營","管理","財務","企劃","營運","技術","數據","美術","測試","客服"},INDEX('3.員工名單'!$I:$I,MATCH(A575,'3.員工名單'!$A:$A,0))))*ISNUMBER(SEARCH({"經營","管理","財務","企劃","營運","技術","數據","美術","測試","客服"},INDEX('1.職能辭典'!$K:$K,MATCH(F575,'1.職能辭典'!$C:$C,0)))))&gt;0)),INDEX('2.職務職能需求'!$B$2:$F$28,MATCH(F575,'2.職務職能需求'!$A$2:$A$28,0),MATCH(D575,'2.職務職能需求'!$B$1:$F$1,0)),0),""))</f>
        <v/>
      </c>
      <c r="H575" s="94" t="n"/>
      <c r="I575" s="94" t="n"/>
      <c r="J575" s="120">
        <f>IF(OR(G575="",I575="",G575=0),"",I575-G575)</f>
        <v/>
      </c>
      <c r="K575" s="120">
        <f>IF(G575="","",IF(G575=0,"不適用",IF(I575="","待評核",IF(I575&gt;=G575,IF(I575&gt;G575,"超越","達標"),"待發展"))))</f>
        <v/>
      </c>
      <c r="L575" s="91" t="n"/>
      <c r="M575" s="91" t="n"/>
      <c r="N575" s="88" t="n"/>
    </row>
    <row r="576" ht="15.75" customHeight="1" s="64">
      <c r="A576" s="88" t="n"/>
      <c r="B576" s="120">
        <f t="array" ref="B576:B576">IF(A576="","",IFERROR(INDEX('3.員工名單'!$B:$B,MATCH(A576,'3.員工名單'!$A:$A,0)),"查無此員工"))</f>
        <v/>
      </c>
      <c r="C576" s="120">
        <f t="array" ref="C576:C576">IF(A576="","",IFERROR(INDEX('3.員工名單'!$C:$C,MATCH(A576,'3.員工名單'!$A:$A,0)),""))</f>
        <v/>
      </c>
      <c r="D576" s="120">
        <f t="array" ref="D576:D576">IF(A576="","",IFERROR(INDEX('3.員工名單'!$D:$D,MATCH(A576,'3.員工名單'!$A:$A,0)),""))</f>
        <v/>
      </c>
      <c r="E576" s="120">
        <f t="array" ref="E576:E576">IF(F576="","",IFERROR(INDEX('1.職能辭典'!$A:$A,MATCH(F576,'1.職能辭典'!$C:$C,0)),""))</f>
        <v/>
      </c>
      <c r="F576" s="94" t="n"/>
      <c r="G576" s="120">
        <f t="array" ref="G576:G576">IF(OR(D576="",F576=""),"",IFERROR(IF(AND(OR(INDEX('1.職能辭典'!$J:$J,MATCH(F576,'1.職能辭典'!$C:$C,0))="全部",INDEX('3.員工名單'!$H:$H,MATCH(A576,'3.員工名單'!$A:$A,0))="兩款共用",INDEX('3.員工名單'!$H:$H,MATCH(A576,'3.員工名單'!$A:$A,0))=INDEX('1.職能辭典'!$J:$J,MATCH(F576,'1.職能辭典'!$C:$C,0))),OR(INDEX('1.職能辭典'!$K:$K,MATCH(F576,'1.職能辭典'!$C:$C,0))="全部",SUMPRODUCT(ISNUMBER(SEARCH({"經營","管理","財務","企劃","營運","技術","數據","美術","測試","客服"},INDEX('3.員工名單'!$I:$I,MATCH(A576,'3.員工名單'!$A:$A,0))))*ISNUMBER(SEARCH({"經營","管理","財務","企劃","營運","技術","數據","美術","測試","客服"},INDEX('1.職能辭典'!$K:$K,MATCH(F576,'1.職能辭典'!$C:$C,0)))))&gt;0)),INDEX('2.職務職能需求'!$B$2:$F$28,MATCH(F576,'2.職務職能需求'!$A$2:$A$28,0),MATCH(D576,'2.職務職能需求'!$B$1:$F$1,0)),0),""))</f>
        <v/>
      </c>
      <c r="H576" s="94" t="n"/>
      <c r="I576" s="94" t="n"/>
      <c r="J576" s="120">
        <f>IF(OR(G576="",I576="",G576=0),"",I576-G576)</f>
        <v/>
      </c>
      <c r="K576" s="120">
        <f>IF(G576="","",IF(G576=0,"不適用",IF(I576="","待評核",IF(I576&gt;=G576,IF(I576&gt;G576,"超越","達標"),"待發展"))))</f>
        <v/>
      </c>
      <c r="L576" s="91" t="n"/>
      <c r="M576" s="91" t="n"/>
      <c r="N576" s="88" t="n"/>
    </row>
    <row r="577" ht="15.75" customHeight="1" s="64">
      <c r="A577" s="88" t="n"/>
      <c r="B577" s="120">
        <f t="array" ref="B577:B577">IF(A577="","",IFERROR(INDEX('3.員工名單'!$B:$B,MATCH(A577,'3.員工名單'!$A:$A,0)),"查無此員工"))</f>
        <v/>
      </c>
      <c r="C577" s="120">
        <f t="array" ref="C577:C577">IF(A577="","",IFERROR(INDEX('3.員工名單'!$C:$C,MATCH(A577,'3.員工名單'!$A:$A,0)),""))</f>
        <v/>
      </c>
      <c r="D577" s="120">
        <f t="array" ref="D577:D577">IF(A577="","",IFERROR(INDEX('3.員工名單'!$D:$D,MATCH(A577,'3.員工名單'!$A:$A,0)),""))</f>
        <v/>
      </c>
      <c r="E577" s="120">
        <f t="array" ref="E577:E577">IF(F577="","",IFERROR(INDEX('1.職能辭典'!$A:$A,MATCH(F577,'1.職能辭典'!$C:$C,0)),""))</f>
        <v/>
      </c>
      <c r="F577" s="94" t="n"/>
      <c r="G577" s="120">
        <f t="array" ref="G577:G577">IF(OR(D577="",F577=""),"",IFERROR(IF(AND(OR(INDEX('1.職能辭典'!$J:$J,MATCH(F577,'1.職能辭典'!$C:$C,0))="全部",INDEX('3.員工名單'!$H:$H,MATCH(A577,'3.員工名單'!$A:$A,0))="兩款共用",INDEX('3.員工名單'!$H:$H,MATCH(A577,'3.員工名單'!$A:$A,0))=INDEX('1.職能辭典'!$J:$J,MATCH(F577,'1.職能辭典'!$C:$C,0))),OR(INDEX('1.職能辭典'!$K:$K,MATCH(F577,'1.職能辭典'!$C:$C,0))="全部",SUMPRODUCT(ISNUMBER(SEARCH({"經營","管理","財務","企劃","營運","技術","數據","美術","測試","客服"},INDEX('3.員工名單'!$I:$I,MATCH(A577,'3.員工名單'!$A:$A,0))))*ISNUMBER(SEARCH({"經營","管理","財務","企劃","營運","技術","數據","美術","測試","客服"},INDEX('1.職能辭典'!$K:$K,MATCH(F577,'1.職能辭典'!$C:$C,0)))))&gt;0)),INDEX('2.職務職能需求'!$B$2:$F$28,MATCH(F577,'2.職務職能需求'!$A$2:$A$28,0),MATCH(D577,'2.職務職能需求'!$B$1:$F$1,0)),0),""))</f>
        <v/>
      </c>
      <c r="H577" s="94" t="n"/>
      <c r="I577" s="94" t="n"/>
      <c r="J577" s="120">
        <f>IF(OR(G577="",I577="",G577=0),"",I577-G577)</f>
        <v/>
      </c>
      <c r="K577" s="120">
        <f>IF(G577="","",IF(G577=0,"不適用",IF(I577="","待評核",IF(I577&gt;=G577,IF(I577&gt;G577,"超越","達標"),"待發展"))))</f>
        <v/>
      </c>
      <c r="L577" s="91" t="n"/>
      <c r="M577" s="91" t="n"/>
      <c r="N577" s="88" t="n"/>
    </row>
    <row r="578" ht="15.75" customHeight="1" s="64">
      <c r="A578" s="88" t="n"/>
      <c r="B578" s="120">
        <f t="array" ref="B578:B578">IF(A578="","",IFERROR(INDEX('3.員工名單'!$B:$B,MATCH(A578,'3.員工名單'!$A:$A,0)),"查無此員工"))</f>
        <v/>
      </c>
      <c r="C578" s="120">
        <f t="array" ref="C578:C578">IF(A578="","",IFERROR(INDEX('3.員工名單'!$C:$C,MATCH(A578,'3.員工名單'!$A:$A,0)),""))</f>
        <v/>
      </c>
      <c r="D578" s="120">
        <f t="array" ref="D578:D578">IF(A578="","",IFERROR(INDEX('3.員工名單'!$D:$D,MATCH(A578,'3.員工名單'!$A:$A,0)),""))</f>
        <v/>
      </c>
      <c r="E578" s="120">
        <f t="array" ref="E578:E578">IF(F578="","",IFERROR(INDEX('1.職能辭典'!$A:$A,MATCH(F578,'1.職能辭典'!$C:$C,0)),""))</f>
        <v/>
      </c>
      <c r="F578" s="94" t="n"/>
      <c r="G578" s="120">
        <f t="array" ref="G578:G578">IF(OR(D578="",F578=""),"",IFERROR(IF(AND(OR(INDEX('1.職能辭典'!$J:$J,MATCH(F578,'1.職能辭典'!$C:$C,0))="全部",INDEX('3.員工名單'!$H:$H,MATCH(A578,'3.員工名單'!$A:$A,0))="兩款共用",INDEX('3.員工名單'!$H:$H,MATCH(A578,'3.員工名單'!$A:$A,0))=INDEX('1.職能辭典'!$J:$J,MATCH(F578,'1.職能辭典'!$C:$C,0))),OR(INDEX('1.職能辭典'!$K:$K,MATCH(F578,'1.職能辭典'!$C:$C,0))="全部",SUMPRODUCT(ISNUMBER(SEARCH({"經營","管理","財務","企劃","營運","技術","數據","美術","測試","客服"},INDEX('3.員工名單'!$I:$I,MATCH(A578,'3.員工名單'!$A:$A,0))))*ISNUMBER(SEARCH({"經營","管理","財務","企劃","營運","技術","數據","美術","測試","客服"},INDEX('1.職能辭典'!$K:$K,MATCH(F578,'1.職能辭典'!$C:$C,0)))))&gt;0)),INDEX('2.職務職能需求'!$B$2:$F$28,MATCH(F578,'2.職務職能需求'!$A$2:$A$28,0),MATCH(D578,'2.職務職能需求'!$B$1:$F$1,0)),0),""))</f>
        <v/>
      </c>
      <c r="H578" s="94" t="n"/>
      <c r="I578" s="94" t="n"/>
      <c r="J578" s="120">
        <f>IF(OR(G578="",I578="",G578=0),"",I578-G578)</f>
        <v/>
      </c>
      <c r="K578" s="120">
        <f>IF(G578="","",IF(G578=0,"不適用",IF(I578="","待評核",IF(I578&gt;=G578,IF(I578&gt;G578,"超越","達標"),"待發展"))))</f>
        <v/>
      </c>
      <c r="L578" s="91" t="n"/>
      <c r="M578" s="91" t="n"/>
      <c r="N578" s="88" t="n"/>
    </row>
    <row r="579" ht="15.75" customHeight="1" s="64">
      <c r="A579" s="88" t="n"/>
      <c r="B579" s="120">
        <f t="array" ref="B579:B579">IF(A579="","",IFERROR(INDEX('3.員工名單'!$B:$B,MATCH(A579,'3.員工名單'!$A:$A,0)),"查無此員工"))</f>
        <v/>
      </c>
      <c r="C579" s="120">
        <f t="array" ref="C579:C579">IF(A579="","",IFERROR(INDEX('3.員工名單'!$C:$C,MATCH(A579,'3.員工名單'!$A:$A,0)),""))</f>
        <v/>
      </c>
      <c r="D579" s="120">
        <f t="array" ref="D579:D579">IF(A579="","",IFERROR(INDEX('3.員工名單'!$D:$D,MATCH(A579,'3.員工名單'!$A:$A,0)),""))</f>
        <v/>
      </c>
      <c r="E579" s="120">
        <f t="array" ref="E579:E579">IF(F579="","",IFERROR(INDEX('1.職能辭典'!$A:$A,MATCH(F579,'1.職能辭典'!$C:$C,0)),""))</f>
        <v/>
      </c>
      <c r="F579" s="94" t="n"/>
      <c r="G579" s="120">
        <f t="array" ref="G579:G579">IF(OR(D579="",F579=""),"",IFERROR(IF(AND(OR(INDEX('1.職能辭典'!$J:$J,MATCH(F579,'1.職能辭典'!$C:$C,0))="全部",INDEX('3.員工名單'!$H:$H,MATCH(A579,'3.員工名單'!$A:$A,0))="兩款共用",INDEX('3.員工名單'!$H:$H,MATCH(A579,'3.員工名單'!$A:$A,0))=INDEX('1.職能辭典'!$J:$J,MATCH(F579,'1.職能辭典'!$C:$C,0))),OR(INDEX('1.職能辭典'!$K:$K,MATCH(F579,'1.職能辭典'!$C:$C,0))="全部",SUMPRODUCT(ISNUMBER(SEARCH({"經營","管理","財務","企劃","營運","技術","數據","美術","測試","客服"},INDEX('3.員工名單'!$I:$I,MATCH(A579,'3.員工名單'!$A:$A,0))))*ISNUMBER(SEARCH({"經營","管理","財務","企劃","營運","技術","數據","美術","測試","客服"},INDEX('1.職能辭典'!$K:$K,MATCH(F579,'1.職能辭典'!$C:$C,0)))))&gt;0)),INDEX('2.職務職能需求'!$B$2:$F$28,MATCH(F579,'2.職務職能需求'!$A$2:$A$28,0),MATCH(D579,'2.職務職能需求'!$B$1:$F$1,0)),0),""))</f>
        <v/>
      </c>
      <c r="H579" s="94" t="n"/>
      <c r="I579" s="94" t="n"/>
      <c r="J579" s="120">
        <f>IF(OR(G579="",I579="",G579=0),"",I579-G579)</f>
        <v/>
      </c>
      <c r="K579" s="120">
        <f>IF(G579="","",IF(G579=0,"不適用",IF(I579="","待評核",IF(I579&gt;=G579,IF(I579&gt;G579,"超越","達標"),"待發展"))))</f>
        <v/>
      </c>
      <c r="L579" s="91" t="n"/>
      <c r="M579" s="91" t="n"/>
      <c r="N579" s="88" t="n"/>
    </row>
    <row r="580" ht="15.75" customHeight="1" s="64">
      <c r="A580" s="88" t="n"/>
      <c r="B580" s="120">
        <f t="array" ref="B580:B580">IF(A580="","",IFERROR(INDEX('3.員工名單'!$B:$B,MATCH(A580,'3.員工名單'!$A:$A,0)),"查無此員工"))</f>
        <v/>
      </c>
      <c r="C580" s="120">
        <f t="array" ref="C580:C580">IF(A580="","",IFERROR(INDEX('3.員工名單'!$C:$C,MATCH(A580,'3.員工名單'!$A:$A,0)),""))</f>
        <v/>
      </c>
      <c r="D580" s="120">
        <f t="array" ref="D580:D580">IF(A580="","",IFERROR(INDEX('3.員工名單'!$D:$D,MATCH(A580,'3.員工名單'!$A:$A,0)),""))</f>
        <v/>
      </c>
      <c r="E580" s="120">
        <f t="array" ref="E580:E580">IF(F580="","",IFERROR(INDEX('1.職能辭典'!$A:$A,MATCH(F580,'1.職能辭典'!$C:$C,0)),""))</f>
        <v/>
      </c>
      <c r="F580" s="94" t="n"/>
      <c r="G580" s="120">
        <f t="array" ref="G580:G580">IF(OR(D580="",F580=""),"",IFERROR(IF(AND(OR(INDEX('1.職能辭典'!$J:$J,MATCH(F580,'1.職能辭典'!$C:$C,0))="全部",INDEX('3.員工名單'!$H:$H,MATCH(A580,'3.員工名單'!$A:$A,0))="兩款共用",INDEX('3.員工名單'!$H:$H,MATCH(A580,'3.員工名單'!$A:$A,0))=INDEX('1.職能辭典'!$J:$J,MATCH(F580,'1.職能辭典'!$C:$C,0))),OR(INDEX('1.職能辭典'!$K:$K,MATCH(F580,'1.職能辭典'!$C:$C,0))="全部",SUMPRODUCT(ISNUMBER(SEARCH({"經營","管理","財務","企劃","營運","技術","數據","美術","測試","客服"},INDEX('3.員工名單'!$I:$I,MATCH(A580,'3.員工名單'!$A:$A,0))))*ISNUMBER(SEARCH({"經營","管理","財務","企劃","營運","技術","數據","美術","測試","客服"},INDEX('1.職能辭典'!$K:$K,MATCH(F580,'1.職能辭典'!$C:$C,0)))))&gt;0)),INDEX('2.職務職能需求'!$B$2:$F$28,MATCH(F580,'2.職務職能需求'!$A$2:$A$28,0),MATCH(D580,'2.職務職能需求'!$B$1:$F$1,0)),0),""))</f>
        <v/>
      </c>
      <c r="H580" s="94" t="n"/>
      <c r="I580" s="94" t="n"/>
      <c r="J580" s="120">
        <f>IF(OR(G580="",I580="",G580=0),"",I580-G580)</f>
        <v/>
      </c>
      <c r="K580" s="120">
        <f>IF(G580="","",IF(G580=0,"不適用",IF(I580="","待評核",IF(I580&gt;=G580,IF(I580&gt;G580,"超越","達標"),"待發展"))))</f>
        <v/>
      </c>
      <c r="L580" s="91" t="n"/>
      <c r="M580" s="91" t="n"/>
      <c r="N580" s="88" t="n"/>
    </row>
    <row r="581" ht="15.75" customHeight="1" s="64">
      <c r="A581" s="88" t="n"/>
      <c r="B581" s="120">
        <f t="array" ref="B581:B581">IF(A581="","",IFERROR(INDEX('3.員工名單'!$B:$B,MATCH(A581,'3.員工名單'!$A:$A,0)),"查無此員工"))</f>
        <v/>
      </c>
      <c r="C581" s="120">
        <f t="array" ref="C581:C581">IF(A581="","",IFERROR(INDEX('3.員工名單'!$C:$C,MATCH(A581,'3.員工名單'!$A:$A,0)),""))</f>
        <v/>
      </c>
      <c r="D581" s="120">
        <f t="array" ref="D581:D581">IF(A581="","",IFERROR(INDEX('3.員工名單'!$D:$D,MATCH(A581,'3.員工名單'!$A:$A,0)),""))</f>
        <v/>
      </c>
      <c r="E581" s="120">
        <f t="array" ref="E581:E581">IF(F581="","",IFERROR(INDEX('1.職能辭典'!$A:$A,MATCH(F581,'1.職能辭典'!$C:$C,0)),""))</f>
        <v/>
      </c>
      <c r="F581" s="94" t="n"/>
      <c r="G581" s="120">
        <f t="array" ref="G581:G581">IF(OR(D581="",F581=""),"",IFERROR(IF(AND(OR(INDEX('1.職能辭典'!$J:$J,MATCH(F581,'1.職能辭典'!$C:$C,0))="全部",INDEX('3.員工名單'!$H:$H,MATCH(A581,'3.員工名單'!$A:$A,0))="兩款共用",INDEX('3.員工名單'!$H:$H,MATCH(A581,'3.員工名單'!$A:$A,0))=INDEX('1.職能辭典'!$J:$J,MATCH(F581,'1.職能辭典'!$C:$C,0))),OR(INDEX('1.職能辭典'!$K:$K,MATCH(F581,'1.職能辭典'!$C:$C,0))="全部",SUMPRODUCT(ISNUMBER(SEARCH({"經營","管理","財務","企劃","營運","技術","數據","美術","測試","客服"},INDEX('3.員工名單'!$I:$I,MATCH(A581,'3.員工名單'!$A:$A,0))))*ISNUMBER(SEARCH({"經營","管理","財務","企劃","營運","技術","數據","美術","測試","客服"},INDEX('1.職能辭典'!$K:$K,MATCH(F581,'1.職能辭典'!$C:$C,0)))))&gt;0)),INDEX('2.職務職能需求'!$B$2:$F$28,MATCH(F581,'2.職務職能需求'!$A$2:$A$28,0),MATCH(D581,'2.職務職能需求'!$B$1:$F$1,0)),0),""))</f>
        <v/>
      </c>
      <c r="H581" s="94" t="n"/>
      <c r="I581" s="94" t="n"/>
      <c r="J581" s="120">
        <f>IF(OR(G581="",I581="",G581=0),"",I581-G581)</f>
        <v/>
      </c>
      <c r="K581" s="120">
        <f>IF(G581="","",IF(G581=0,"不適用",IF(I581="","待評核",IF(I581&gt;=G581,IF(I581&gt;G581,"超越","達標"),"待發展"))))</f>
        <v/>
      </c>
      <c r="L581" s="91" t="n"/>
      <c r="M581" s="91" t="n"/>
      <c r="N581" s="88" t="n"/>
    </row>
    <row r="582" ht="15.75" customHeight="1" s="64">
      <c r="A582" s="88" t="n"/>
      <c r="B582" s="120">
        <f t="array" ref="B582:B582">IF(A582="","",IFERROR(INDEX('3.員工名單'!$B:$B,MATCH(A582,'3.員工名單'!$A:$A,0)),"查無此員工"))</f>
        <v/>
      </c>
      <c r="C582" s="120">
        <f t="array" ref="C582:C582">IF(A582="","",IFERROR(INDEX('3.員工名單'!$C:$C,MATCH(A582,'3.員工名單'!$A:$A,0)),""))</f>
        <v/>
      </c>
      <c r="D582" s="120">
        <f t="array" ref="D582:D582">IF(A582="","",IFERROR(INDEX('3.員工名單'!$D:$D,MATCH(A582,'3.員工名單'!$A:$A,0)),""))</f>
        <v/>
      </c>
      <c r="E582" s="120">
        <f t="array" ref="E582:E582">IF(F582="","",IFERROR(INDEX('1.職能辭典'!$A:$A,MATCH(F582,'1.職能辭典'!$C:$C,0)),""))</f>
        <v/>
      </c>
      <c r="F582" s="94" t="n"/>
      <c r="G582" s="120">
        <f t="array" ref="G582:G582">IF(OR(D582="",F582=""),"",IFERROR(IF(AND(OR(INDEX('1.職能辭典'!$J:$J,MATCH(F582,'1.職能辭典'!$C:$C,0))="全部",INDEX('3.員工名單'!$H:$H,MATCH(A582,'3.員工名單'!$A:$A,0))="兩款共用",INDEX('3.員工名單'!$H:$H,MATCH(A582,'3.員工名單'!$A:$A,0))=INDEX('1.職能辭典'!$J:$J,MATCH(F582,'1.職能辭典'!$C:$C,0))),OR(INDEX('1.職能辭典'!$K:$K,MATCH(F582,'1.職能辭典'!$C:$C,0))="全部",SUMPRODUCT(ISNUMBER(SEARCH({"經營","管理","財務","企劃","營運","技術","數據","美術","測試","客服"},INDEX('3.員工名單'!$I:$I,MATCH(A582,'3.員工名單'!$A:$A,0))))*ISNUMBER(SEARCH({"經營","管理","財務","企劃","營運","技術","數據","美術","測試","客服"},INDEX('1.職能辭典'!$K:$K,MATCH(F582,'1.職能辭典'!$C:$C,0)))))&gt;0)),INDEX('2.職務職能需求'!$B$2:$F$28,MATCH(F582,'2.職務職能需求'!$A$2:$A$28,0),MATCH(D582,'2.職務職能需求'!$B$1:$F$1,0)),0),""))</f>
        <v/>
      </c>
      <c r="H582" s="94" t="n"/>
      <c r="I582" s="94" t="n"/>
      <c r="J582" s="120">
        <f>IF(OR(G582="",I582="",G582=0),"",I582-G582)</f>
        <v/>
      </c>
      <c r="K582" s="120">
        <f>IF(G582="","",IF(G582=0,"不適用",IF(I582="","待評核",IF(I582&gt;=G582,IF(I582&gt;G582,"超越","達標"),"待發展"))))</f>
        <v/>
      </c>
      <c r="L582" s="91" t="n"/>
      <c r="M582" s="91" t="n"/>
      <c r="N582" s="88" t="n"/>
    </row>
    <row r="583" ht="15.75" customHeight="1" s="64">
      <c r="A583" s="88" t="n"/>
      <c r="B583" s="120">
        <f t="array" ref="B583:B583">IF(A583="","",IFERROR(INDEX('3.員工名單'!$B:$B,MATCH(A583,'3.員工名單'!$A:$A,0)),"查無此員工"))</f>
        <v/>
      </c>
      <c r="C583" s="120">
        <f t="array" ref="C583:C583">IF(A583="","",IFERROR(INDEX('3.員工名單'!$C:$C,MATCH(A583,'3.員工名單'!$A:$A,0)),""))</f>
        <v/>
      </c>
      <c r="D583" s="120">
        <f t="array" ref="D583:D583">IF(A583="","",IFERROR(INDEX('3.員工名單'!$D:$D,MATCH(A583,'3.員工名單'!$A:$A,0)),""))</f>
        <v/>
      </c>
      <c r="E583" s="120">
        <f t="array" ref="E583:E583">IF(F583="","",IFERROR(INDEX('1.職能辭典'!$A:$A,MATCH(F583,'1.職能辭典'!$C:$C,0)),""))</f>
        <v/>
      </c>
      <c r="F583" s="94" t="n"/>
      <c r="G583" s="120">
        <f t="array" ref="G583:G583">IF(OR(D583="",F583=""),"",IFERROR(IF(AND(OR(INDEX('1.職能辭典'!$J:$J,MATCH(F583,'1.職能辭典'!$C:$C,0))="全部",INDEX('3.員工名單'!$H:$H,MATCH(A583,'3.員工名單'!$A:$A,0))="兩款共用",INDEX('3.員工名單'!$H:$H,MATCH(A583,'3.員工名單'!$A:$A,0))=INDEX('1.職能辭典'!$J:$J,MATCH(F583,'1.職能辭典'!$C:$C,0))),OR(INDEX('1.職能辭典'!$K:$K,MATCH(F583,'1.職能辭典'!$C:$C,0))="全部",SUMPRODUCT(ISNUMBER(SEARCH({"經營","管理","財務","企劃","營運","技術","數據","美術","測試","客服"},INDEX('3.員工名單'!$I:$I,MATCH(A583,'3.員工名單'!$A:$A,0))))*ISNUMBER(SEARCH({"經營","管理","財務","企劃","營運","技術","數據","美術","測試","客服"},INDEX('1.職能辭典'!$K:$K,MATCH(F583,'1.職能辭典'!$C:$C,0)))))&gt;0)),INDEX('2.職務職能需求'!$B$2:$F$28,MATCH(F583,'2.職務職能需求'!$A$2:$A$28,0),MATCH(D583,'2.職務職能需求'!$B$1:$F$1,0)),0),""))</f>
        <v/>
      </c>
      <c r="H583" s="94" t="n"/>
      <c r="I583" s="94" t="n"/>
      <c r="J583" s="120">
        <f>IF(OR(G583="",I583="",G583=0),"",I583-G583)</f>
        <v/>
      </c>
      <c r="K583" s="120">
        <f>IF(G583="","",IF(G583=0,"不適用",IF(I583="","待評核",IF(I583&gt;=G583,IF(I583&gt;G583,"超越","達標"),"待發展"))))</f>
        <v/>
      </c>
      <c r="L583" s="91" t="n"/>
      <c r="M583" s="91" t="n"/>
      <c r="N583" s="88" t="n"/>
    </row>
    <row r="584" ht="15.75" customHeight="1" s="64">
      <c r="A584" s="88" t="n"/>
      <c r="B584" s="120">
        <f t="array" ref="B584:B584">IF(A584="","",IFERROR(INDEX('3.員工名單'!$B:$B,MATCH(A584,'3.員工名單'!$A:$A,0)),"查無此員工"))</f>
        <v/>
      </c>
      <c r="C584" s="120">
        <f t="array" ref="C584:C584">IF(A584="","",IFERROR(INDEX('3.員工名單'!$C:$C,MATCH(A584,'3.員工名單'!$A:$A,0)),""))</f>
        <v/>
      </c>
      <c r="D584" s="120">
        <f t="array" ref="D584:D584">IF(A584="","",IFERROR(INDEX('3.員工名單'!$D:$D,MATCH(A584,'3.員工名單'!$A:$A,0)),""))</f>
        <v/>
      </c>
      <c r="E584" s="120">
        <f t="array" ref="E584:E584">IF(F584="","",IFERROR(INDEX('1.職能辭典'!$A:$A,MATCH(F584,'1.職能辭典'!$C:$C,0)),""))</f>
        <v/>
      </c>
      <c r="F584" s="94" t="n"/>
      <c r="G584" s="120">
        <f t="array" ref="G584:G584">IF(OR(D584="",F584=""),"",IFERROR(IF(AND(OR(INDEX('1.職能辭典'!$J:$J,MATCH(F584,'1.職能辭典'!$C:$C,0))="全部",INDEX('3.員工名單'!$H:$H,MATCH(A584,'3.員工名單'!$A:$A,0))="兩款共用",INDEX('3.員工名單'!$H:$H,MATCH(A584,'3.員工名單'!$A:$A,0))=INDEX('1.職能辭典'!$J:$J,MATCH(F584,'1.職能辭典'!$C:$C,0))),OR(INDEX('1.職能辭典'!$K:$K,MATCH(F584,'1.職能辭典'!$C:$C,0))="全部",SUMPRODUCT(ISNUMBER(SEARCH({"經營","管理","財務","企劃","營運","技術","數據","美術","測試","客服"},INDEX('3.員工名單'!$I:$I,MATCH(A584,'3.員工名單'!$A:$A,0))))*ISNUMBER(SEARCH({"經營","管理","財務","企劃","營運","技術","數據","美術","測試","客服"},INDEX('1.職能辭典'!$K:$K,MATCH(F584,'1.職能辭典'!$C:$C,0)))))&gt;0)),INDEX('2.職務職能需求'!$B$2:$F$28,MATCH(F584,'2.職務職能需求'!$A$2:$A$28,0),MATCH(D584,'2.職務職能需求'!$B$1:$F$1,0)),0),""))</f>
        <v/>
      </c>
      <c r="H584" s="94" t="n"/>
      <c r="I584" s="94" t="n"/>
      <c r="J584" s="120">
        <f>IF(OR(G584="",I584="",G584=0),"",I584-G584)</f>
        <v/>
      </c>
      <c r="K584" s="120">
        <f>IF(G584="","",IF(G584=0,"不適用",IF(I584="","待評核",IF(I584&gt;=G584,IF(I584&gt;G584,"超越","達標"),"待發展"))))</f>
        <v/>
      </c>
      <c r="L584" s="91" t="n"/>
      <c r="M584" s="91" t="n"/>
      <c r="N584" s="88" t="n"/>
    </row>
    <row r="585" ht="15.75" customHeight="1" s="64">
      <c r="A585" s="88" t="n"/>
      <c r="B585" s="120">
        <f t="array" ref="B585:B585">IF(A585="","",IFERROR(INDEX('3.員工名單'!$B:$B,MATCH(A585,'3.員工名單'!$A:$A,0)),"查無此員工"))</f>
        <v/>
      </c>
      <c r="C585" s="120">
        <f t="array" ref="C585:C585">IF(A585="","",IFERROR(INDEX('3.員工名單'!$C:$C,MATCH(A585,'3.員工名單'!$A:$A,0)),""))</f>
        <v/>
      </c>
      <c r="D585" s="120">
        <f t="array" ref="D585:D585">IF(A585="","",IFERROR(INDEX('3.員工名單'!$D:$D,MATCH(A585,'3.員工名單'!$A:$A,0)),""))</f>
        <v/>
      </c>
      <c r="E585" s="120">
        <f t="array" ref="E585:E585">IF(F585="","",IFERROR(INDEX('1.職能辭典'!$A:$A,MATCH(F585,'1.職能辭典'!$C:$C,0)),""))</f>
        <v/>
      </c>
      <c r="F585" s="94" t="n"/>
      <c r="G585" s="120">
        <f t="array" ref="G585:G585">IF(OR(D585="",F585=""),"",IFERROR(IF(AND(OR(INDEX('1.職能辭典'!$J:$J,MATCH(F585,'1.職能辭典'!$C:$C,0))="全部",INDEX('3.員工名單'!$H:$H,MATCH(A585,'3.員工名單'!$A:$A,0))="兩款共用",INDEX('3.員工名單'!$H:$H,MATCH(A585,'3.員工名單'!$A:$A,0))=INDEX('1.職能辭典'!$J:$J,MATCH(F585,'1.職能辭典'!$C:$C,0))),OR(INDEX('1.職能辭典'!$K:$K,MATCH(F585,'1.職能辭典'!$C:$C,0))="全部",SUMPRODUCT(ISNUMBER(SEARCH({"經營","管理","財務","企劃","營運","技術","數據","美術","測試","客服"},INDEX('3.員工名單'!$I:$I,MATCH(A585,'3.員工名單'!$A:$A,0))))*ISNUMBER(SEARCH({"經營","管理","財務","企劃","營運","技術","數據","美術","測試","客服"},INDEX('1.職能辭典'!$K:$K,MATCH(F585,'1.職能辭典'!$C:$C,0)))))&gt;0)),INDEX('2.職務職能需求'!$B$2:$F$28,MATCH(F585,'2.職務職能需求'!$A$2:$A$28,0),MATCH(D585,'2.職務職能需求'!$B$1:$F$1,0)),0),""))</f>
        <v/>
      </c>
      <c r="H585" s="94" t="n"/>
      <c r="I585" s="94" t="n"/>
      <c r="J585" s="120">
        <f>IF(OR(G585="",I585="",G585=0),"",I585-G585)</f>
        <v/>
      </c>
      <c r="K585" s="120">
        <f>IF(G585="","",IF(G585=0,"不適用",IF(I585="","待評核",IF(I585&gt;=G585,IF(I585&gt;G585,"超越","達標"),"待發展"))))</f>
        <v/>
      </c>
      <c r="L585" s="91" t="n"/>
      <c r="M585" s="91" t="n"/>
      <c r="N585" s="88" t="n"/>
    </row>
    <row r="586" ht="15.75" customHeight="1" s="64">
      <c r="A586" s="88" t="n"/>
      <c r="B586" s="120">
        <f t="array" ref="B586:B586">IF(A586="","",IFERROR(INDEX('3.員工名單'!$B:$B,MATCH(A586,'3.員工名單'!$A:$A,0)),"查無此員工"))</f>
        <v/>
      </c>
      <c r="C586" s="120">
        <f t="array" ref="C586:C586">IF(A586="","",IFERROR(INDEX('3.員工名單'!$C:$C,MATCH(A586,'3.員工名單'!$A:$A,0)),""))</f>
        <v/>
      </c>
      <c r="D586" s="120">
        <f t="array" ref="D586:D586">IF(A586="","",IFERROR(INDEX('3.員工名單'!$D:$D,MATCH(A586,'3.員工名單'!$A:$A,0)),""))</f>
        <v/>
      </c>
      <c r="E586" s="120">
        <f t="array" ref="E586:E586">IF(F586="","",IFERROR(INDEX('1.職能辭典'!$A:$A,MATCH(F586,'1.職能辭典'!$C:$C,0)),""))</f>
        <v/>
      </c>
      <c r="F586" s="94" t="n"/>
      <c r="G586" s="120">
        <f t="array" ref="G586:G586">IF(OR(D586="",F586=""),"",IFERROR(IF(AND(OR(INDEX('1.職能辭典'!$J:$J,MATCH(F586,'1.職能辭典'!$C:$C,0))="全部",INDEX('3.員工名單'!$H:$H,MATCH(A586,'3.員工名單'!$A:$A,0))="兩款共用",INDEX('3.員工名單'!$H:$H,MATCH(A586,'3.員工名單'!$A:$A,0))=INDEX('1.職能辭典'!$J:$J,MATCH(F586,'1.職能辭典'!$C:$C,0))),OR(INDEX('1.職能辭典'!$K:$K,MATCH(F586,'1.職能辭典'!$C:$C,0))="全部",SUMPRODUCT(ISNUMBER(SEARCH({"經營","管理","財務","企劃","營運","技術","數據","美術","測試","客服"},INDEX('3.員工名單'!$I:$I,MATCH(A586,'3.員工名單'!$A:$A,0))))*ISNUMBER(SEARCH({"經營","管理","財務","企劃","營運","技術","數據","美術","測試","客服"},INDEX('1.職能辭典'!$K:$K,MATCH(F586,'1.職能辭典'!$C:$C,0)))))&gt;0)),INDEX('2.職務職能需求'!$B$2:$F$28,MATCH(F586,'2.職務職能需求'!$A$2:$A$28,0),MATCH(D586,'2.職務職能需求'!$B$1:$F$1,0)),0),""))</f>
        <v/>
      </c>
      <c r="H586" s="94" t="n"/>
      <c r="I586" s="94" t="n"/>
      <c r="J586" s="120">
        <f>IF(OR(G586="",I586="",G586=0),"",I586-G586)</f>
        <v/>
      </c>
      <c r="K586" s="120">
        <f>IF(G586="","",IF(G586=0,"不適用",IF(I586="","待評核",IF(I586&gt;=G586,IF(I586&gt;G586,"超越","達標"),"待發展"))))</f>
        <v/>
      </c>
      <c r="L586" s="91" t="n"/>
      <c r="M586" s="91" t="n"/>
      <c r="N586" s="88" t="n"/>
    </row>
    <row r="587" ht="15.75" customHeight="1" s="64">
      <c r="A587" s="88" t="n"/>
      <c r="B587" s="120">
        <f t="array" ref="B587:B587">IF(A587="","",IFERROR(INDEX('3.員工名單'!$B:$B,MATCH(A587,'3.員工名單'!$A:$A,0)),"查無此員工"))</f>
        <v/>
      </c>
      <c r="C587" s="120">
        <f t="array" ref="C587:C587">IF(A587="","",IFERROR(INDEX('3.員工名單'!$C:$C,MATCH(A587,'3.員工名單'!$A:$A,0)),""))</f>
        <v/>
      </c>
      <c r="D587" s="120">
        <f t="array" ref="D587:D587">IF(A587="","",IFERROR(INDEX('3.員工名單'!$D:$D,MATCH(A587,'3.員工名單'!$A:$A,0)),""))</f>
        <v/>
      </c>
      <c r="E587" s="120">
        <f t="array" ref="E587:E587">IF(F587="","",IFERROR(INDEX('1.職能辭典'!$A:$A,MATCH(F587,'1.職能辭典'!$C:$C,0)),""))</f>
        <v/>
      </c>
      <c r="F587" s="94" t="n"/>
      <c r="G587" s="120">
        <f t="array" ref="G587:G587">IF(OR(D587="",F587=""),"",IFERROR(IF(AND(OR(INDEX('1.職能辭典'!$J:$J,MATCH(F587,'1.職能辭典'!$C:$C,0))="全部",INDEX('3.員工名單'!$H:$H,MATCH(A587,'3.員工名單'!$A:$A,0))="兩款共用",INDEX('3.員工名單'!$H:$H,MATCH(A587,'3.員工名單'!$A:$A,0))=INDEX('1.職能辭典'!$J:$J,MATCH(F587,'1.職能辭典'!$C:$C,0))),OR(INDEX('1.職能辭典'!$K:$K,MATCH(F587,'1.職能辭典'!$C:$C,0))="全部",SUMPRODUCT(ISNUMBER(SEARCH({"經營","管理","財務","企劃","營運","技術","數據","美術","測試","客服"},INDEX('3.員工名單'!$I:$I,MATCH(A587,'3.員工名單'!$A:$A,0))))*ISNUMBER(SEARCH({"經營","管理","財務","企劃","營運","技術","數據","美術","測試","客服"},INDEX('1.職能辭典'!$K:$K,MATCH(F587,'1.職能辭典'!$C:$C,0)))))&gt;0)),INDEX('2.職務職能需求'!$B$2:$F$28,MATCH(F587,'2.職務職能需求'!$A$2:$A$28,0),MATCH(D587,'2.職務職能需求'!$B$1:$F$1,0)),0),""))</f>
        <v/>
      </c>
      <c r="H587" s="94" t="n"/>
      <c r="I587" s="94" t="n"/>
      <c r="J587" s="120">
        <f>IF(OR(G587="",I587="",G587=0),"",I587-G587)</f>
        <v/>
      </c>
      <c r="K587" s="120">
        <f>IF(G587="","",IF(G587=0,"不適用",IF(I587="","待評核",IF(I587&gt;=G587,IF(I587&gt;G587,"超越","達標"),"待發展"))))</f>
        <v/>
      </c>
      <c r="L587" s="91" t="n"/>
      <c r="M587" s="91" t="n"/>
      <c r="N587" s="88" t="n"/>
    </row>
    <row r="588" ht="15.75" customHeight="1" s="64">
      <c r="A588" s="88" t="n"/>
      <c r="B588" s="120">
        <f t="array" ref="B588:B588">IF(A588="","",IFERROR(INDEX('3.員工名單'!$B:$B,MATCH(A588,'3.員工名單'!$A:$A,0)),"查無此員工"))</f>
        <v/>
      </c>
      <c r="C588" s="120">
        <f t="array" ref="C588:C588">IF(A588="","",IFERROR(INDEX('3.員工名單'!$C:$C,MATCH(A588,'3.員工名單'!$A:$A,0)),""))</f>
        <v/>
      </c>
      <c r="D588" s="120">
        <f t="array" ref="D588:D588">IF(A588="","",IFERROR(INDEX('3.員工名單'!$D:$D,MATCH(A588,'3.員工名單'!$A:$A,0)),""))</f>
        <v/>
      </c>
      <c r="E588" s="120">
        <f t="array" ref="E588:E588">IF(F588="","",IFERROR(INDEX('1.職能辭典'!$A:$A,MATCH(F588,'1.職能辭典'!$C:$C,0)),""))</f>
        <v/>
      </c>
      <c r="F588" s="94" t="n"/>
      <c r="G588" s="120">
        <f t="array" ref="G588:G588">IF(OR(D588="",F588=""),"",IFERROR(IF(AND(OR(INDEX('1.職能辭典'!$J:$J,MATCH(F588,'1.職能辭典'!$C:$C,0))="全部",INDEX('3.員工名單'!$H:$H,MATCH(A588,'3.員工名單'!$A:$A,0))="兩款共用",INDEX('3.員工名單'!$H:$H,MATCH(A588,'3.員工名單'!$A:$A,0))=INDEX('1.職能辭典'!$J:$J,MATCH(F588,'1.職能辭典'!$C:$C,0))),OR(INDEX('1.職能辭典'!$K:$K,MATCH(F588,'1.職能辭典'!$C:$C,0))="全部",SUMPRODUCT(ISNUMBER(SEARCH({"經營","管理","財務","企劃","營運","技術","數據","美術","測試","客服"},INDEX('3.員工名單'!$I:$I,MATCH(A588,'3.員工名單'!$A:$A,0))))*ISNUMBER(SEARCH({"經營","管理","財務","企劃","營運","技術","數據","美術","測試","客服"},INDEX('1.職能辭典'!$K:$K,MATCH(F588,'1.職能辭典'!$C:$C,0)))))&gt;0)),INDEX('2.職務職能需求'!$B$2:$F$28,MATCH(F588,'2.職務職能需求'!$A$2:$A$28,0),MATCH(D588,'2.職務職能需求'!$B$1:$F$1,0)),0),""))</f>
        <v/>
      </c>
      <c r="H588" s="94" t="n"/>
      <c r="I588" s="94" t="n"/>
      <c r="J588" s="120">
        <f>IF(OR(G588="",I588="",G588=0),"",I588-G588)</f>
        <v/>
      </c>
      <c r="K588" s="120">
        <f>IF(G588="","",IF(G588=0,"不適用",IF(I588="","待評核",IF(I588&gt;=G588,IF(I588&gt;G588,"超越","達標"),"待發展"))))</f>
        <v/>
      </c>
      <c r="L588" s="91" t="n"/>
      <c r="M588" s="91" t="n"/>
      <c r="N588" s="88" t="n"/>
    </row>
    <row r="589" ht="15.75" customHeight="1" s="64">
      <c r="A589" s="88" t="n"/>
      <c r="B589" s="120">
        <f t="array" ref="B589:B589">IF(A589="","",IFERROR(INDEX('3.員工名單'!$B:$B,MATCH(A589,'3.員工名單'!$A:$A,0)),"查無此員工"))</f>
        <v/>
      </c>
      <c r="C589" s="120">
        <f t="array" ref="C589:C589">IF(A589="","",IFERROR(INDEX('3.員工名單'!$C:$C,MATCH(A589,'3.員工名單'!$A:$A,0)),""))</f>
        <v/>
      </c>
      <c r="D589" s="120">
        <f t="array" ref="D589:D589">IF(A589="","",IFERROR(INDEX('3.員工名單'!$D:$D,MATCH(A589,'3.員工名單'!$A:$A,0)),""))</f>
        <v/>
      </c>
      <c r="E589" s="120">
        <f t="array" ref="E589:E589">IF(F589="","",IFERROR(INDEX('1.職能辭典'!$A:$A,MATCH(F589,'1.職能辭典'!$C:$C,0)),""))</f>
        <v/>
      </c>
      <c r="F589" s="94" t="n"/>
      <c r="G589" s="120">
        <f t="array" ref="G589:G589">IF(OR(D589="",F589=""),"",IFERROR(IF(AND(OR(INDEX('1.職能辭典'!$J:$J,MATCH(F589,'1.職能辭典'!$C:$C,0))="全部",INDEX('3.員工名單'!$H:$H,MATCH(A589,'3.員工名單'!$A:$A,0))="兩款共用",INDEX('3.員工名單'!$H:$H,MATCH(A589,'3.員工名單'!$A:$A,0))=INDEX('1.職能辭典'!$J:$J,MATCH(F589,'1.職能辭典'!$C:$C,0))),OR(INDEX('1.職能辭典'!$K:$K,MATCH(F589,'1.職能辭典'!$C:$C,0))="全部",SUMPRODUCT(ISNUMBER(SEARCH({"經營","管理","財務","企劃","營運","技術","數據","美術","測試","客服"},INDEX('3.員工名單'!$I:$I,MATCH(A589,'3.員工名單'!$A:$A,0))))*ISNUMBER(SEARCH({"經營","管理","財務","企劃","營運","技術","數據","美術","測試","客服"},INDEX('1.職能辭典'!$K:$K,MATCH(F589,'1.職能辭典'!$C:$C,0)))))&gt;0)),INDEX('2.職務職能需求'!$B$2:$F$28,MATCH(F589,'2.職務職能需求'!$A$2:$A$28,0),MATCH(D589,'2.職務職能需求'!$B$1:$F$1,0)),0),""))</f>
        <v/>
      </c>
      <c r="H589" s="94" t="n"/>
      <c r="I589" s="94" t="n"/>
      <c r="J589" s="120">
        <f>IF(OR(G589="",I589="",G589=0),"",I589-G589)</f>
        <v/>
      </c>
      <c r="K589" s="120">
        <f>IF(G589="","",IF(G589=0,"不適用",IF(I589="","待評核",IF(I589&gt;=G589,IF(I589&gt;G589,"超越","達標"),"待發展"))))</f>
        <v/>
      </c>
      <c r="L589" s="91" t="n"/>
      <c r="M589" s="91" t="n"/>
      <c r="N589" s="88" t="n"/>
    </row>
    <row r="590" ht="15.75" customHeight="1" s="64">
      <c r="A590" s="88" t="n"/>
      <c r="B590" s="120">
        <f t="array" ref="B590:B590">IF(A590="","",IFERROR(INDEX('3.員工名單'!$B:$B,MATCH(A590,'3.員工名單'!$A:$A,0)),"查無此員工"))</f>
        <v/>
      </c>
      <c r="C590" s="120">
        <f t="array" ref="C590:C590">IF(A590="","",IFERROR(INDEX('3.員工名單'!$C:$C,MATCH(A590,'3.員工名單'!$A:$A,0)),""))</f>
        <v/>
      </c>
      <c r="D590" s="120">
        <f t="array" ref="D590:D590">IF(A590="","",IFERROR(INDEX('3.員工名單'!$D:$D,MATCH(A590,'3.員工名單'!$A:$A,0)),""))</f>
        <v/>
      </c>
      <c r="E590" s="120">
        <f t="array" ref="E590:E590">IF(F590="","",IFERROR(INDEX('1.職能辭典'!$A:$A,MATCH(F590,'1.職能辭典'!$C:$C,0)),""))</f>
        <v/>
      </c>
      <c r="F590" s="94" t="n"/>
      <c r="G590" s="120">
        <f t="array" ref="G590:G590">IF(OR(D590="",F590=""),"",IFERROR(IF(AND(OR(INDEX('1.職能辭典'!$J:$J,MATCH(F590,'1.職能辭典'!$C:$C,0))="全部",INDEX('3.員工名單'!$H:$H,MATCH(A590,'3.員工名單'!$A:$A,0))="兩款共用",INDEX('3.員工名單'!$H:$H,MATCH(A590,'3.員工名單'!$A:$A,0))=INDEX('1.職能辭典'!$J:$J,MATCH(F590,'1.職能辭典'!$C:$C,0))),OR(INDEX('1.職能辭典'!$K:$K,MATCH(F590,'1.職能辭典'!$C:$C,0))="全部",SUMPRODUCT(ISNUMBER(SEARCH({"經營","管理","財務","企劃","營運","技術","數據","美術","測試","客服"},INDEX('3.員工名單'!$I:$I,MATCH(A590,'3.員工名單'!$A:$A,0))))*ISNUMBER(SEARCH({"經營","管理","財務","企劃","營運","技術","數據","美術","測試","客服"},INDEX('1.職能辭典'!$K:$K,MATCH(F590,'1.職能辭典'!$C:$C,0)))))&gt;0)),INDEX('2.職務職能需求'!$B$2:$F$28,MATCH(F590,'2.職務職能需求'!$A$2:$A$28,0),MATCH(D590,'2.職務職能需求'!$B$1:$F$1,0)),0),""))</f>
        <v/>
      </c>
      <c r="H590" s="94" t="n"/>
      <c r="I590" s="94" t="n"/>
      <c r="J590" s="120">
        <f>IF(OR(G590="",I590="",G590=0),"",I590-G590)</f>
        <v/>
      </c>
      <c r="K590" s="120">
        <f>IF(G590="","",IF(G590=0,"不適用",IF(I590="","待評核",IF(I590&gt;=G590,IF(I590&gt;G590,"超越","達標"),"待發展"))))</f>
        <v/>
      </c>
      <c r="L590" s="91" t="n"/>
      <c r="M590" s="91" t="n"/>
      <c r="N590" s="88" t="n"/>
    </row>
    <row r="591" ht="15.75" customHeight="1" s="64">
      <c r="A591" s="88" t="n"/>
      <c r="B591" s="120">
        <f t="array" ref="B591:B591">IF(A591="","",IFERROR(INDEX('3.員工名單'!$B:$B,MATCH(A591,'3.員工名單'!$A:$A,0)),"查無此員工"))</f>
        <v/>
      </c>
      <c r="C591" s="120">
        <f t="array" ref="C591:C591">IF(A591="","",IFERROR(INDEX('3.員工名單'!$C:$C,MATCH(A591,'3.員工名單'!$A:$A,0)),""))</f>
        <v/>
      </c>
      <c r="D591" s="120">
        <f t="array" ref="D591:D591">IF(A591="","",IFERROR(INDEX('3.員工名單'!$D:$D,MATCH(A591,'3.員工名單'!$A:$A,0)),""))</f>
        <v/>
      </c>
      <c r="E591" s="120">
        <f t="array" ref="E591:E591">IF(F591="","",IFERROR(INDEX('1.職能辭典'!$A:$A,MATCH(F591,'1.職能辭典'!$C:$C,0)),""))</f>
        <v/>
      </c>
      <c r="F591" s="94" t="n"/>
      <c r="G591" s="120">
        <f t="array" ref="G591:G591">IF(OR(D591="",F591=""),"",IFERROR(IF(AND(OR(INDEX('1.職能辭典'!$J:$J,MATCH(F591,'1.職能辭典'!$C:$C,0))="全部",INDEX('3.員工名單'!$H:$H,MATCH(A591,'3.員工名單'!$A:$A,0))="兩款共用",INDEX('3.員工名單'!$H:$H,MATCH(A591,'3.員工名單'!$A:$A,0))=INDEX('1.職能辭典'!$J:$J,MATCH(F591,'1.職能辭典'!$C:$C,0))),OR(INDEX('1.職能辭典'!$K:$K,MATCH(F591,'1.職能辭典'!$C:$C,0))="全部",SUMPRODUCT(ISNUMBER(SEARCH({"經營","管理","財務","企劃","營運","技術","數據","美術","測試","客服"},INDEX('3.員工名單'!$I:$I,MATCH(A591,'3.員工名單'!$A:$A,0))))*ISNUMBER(SEARCH({"經營","管理","財務","企劃","營運","技術","數據","美術","測試","客服"},INDEX('1.職能辭典'!$K:$K,MATCH(F591,'1.職能辭典'!$C:$C,0)))))&gt;0)),INDEX('2.職務職能需求'!$B$2:$F$28,MATCH(F591,'2.職務職能需求'!$A$2:$A$28,0),MATCH(D591,'2.職務職能需求'!$B$1:$F$1,0)),0),""))</f>
        <v/>
      </c>
      <c r="H591" s="94" t="n"/>
      <c r="I591" s="94" t="n"/>
      <c r="J591" s="120">
        <f>IF(OR(G591="",I591="",G591=0),"",I591-G591)</f>
        <v/>
      </c>
      <c r="K591" s="120">
        <f>IF(G591="","",IF(G591=0,"不適用",IF(I591="","待評核",IF(I591&gt;=G591,IF(I591&gt;G591,"超越","達標"),"待發展"))))</f>
        <v/>
      </c>
      <c r="L591" s="91" t="n"/>
      <c r="M591" s="91" t="n"/>
      <c r="N591" s="88" t="n"/>
    </row>
    <row r="592" ht="15.75" customHeight="1" s="64">
      <c r="A592" s="88" t="n"/>
      <c r="B592" s="120">
        <f t="array" ref="B592:B592">IF(A592="","",IFERROR(INDEX('3.員工名單'!$B:$B,MATCH(A592,'3.員工名單'!$A:$A,0)),"查無此員工"))</f>
        <v/>
      </c>
      <c r="C592" s="120">
        <f t="array" ref="C592:C592">IF(A592="","",IFERROR(INDEX('3.員工名單'!$C:$C,MATCH(A592,'3.員工名單'!$A:$A,0)),""))</f>
        <v/>
      </c>
      <c r="D592" s="120">
        <f t="array" ref="D592:D592">IF(A592="","",IFERROR(INDEX('3.員工名單'!$D:$D,MATCH(A592,'3.員工名單'!$A:$A,0)),""))</f>
        <v/>
      </c>
      <c r="E592" s="120">
        <f t="array" ref="E592:E592">IF(F592="","",IFERROR(INDEX('1.職能辭典'!$A:$A,MATCH(F592,'1.職能辭典'!$C:$C,0)),""))</f>
        <v/>
      </c>
      <c r="F592" s="94" t="n"/>
      <c r="G592" s="120">
        <f t="array" ref="G592:G592">IF(OR(D592="",F592=""),"",IFERROR(IF(AND(OR(INDEX('1.職能辭典'!$J:$J,MATCH(F592,'1.職能辭典'!$C:$C,0))="全部",INDEX('3.員工名單'!$H:$H,MATCH(A592,'3.員工名單'!$A:$A,0))="兩款共用",INDEX('3.員工名單'!$H:$H,MATCH(A592,'3.員工名單'!$A:$A,0))=INDEX('1.職能辭典'!$J:$J,MATCH(F592,'1.職能辭典'!$C:$C,0))),OR(INDEX('1.職能辭典'!$K:$K,MATCH(F592,'1.職能辭典'!$C:$C,0))="全部",SUMPRODUCT(ISNUMBER(SEARCH({"經營","管理","財務","企劃","營運","技術","數據","美術","測試","客服"},INDEX('3.員工名單'!$I:$I,MATCH(A592,'3.員工名單'!$A:$A,0))))*ISNUMBER(SEARCH({"經營","管理","財務","企劃","營運","技術","數據","美術","測試","客服"},INDEX('1.職能辭典'!$K:$K,MATCH(F592,'1.職能辭典'!$C:$C,0)))))&gt;0)),INDEX('2.職務職能需求'!$B$2:$F$28,MATCH(F592,'2.職務職能需求'!$A$2:$A$28,0),MATCH(D592,'2.職務職能需求'!$B$1:$F$1,0)),0),""))</f>
        <v/>
      </c>
      <c r="H592" s="94" t="n"/>
      <c r="I592" s="94" t="n"/>
      <c r="J592" s="120">
        <f>IF(OR(G592="",I592="",G592=0),"",I592-G592)</f>
        <v/>
      </c>
      <c r="K592" s="120">
        <f>IF(G592="","",IF(G592=0,"不適用",IF(I592="","待評核",IF(I592&gt;=G592,IF(I592&gt;G592,"超越","達標"),"待發展"))))</f>
        <v/>
      </c>
      <c r="L592" s="91" t="n"/>
      <c r="M592" s="91" t="n"/>
      <c r="N592" s="88" t="n"/>
    </row>
    <row r="593" ht="15.75" customHeight="1" s="64">
      <c r="A593" s="88" t="n"/>
      <c r="B593" s="120">
        <f t="array" ref="B593:B593">IF(A593="","",IFERROR(INDEX('3.員工名單'!$B:$B,MATCH(A593,'3.員工名單'!$A:$A,0)),"查無此員工"))</f>
        <v/>
      </c>
      <c r="C593" s="120">
        <f t="array" ref="C593:C593">IF(A593="","",IFERROR(INDEX('3.員工名單'!$C:$C,MATCH(A593,'3.員工名單'!$A:$A,0)),""))</f>
        <v/>
      </c>
      <c r="D593" s="120">
        <f t="array" ref="D593:D593">IF(A593="","",IFERROR(INDEX('3.員工名單'!$D:$D,MATCH(A593,'3.員工名單'!$A:$A,0)),""))</f>
        <v/>
      </c>
      <c r="E593" s="120">
        <f t="array" ref="E593:E593">IF(F593="","",IFERROR(INDEX('1.職能辭典'!$A:$A,MATCH(F593,'1.職能辭典'!$C:$C,0)),""))</f>
        <v/>
      </c>
      <c r="F593" s="94" t="n"/>
      <c r="G593" s="120">
        <f t="array" ref="G593:G593">IF(OR(D593="",F593=""),"",IFERROR(IF(AND(OR(INDEX('1.職能辭典'!$J:$J,MATCH(F593,'1.職能辭典'!$C:$C,0))="全部",INDEX('3.員工名單'!$H:$H,MATCH(A593,'3.員工名單'!$A:$A,0))="兩款共用",INDEX('3.員工名單'!$H:$H,MATCH(A593,'3.員工名單'!$A:$A,0))=INDEX('1.職能辭典'!$J:$J,MATCH(F593,'1.職能辭典'!$C:$C,0))),OR(INDEX('1.職能辭典'!$K:$K,MATCH(F593,'1.職能辭典'!$C:$C,0))="全部",SUMPRODUCT(ISNUMBER(SEARCH({"經營","管理","財務","企劃","營運","技術","數據","美術","測試","客服"},INDEX('3.員工名單'!$I:$I,MATCH(A593,'3.員工名單'!$A:$A,0))))*ISNUMBER(SEARCH({"經營","管理","財務","企劃","營運","技術","數據","美術","測試","客服"},INDEX('1.職能辭典'!$K:$K,MATCH(F593,'1.職能辭典'!$C:$C,0)))))&gt;0)),INDEX('2.職務職能需求'!$B$2:$F$28,MATCH(F593,'2.職務職能需求'!$A$2:$A$28,0),MATCH(D593,'2.職務職能需求'!$B$1:$F$1,0)),0),""))</f>
        <v/>
      </c>
      <c r="H593" s="94" t="n"/>
      <c r="I593" s="94" t="n"/>
      <c r="J593" s="120">
        <f>IF(OR(G593="",I593="",G593=0),"",I593-G593)</f>
        <v/>
      </c>
      <c r="K593" s="120">
        <f>IF(G593="","",IF(G593=0,"不適用",IF(I593="","待評核",IF(I593&gt;=G593,IF(I593&gt;G593,"超越","達標"),"待發展"))))</f>
        <v/>
      </c>
      <c r="L593" s="91" t="n"/>
      <c r="M593" s="91" t="n"/>
      <c r="N593" s="88" t="n"/>
    </row>
    <row r="594" ht="15.75" customHeight="1" s="64">
      <c r="A594" s="88" t="n"/>
      <c r="B594" s="120">
        <f t="array" ref="B594:B594">IF(A594="","",IFERROR(INDEX('3.員工名單'!$B:$B,MATCH(A594,'3.員工名單'!$A:$A,0)),"查無此員工"))</f>
        <v/>
      </c>
      <c r="C594" s="120">
        <f t="array" ref="C594:C594">IF(A594="","",IFERROR(INDEX('3.員工名單'!$C:$C,MATCH(A594,'3.員工名單'!$A:$A,0)),""))</f>
        <v/>
      </c>
      <c r="D594" s="120">
        <f t="array" ref="D594:D594">IF(A594="","",IFERROR(INDEX('3.員工名單'!$D:$D,MATCH(A594,'3.員工名單'!$A:$A,0)),""))</f>
        <v/>
      </c>
      <c r="E594" s="120">
        <f t="array" ref="E594:E594">IF(F594="","",IFERROR(INDEX('1.職能辭典'!$A:$A,MATCH(F594,'1.職能辭典'!$C:$C,0)),""))</f>
        <v/>
      </c>
      <c r="F594" s="94" t="n"/>
      <c r="G594" s="120">
        <f t="array" ref="G594:G594">IF(OR(D594="",F594=""),"",IFERROR(IF(AND(OR(INDEX('1.職能辭典'!$J:$J,MATCH(F594,'1.職能辭典'!$C:$C,0))="全部",INDEX('3.員工名單'!$H:$H,MATCH(A594,'3.員工名單'!$A:$A,0))="兩款共用",INDEX('3.員工名單'!$H:$H,MATCH(A594,'3.員工名單'!$A:$A,0))=INDEX('1.職能辭典'!$J:$J,MATCH(F594,'1.職能辭典'!$C:$C,0))),OR(INDEX('1.職能辭典'!$K:$K,MATCH(F594,'1.職能辭典'!$C:$C,0))="全部",SUMPRODUCT(ISNUMBER(SEARCH({"經營","管理","財務","企劃","營運","技術","數據","美術","測試","客服"},INDEX('3.員工名單'!$I:$I,MATCH(A594,'3.員工名單'!$A:$A,0))))*ISNUMBER(SEARCH({"經營","管理","財務","企劃","營運","技術","數據","美術","測試","客服"},INDEX('1.職能辭典'!$K:$K,MATCH(F594,'1.職能辭典'!$C:$C,0)))))&gt;0)),INDEX('2.職務職能需求'!$B$2:$F$28,MATCH(F594,'2.職務職能需求'!$A$2:$A$28,0),MATCH(D594,'2.職務職能需求'!$B$1:$F$1,0)),0),""))</f>
        <v/>
      </c>
      <c r="H594" s="94" t="n"/>
      <c r="I594" s="94" t="n"/>
      <c r="J594" s="120">
        <f>IF(OR(G594="",I594="",G594=0),"",I594-G594)</f>
        <v/>
      </c>
      <c r="K594" s="120">
        <f>IF(G594="","",IF(G594=0,"不適用",IF(I594="","待評核",IF(I594&gt;=G594,IF(I594&gt;G594,"超越","達標"),"待發展"))))</f>
        <v/>
      </c>
      <c r="L594" s="91" t="n"/>
      <c r="M594" s="91" t="n"/>
      <c r="N594" s="88" t="n"/>
    </row>
    <row r="595" ht="15.75" customHeight="1" s="64">
      <c r="A595" s="88" t="n"/>
      <c r="B595" s="120">
        <f t="array" ref="B595:B595">IF(A595="","",IFERROR(INDEX('3.員工名單'!$B:$B,MATCH(A595,'3.員工名單'!$A:$A,0)),"查無此員工"))</f>
        <v/>
      </c>
      <c r="C595" s="120">
        <f t="array" ref="C595:C595">IF(A595="","",IFERROR(INDEX('3.員工名單'!$C:$C,MATCH(A595,'3.員工名單'!$A:$A,0)),""))</f>
        <v/>
      </c>
      <c r="D595" s="120">
        <f t="array" ref="D595:D595">IF(A595="","",IFERROR(INDEX('3.員工名單'!$D:$D,MATCH(A595,'3.員工名單'!$A:$A,0)),""))</f>
        <v/>
      </c>
      <c r="E595" s="120">
        <f t="array" ref="E595:E595">IF(F595="","",IFERROR(INDEX('1.職能辭典'!$A:$A,MATCH(F595,'1.職能辭典'!$C:$C,0)),""))</f>
        <v/>
      </c>
      <c r="F595" s="94" t="n"/>
      <c r="G595" s="120">
        <f t="array" ref="G595:G595">IF(OR(D595="",F595=""),"",IFERROR(IF(AND(OR(INDEX('1.職能辭典'!$J:$J,MATCH(F595,'1.職能辭典'!$C:$C,0))="全部",INDEX('3.員工名單'!$H:$H,MATCH(A595,'3.員工名單'!$A:$A,0))="兩款共用",INDEX('3.員工名單'!$H:$H,MATCH(A595,'3.員工名單'!$A:$A,0))=INDEX('1.職能辭典'!$J:$J,MATCH(F595,'1.職能辭典'!$C:$C,0))),OR(INDEX('1.職能辭典'!$K:$K,MATCH(F595,'1.職能辭典'!$C:$C,0))="全部",SUMPRODUCT(ISNUMBER(SEARCH({"經營","管理","財務","企劃","營運","技術","數據","美術","測試","客服"},INDEX('3.員工名單'!$I:$I,MATCH(A595,'3.員工名單'!$A:$A,0))))*ISNUMBER(SEARCH({"經營","管理","財務","企劃","營運","技術","數據","美術","測試","客服"},INDEX('1.職能辭典'!$K:$K,MATCH(F595,'1.職能辭典'!$C:$C,0)))))&gt;0)),INDEX('2.職務職能需求'!$B$2:$F$28,MATCH(F595,'2.職務職能需求'!$A$2:$A$28,0),MATCH(D595,'2.職務職能需求'!$B$1:$F$1,0)),0),""))</f>
        <v/>
      </c>
      <c r="H595" s="94" t="n"/>
      <c r="I595" s="94" t="n"/>
      <c r="J595" s="120">
        <f>IF(OR(G595="",I595="",G595=0),"",I595-G595)</f>
        <v/>
      </c>
      <c r="K595" s="120">
        <f>IF(G595="","",IF(G595=0,"不適用",IF(I595="","待評核",IF(I595&gt;=G595,IF(I595&gt;G595,"超越","達標"),"待發展"))))</f>
        <v/>
      </c>
      <c r="L595" s="91" t="n"/>
      <c r="M595" s="91" t="n"/>
      <c r="N595" s="88" t="n"/>
    </row>
    <row r="596" ht="15.75" customHeight="1" s="64">
      <c r="A596" s="88" t="n"/>
      <c r="B596" s="120">
        <f t="array" ref="B596:B596">IF(A596="","",IFERROR(INDEX('3.員工名單'!$B:$B,MATCH(A596,'3.員工名單'!$A:$A,0)),"查無此員工"))</f>
        <v/>
      </c>
      <c r="C596" s="120">
        <f t="array" ref="C596:C596">IF(A596="","",IFERROR(INDEX('3.員工名單'!$C:$C,MATCH(A596,'3.員工名單'!$A:$A,0)),""))</f>
        <v/>
      </c>
      <c r="D596" s="120">
        <f t="array" ref="D596:D596">IF(A596="","",IFERROR(INDEX('3.員工名單'!$D:$D,MATCH(A596,'3.員工名單'!$A:$A,0)),""))</f>
        <v/>
      </c>
      <c r="E596" s="120">
        <f t="array" ref="E596:E596">IF(F596="","",IFERROR(INDEX('1.職能辭典'!$A:$A,MATCH(F596,'1.職能辭典'!$C:$C,0)),""))</f>
        <v/>
      </c>
      <c r="F596" s="94" t="n"/>
      <c r="G596" s="120">
        <f t="array" ref="G596:G596">IF(OR(D596="",F596=""),"",IFERROR(IF(AND(OR(INDEX('1.職能辭典'!$J:$J,MATCH(F596,'1.職能辭典'!$C:$C,0))="全部",INDEX('3.員工名單'!$H:$H,MATCH(A596,'3.員工名單'!$A:$A,0))="兩款共用",INDEX('3.員工名單'!$H:$H,MATCH(A596,'3.員工名單'!$A:$A,0))=INDEX('1.職能辭典'!$J:$J,MATCH(F596,'1.職能辭典'!$C:$C,0))),OR(INDEX('1.職能辭典'!$K:$K,MATCH(F596,'1.職能辭典'!$C:$C,0))="全部",SUMPRODUCT(ISNUMBER(SEARCH({"經營","管理","財務","企劃","營運","技術","數據","美術","測試","客服"},INDEX('3.員工名單'!$I:$I,MATCH(A596,'3.員工名單'!$A:$A,0))))*ISNUMBER(SEARCH({"經營","管理","財務","企劃","營運","技術","數據","美術","測試","客服"},INDEX('1.職能辭典'!$K:$K,MATCH(F596,'1.職能辭典'!$C:$C,0)))))&gt;0)),INDEX('2.職務職能需求'!$B$2:$F$28,MATCH(F596,'2.職務職能需求'!$A$2:$A$28,0),MATCH(D596,'2.職務職能需求'!$B$1:$F$1,0)),0),""))</f>
        <v/>
      </c>
      <c r="H596" s="94" t="n"/>
      <c r="I596" s="94" t="n"/>
      <c r="J596" s="120">
        <f>IF(OR(G596="",I596="",G596=0),"",I596-G596)</f>
        <v/>
      </c>
      <c r="K596" s="120">
        <f>IF(G596="","",IF(G596=0,"不適用",IF(I596="","待評核",IF(I596&gt;=G596,IF(I596&gt;G596,"超越","達標"),"待發展"))))</f>
        <v/>
      </c>
      <c r="L596" s="91" t="n"/>
      <c r="M596" s="91" t="n"/>
      <c r="N596" s="88" t="n"/>
    </row>
    <row r="597" ht="15.75" customHeight="1" s="64">
      <c r="A597" s="88" t="n"/>
      <c r="B597" s="120">
        <f t="array" ref="B597:B597">IF(A597="","",IFERROR(INDEX('3.員工名單'!$B:$B,MATCH(A597,'3.員工名單'!$A:$A,0)),"查無此員工"))</f>
        <v/>
      </c>
      <c r="C597" s="120">
        <f t="array" ref="C597:C597">IF(A597="","",IFERROR(INDEX('3.員工名單'!$C:$C,MATCH(A597,'3.員工名單'!$A:$A,0)),""))</f>
        <v/>
      </c>
      <c r="D597" s="120">
        <f t="array" ref="D597:D597">IF(A597="","",IFERROR(INDEX('3.員工名單'!$D:$D,MATCH(A597,'3.員工名單'!$A:$A,0)),""))</f>
        <v/>
      </c>
      <c r="E597" s="120">
        <f t="array" ref="E597:E597">IF(F597="","",IFERROR(INDEX('1.職能辭典'!$A:$A,MATCH(F597,'1.職能辭典'!$C:$C,0)),""))</f>
        <v/>
      </c>
      <c r="F597" s="94" t="n"/>
      <c r="G597" s="120">
        <f t="array" ref="G597:G597">IF(OR(D597="",F597=""),"",IFERROR(IF(AND(OR(INDEX('1.職能辭典'!$J:$J,MATCH(F597,'1.職能辭典'!$C:$C,0))="全部",INDEX('3.員工名單'!$H:$H,MATCH(A597,'3.員工名單'!$A:$A,0))="兩款共用",INDEX('3.員工名單'!$H:$H,MATCH(A597,'3.員工名單'!$A:$A,0))=INDEX('1.職能辭典'!$J:$J,MATCH(F597,'1.職能辭典'!$C:$C,0))),OR(INDEX('1.職能辭典'!$K:$K,MATCH(F597,'1.職能辭典'!$C:$C,0))="全部",SUMPRODUCT(ISNUMBER(SEARCH({"經營","管理","財務","企劃","營運","技術","數據","美術","測試","客服"},INDEX('3.員工名單'!$I:$I,MATCH(A597,'3.員工名單'!$A:$A,0))))*ISNUMBER(SEARCH({"經營","管理","財務","企劃","營運","技術","數據","美術","測試","客服"},INDEX('1.職能辭典'!$K:$K,MATCH(F597,'1.職能辭典'!$C:$C,0)))))&gt;0)),INDEX('2.職務職能需求'!$B$2:$F$28,MATCH(F597,'2.職務職能需求'!$A$2:$A$28,0),MATCH(D597,'2.職務職能需求'!$B$1:$F$1,0)),0),""))</f>
        <v/>
      </c>
      <c r="H597" s="94" t="n"/>
      <c r="I597" s="94" t="n"/>
      <c r="J597" s="120">
        <f>IF(OR(G597="",I597="",G597=0),"",I597-G597)</f>
        <v/>
      </c>
      <c r="K597" s="120">
        <f>IF(G597="","",IF(G597=0,"不適用",IF(I597="","待評核",IF(I597&gt;=G597,IF(I597&gt;G597,"超越","達標"),"待發展"))))</f>
        <v/>
      </c>
      <c r="L597" s="91" t="n"/>
      <c r="M597" s="91" t="n"/>
      <c r="N597" s="88" t="n"/>
    </row>
    <row r="598" ht="15.75" customHeight="1" s="64">
      <c r="A598" s="88" t="n"/>
      <c r="B598" s="120">
        <f t="array" ref="B598:B598">IF(A598="","",IFERROR(INDEX('3.員工名單'!$B:$B,MATCH(A598,'3.員工名單'!$A:$A,0)),"查無此員工"))</f>
        <v/>
      </c>
      <c r="C598" s="120">
        <f t="array" ref="C598:C598">IF(A598="","",IFERROR(INDEX('3.員工名單'!$C:$C,MATCH(A598,'3.員工名單'!$A:$A,0)),""))</f>
        <v/>
      </c>
      <c r="D598" s="120">
        <f t="array" ref="D598:D598">IF(A598="","",IFERROR(INDEX('3.員工名單'!$D:$D,MATCH(A598,'3.員工名單'!$A:$A,0)),""))</f>
        <v/>
      </c>
      <c r="E598" s="120">
        <f t="array" ref="E598:E598">IF(F598="","",IFERROR(INDEX('1.職能辭典'!$A:$A,MATCH(F598,'1.職能辭典'!$C:$C,0)),""))</f>
        <v/>
      </c>
      <c r="F598" s="94" t="n"/>
      <c r="G598" s="120">
        <f t="array" ref="G598:G598">IF(OR(D598="",F598=""),"",IFERROR(IF(AND(OR(INDEX('1.職能辭典'!$J:$J,MATCH(F598,'1.職能辭典'!$C:$C,0))="全部",INDEX('3.員工名單'!$H:$H,MATCH(A598,'3.員工名單'!$A:$A,0))="兩款共用",INDEX('3.員工名單'!$H:$H,MATCH(A598,'3.員工名單'!$A:$A,0))=INDEX('1.職能辭典'!$J:$J,MATCH(F598,'1.職能辭典'!$C:$C,0))),OR(INDEX('1.職能辭典'!$K:$K,MATCH(F598,'1.職能辭典'!$C:$C,0))="全部",SUMPRODUCT(ISNUMBER(SEARCH({"經營","管理","財務","企劃","營運","技術","數據","美術","測試","客服"},INDEX('3.員工名單'!$I:$I,MATCH(A598,'3.員工名單'!$A:$A,0))))*ISNUMBER(SEARCH({"經營","管理","財務","企劃","營運","技術","數據","美術","測試","客服"},INDEX('1.職能辭典'!$K:$K,MATCH(F598,'1.職能辭典'!$C:$C,0)))))&gt;0)),INDEX('2.職務職能需求'!$B$2:$F$28,MATCH(F598,'2.職務職能需求'!$A$2:$A$28,0),MATCH(D598,'2.職務職能需求'!$B$1:$F$1,0)),0),""))</f>
        <v/>
      </c>
      <c r="H598" s="94" t="n"/>
      <c r="I598" s="94" t="n"/>
      <c r="J598" s="120">
        <f>IF(OR(G598="",I598="",G598=0),"",I598-G598)</f>
        <v/>
      </c>
      <c r="K598" s="120">
        <f>IF(G598="","",IF(G598=0,"不適用",IF(I598="","待評核",IF(I598&gt;=G598,IF(I598&gt;G598,"超越","達標"),"待發展"))))</f>
        <v/>
      </c>
      <c r="L598" s="91" t="n"/>
      <c r="M598" s="91" t="n"/>
      <c r="N598" s="88" t="n"/>
    </row>
    <row r="599" ht="15.75" customHeight="1" s="64">
      <c r="A599" s="88" t="n"/>
      <c r="B599" s="120">
        <f t="array" ref="B599:B599">IF(A599="","",IFERROR(INDEX('3.員工名單'!$B:$B,MATCH(A599,'3.員工名單'!$A:$A,0)),"查無此員工"))</f>
        <v/>
      </c>
      <c r="C599" s="120">
        <f t="array" ref="C599:C599">IF(A599="","",IFERROR(INDEX('3.員工名單'!$C:$C,MATCH(A599,'3.員工名單'!$A:$A,0)),""))</f>
        <v/>
      </c>
      <c r="D599" s="120">
        <f t="array" ref="D599:D599">IF(A599="","",IFERROR(INDEX('3.員工名單'!$D:$D,MATCH(A599,'3.員工名單'!$A:$A,0)),""))</f>
        <v/>
      </c>
      <c r="E599" s="120">
        <f t="array" ref="E599:E599">IF(F599="","",IFERROR(INDEX('1.職能辭典'!$A:$A,MATCH(F599,'1.職能辭典'!$C:$C,0)),""))</f>
        <v/>
      </c>
      <c r="F599" s="94" t="n"/>
      <c r="G599" s="120">
        <f t="array" ref="G599:G599">IF(OR(D599="",F599=""),"",IFERROR(IF(AND(OR(INDEX('1.職能辭典'!$J:$J,MATCH(F599,'1.職能辭典'!$C:$C,0))="全部",INDEX('3.員工名單'!$H:$H,MATCH(A599,'3.員工名單'!$A:$A,0))="兩款共用",INDEX('3.員工名單'!$H:$H,MATCH(A599,'3.員工名單'!$A:$A,0))=INDEX('1.職能辭典'!$J:$J,MATCH(F599,'1.職能辭典'!$C:$C,0))),OR(INDEX('1.職能辭典'!$K:$K,MATCH(F599,'1.職能辭典'!$C:$C,0))="全部",SUMPRODUCT(ISNUMBER(SEARCH({"經營","管理","財務","企劃","營運","技術","數據","美術","測試","客服"},INDEX('3.員工名單'!$I:$I,MATCH(A599,'3.員工名單'!$A:$A,0))))*ISNUMBER(SEARCH({"經營","管理","財務","企劃","營運","技術","數據","美術","測試","客服"},INDEX('1.職能辭典'!$K:$K,MATCH(F599,'1.職能辭典'!$C:$C,0)))))&gt;0)),INDEX('2.職務職能需求'!$B$2:$F$28,MATCH(F599,'2.職務職能需求'!$A$2:$A$28,0),MATCH(D599,'2.職務職能需求'!$B$1:$F$1,0)),0),""))</f>
        <v/>
      </c>
      <c r="H599" s="94" t="n"/>
      <c r="I599" s="94" t="n"/>
      <c r="J599" s="120">
        <f>IF(OR(G599="",I599="",G599=0),"",I599-G599)</f>
        <v/>
      </c>
      <c r="K599" s="120">
        <f>IF(G599="","",IF(G599=0,"不適用",IF(I599="","待評核",IF(I599&gt;=G599,IF(I599&gt;G599,"超越","達標"),"待發展"))))</f>
        <v/>
      </c>
      <c r="L599" s="91" t="n"/>
      <c r="M599" s="91" t="n"/>
      <c r="N599" s="88" t="n"/>
    </row>
    <row r="600" ht="15.75" customHeight="1" s="64">
      <c r="A600" s="88" t="n"/>
      <c r="B600" s="120">
        <f t="array" ref="B600:B600">IF(A600="","",IFERROR(INDEX('3.員工名單'!$B:$B,MATCH(A600,'3.員工名單'!$A:$A,0)),"查無此員工"))</f>
        <v/>
      </c>
      <c r="C600" s="120">
        <f t="array" ref="C600:C600">IF(A600="","",IFERROR(INDEX('3.員工名單'!$C:$C,MATCH(A600,'3.員工名單'!$A:$A,0)),""))</f>
        <v/>
      </c>
      <c r="D600" s="120">
        <f t="array" ref="D600:D600">IF(A600="","",IFERROR(INDEX('3.員工名單'!$D:$D,MATCH(A600,'3.員工名單'!$A:$A,0)),""))</f>
        <v/>
      </c>
      <c r="E600" s="120">
        <f t="array" ref="E600:E600">IF(F600="","",IFERROR(INDEX('1.職能辭典'!$A:$A,MATCH(F600,'1.職能辭典'!$C:$C,0)),""))</f>
        <v/>
      </c>
      <c r="F600" s="94" t="n"/>
      <c r="G600" s="120">
        <f t="array" ref="G600:G600">IF(OR(D600="",F600=""),"",IFERROR(IF(AND(OR(INDEX('1.職能辭典'!$J:$J,MATCH(F600,'1.職能辭典'!$C:$C,0))="全部",INDEX('3.員工名單'!$H:$H,MATCH(A600,'3.員工名單'!$A:$A,0))="兩款共用",INDEX('3.員工名單'!$H:$H,MATCH(A600,'3.員工名單'!$A:$A,0))=INDEX('1.職能辭典'!$J:$J,MATCH(F600,'1.職能辭典'!$C:$C,0))),OR(INDEX('1.職能辭典'!$K:$K,MATCH(F600,'1.職能辭典'!$C:$C,0))="全部",SUMPRODUCT(ISNUMBER(SEARCH({"經營","管理","財務","企劃","營運","技術","數據","美術","測試","客服"},INDEX('3.員工名單'!$I:$I,MATCH(A600,'3.員工名單'!$A:$A,0))))*ISNUMBER(SEARCH({"經營","管理","財務","企劃","營運","技術","數據","美術","測試","客服"},INDEX('1.職能辭典'!$K:$K,MATCH(F600,'1.職能辭典'!$C:$C,0)))))&gt;0)),INDEX('2.職務職能需求'!$B$2:$F$28,MATCH(F600,'2.職務職能需求'!$A$2:$A$28,0),MATCH(D600,'2.職務職能需求'!$B$1:$F$1,0)),0),""))</f>
        <v/>
      </c>
      <c r="H600" s="94" t="n"/>
      <c r="I600" s="94" t="n"/>
      <c r="J600" s="120">
        <f>IF(OR(G600="",I600="",G600=0),"",I600-G600)</f>
        <v/>
      </c>
      <c r="K600" s="120">
        <f>IF(G600="","",IF(G600=0,"不適用",IF(I600="","待評核",IF(I600&gt;=G600,IF(I600&gt;G600,"超越","達標"),"待發展"))))</f>
        <v/>
      </c>
      <c r="L600" s="91" t="n"/>
      <c r="M600" s="91" t="n"/>
      <c r="N600" s="88" t="n"/>
    </row>
    <row r="601" ht="15.75" customHeight="1" s="64">
      <c r="A601" s="88" t="n"/>
      <c r="B601" s="120">
        <f t="array" ref="B601:B601">IF(A601="","",IFERROR(INDEX('3.員工名單'!$B:$B,MATCH(A601,'3.員工名單'!$A:$A,0)),"查無此員工"))</f>
        <v/>
      </c>
      <c r="C601" s="120">
        <f t="array" ref="C601:C601">IF(A601="","",IFERROR(INDEX('3.員工名單'!$C:$C,MATCH(A601,'3.員工名單'!$A:$A,0)),""))</f>
        <v/>
      </c>
      <c r="D601" s="120">
        <f t="array" ref="D601:D601">IF(A601="","",IFERROR(INDEX('3.員工名單'!$D:$D,MATCH(A601,'3.員工名單'!$A:$A,0)),""))</f>
        <v/>
      </c>
      <c r="E601" s="120">
        <f t="array" ref="E601:E601">IF(F601="","",IFERROR(INDEX('1.職能辭典'!$A:$A,MATCH(F601,'1.職能辭典'!$C:$C,0)),""))</f>
        <v/>
      </c>
      <c r="F601" s="94" t="n"/>
      <c r="G601" s="120">
        <f t="array" ref="G601:G601">IF(OR(D601="",F601=""),"",IFERROR(IF(AND(OR(INDEX('1.職能辭典'!$J:$J,MATCH(F601,'1.職能辭典'!$C:$C,0))="全部",INDEX('3.員工名單'!$H:$H,MATCH(A601,'3.員工名單'!$A:$A,0))="兩款共用",INDEX('3.員工名單'!$H:$H,MATCH(A601,'3.員工名單'!$A:$A,0))=INDEX('1.職能辭典'!$J:$J,MATCH(F601,'1.職能辭典'!$C:$C,0))),OR(INDEX('1.職能辭典'!$K:$K,MATCH(F601,'1.職能辭典'!$C:$C,0))="全部",SUMPRODUCT(ISNUMBER(SEARCH({"經營","管理","財務","企劃","營運","技術","數據","美術","測試","客服"},INDEX('3.員工名單'!$I:$I,MATCH(A601,'3.員工名單'!$A:$A,0))))*ISNUMBER(SEARCH({"經營","管理","財務","企劃","營運","技術","數據","美術","測試","客服"},INDEX('1.職能辭典'!$K:$K,MATCH(F601,'1.職能辭典'!$C:$C,0)))))&gt;0)),INDEX('2.職務職能需求'!$B$2:$F$28,MATCH(F601,'2.職務職能需求'!$A$2:$A$28,0),MATCH(D601,'2.職務職能需求'!$B$1:$F$1,0)),0),""))</f>
        <v/>
      </c>
      <c r="H601" s="94" t="n"/>
      <c r="I601" s="94" t="n"/>
      <c r="J601" s="120">
        <f>IF(OR(G601="",I601="",G601=0),"",I601-G601)</f>
        <v/>
      </c>
      <c r="K601" s="120">
        <f>IF(G601="","",IF(G601=0,"不適用",IF(I601="","待評核",IF(I601&gt;=G601,IF(I601&gt;G601,"超越","達標"),"待發展"))))</f>
        <v/>
      </c>
      <c r="L601" s="91" t="n"/>
      <c r="M601" s="91" t="n"/>
      <c r="N601" s="88" t="n"/>
    </row>
    <row r="602" ht="15.75" customHeight="1" s="64">
      <c r="A602" s="88" t="n"/>
      <c r="B602" s="120">
        <f t="array" ref="B602:B602">IF(A602="","",IFERROR(INDEX('3.員工名單'!$B:$B,MATCH(A602,'3.員工名單'!$A:$A,0)),"查無此員工"))</f>
        <v/>
      </c>
      <c r="C602" s="120">
        <f t="array" ref="C602:C602">IF(A602="","",IFERROR(INDEX('3.員工名單'!$C:$C,MATCH(A602,'3.員工名單'!$A:$A,0)),""))</f>
        <v/>
      </c>
      <c r="D602" s="120">
        <f t="array" ref="D602:D602">IF(A602="","",IFERROR(INDEX('3.員工名單'!$D:$D,MATCH(A602,'3.員工名單'!$A:$A,0)),""))</f>
        <v/>
      </c>
      <c r="E602" s="120">
        <f t="array" ref="E602:E602">IF(F602="","",IFERROR(INDEX('1.職能辭典'!$A:$A,MATCH(F602,'1.職能辭典'!$C:$C,0)),""))</f>
        <v/>
      </c>
      <c r="F602" s="94" t="n"/>
      <c r="G602" s="120">
        <f t="array" ref="G602:G602">IF(OR(D602="",F602=""),"",IFERROR(IF(AND(OR(INDEX('1.職能辭典'!$J:$J,MATCH(F602,'1.職能辭典'!$C:$C,0))="全部",INDEX('3.員工名單'!$H:$H,MATCH(A602,'3.員工名單'!$A:$A,0))="兩款共用",INDEX('3.員工名單'!$H:$H,MATCH(A602,'3.員工名單'!$A:$A,0))=INDEX('1.職能辭典'!$J:$J,MATCH(F602,'1.職能辭典'!$C:$C,0))),OR(INDEX('1.職能辭典'!$K:$K,MATCH(F602,'1.職能辭典'!$C:$C,0))="全部",SUMPRODUCT(ISNUMBER(SEARCH({"經營","管理","財務","企劃","營運","技術","數據","美術","測試","客服"},INDEX('3.員工名單'!$I:$I,MATCH(A602,'3.員工名單'!$A:$A,0))))*ISNUMBER(SEARCH({"經營","管理","財務","企劃","營運","技術","數據","美術","測試","客服"},INDEX('1.職能辭典'!$K:$K,MATCH(F602,'1.職能辭典'!$C:$C,0)))))&gt;0)),INDEX('2.職務職能需求'!$B$2:$F$28,MATCH(F602,'2.職務職能需求'!$A$2:$A$28,0),MATCH(D602,'2.職務職能需求'!$B$1:$F$1,0)),0),""))</f>
        <v/>
      </c>
      <c r="H602" s="94" t="n"/>
      <c r="I602" s="94" t="n"/>
      <c r="J602" s="120">
        <f>IF(OR(G602="",I602="",G602=0),"",I602-G602)</f>
        <v/>
      </c>
      <c r="K602" s="120">
        <f>IF(G602="","",IF(G602=0,"不適用",IF(I602="","待評核",IF(I602&gt;=G602,IF(I602&gt;G602,"超越","達標"),"待發展"))))</f>
        <v/>
      </c>
      <c r="L602" s="91" t="n"/>
      <c r="M602" s="91" t="n"/>
      <c r="N602" s="88" t="n"/>
    </row>
    <row r="603" ht="15.75" customHeight="1" s="64">
      <c r="A603" s="88" t="n"/>
      <c r="B603" s="120">
        <f t="array" ref="B603:B603">IF(A603="","",IFERROR(INDEX('3.員工名單'!$B:$B,MATCH(A603,'3.員工名單'!$A:$A,0)),"查無此員工"))</f>
        <v/>
      </c>
      <c r="C603" s="120">
        <f t="array" ref="C603:C603">IF(A603="","",IFERROR(INDEX('3.員工名單'!$C:$C,MATCH(A603,'3.員工名單'!$A:$A,0)),""))</f>
        <v/>
      </c>
      <c r="D603" s="120">
        <f t="array" ref="D603:D603">IF(A603="","",IFERROR(INDEX('3.員工名單'!$D:$D,MATCH(A603,'3.員工名單'!$A:$A,0)),""))</f>
        <v/>
      </c>
      <c r="E603" s="120">
        <f t="array" ref="E603:E603">IF(F603="","",IFERROR(INDEX('1.職能辭典'!$A:$A,MATCH(F603,'1.職能辭典'!$C:$C,0)),""))</f>
        <v/>
      </c>
      <c r="F603" s="94" t="n"/>
      <c r="G603" s="120">
        <f t="array" ref="G603:G603">IF(OR(D603="",F603=""),"",IFERROR(IF(AND(OR(INDEX('1.職能辭典'!$J:$J,MATCH(F603,'1.職能辭典'!$C:$C,0))="全部",INDEX('3.員工名單'!$H:$H,MATCH(A603,'3.員工名單'!$A:$A,0))="兩款共用",INDEX('3.員工名單'!$H:$H,MATCH(A603,'3.員工名單'!$A:$A,0))=INDEX('1.職能辭典'!$J:$J,MATCH(F603,'1.職能辭典'!$C:$C,0))),OR(INDEX('1.職能辭典'!$K:$K,MATCH(F603,'1.職能辭典'!$C:$C,0))="全部",SUMPRODUCT(ISNUMBER(SEARCH({"經營","管理","財務","企劃","營運","技術","數據","美術","測試","客服"},INDEX('3.員工名單'!$I:$I,MATCH(A603,'3.員工名單'!$A:$A,0))))*ISNUMBER(SEARCH({"經營","管理","財務","企劃","營運","技術","數據","美術","測試","客服"},INDEX('1.職能辭典'!$K:$K,MATCH(F603,'1.職能辭典'!$C:$C,0)))))&gt;0)),INDEX('2.職務職能需求'!$B$2:$F$28,MATCH(F603,'2.職務職能需求'!$A$2:$A$28,0),MATCH(D603,'2.職務職能需求'!$B$1:$F$1,0)),0),""))</f>
        <v/>
      </c>
      <c r="H603" s="94" t="n"/>
      <c r="I603" s="94" t="n"/>
      <c r="J603" s="120">
        <f>IF(OR(G603="",I603="",G603=0),"",I603-G603)</f>
        <v/>
      </c>
      <c r="K603" s="120">
        <f>IF(G603="","",IF(G603=0,"不適用",IF(I603="","待評核",IF(I603&gt;=G603,IF(I603&gt;G603,"超越","達標"),"待發展"))))</f>
        <v/>
      </c>
      <c r="L603" s="91" t="n"/>
      <c r="M603" s="91" t="n"/>
      <c r="N603" s="88" t="n"/>
    </row>
    <row r="604" ht="15.75" customHeight="1" s="64">
      <c r="A604" s="88" t="n"/>
      <c r="B604" s="120">
        <f t="array" ref="B604:B604">IF(A604="","",IFERROR(INDEX('3.員工名單'!$B:$B,MATCH(A604,'3.員工名單'!$A:$A,0)),"查無此員工"))</f>
        <v/>
      </c>
      <c r="C604" s="120">
        <f t="array" ref="C604:C604">IF(A604="","",IFERROR(INDEX('3.員工名單'!$C:$C,MATCH(A604,'3.員工名單'!$A:$A,0)),""))</f>
        <v/>
      </c>
      <c r="D604" s="120">
        <f t="array" ref="D604:D604">IF(A604="","",IFERROR(INDEX('3.員工名單'!$D:$D,MATCH(A604,'3.員工名單'!$A:$A,0)),""))</f>
        <v/>
      </c>
      <c r="E604" s="120">
        <f t="array" ref="E604:E604">IF(F604="","",IFERROR(INDEX('1.職能辭典'!$A:$A,MATCH(F604,'1.職能辭典'!$C:$C,0)),""))</f>
        <v/>
      </c>
      <c r="F604" s="94" t="n"/>
      <c r="G604" s="120">
        <f t="array" ref="G604:G604">IF(OR(D604="",F604=""),"",IFERROR(IF(AND(OR(INDEX('1.職能辭典'!$J:$J,MATCH(F604,'1.職能辭典'!$C:$C,0))="全部",INDEX('3.員工名單'!$H:$H,MATCH(A604,'3.員工名單'!$A:$A,0))="兩款共用",INDEX('3.員工名單'!$H:$H,MATCH(A604,'3.員工名單'!$A:$A,0))=INDEX('1.職能辭典'!$J:$J,MATCH(F604,'1.職能辭典'!$C:$C,0))),OR(INDEX('1.職能辭典'!$K:$K,MATCH(F604,'1.職能辭典'!$C:$C,0))="全部",SUMPRODUCT(ISNUMBER(SEARCH({"經營","管理","財務","企劃","營運","技術","數據","美術","測試","客服"},INDEX('3.員工名單'!$I:$I,MATCH(A604,'3.員工名單'!$A:$A,0))))*ISNUMBER(SEARCH({"經營","管理","財務","企劃","營運","技術","數據","美術","測試","客服"},INDEX('1.職能辭典'!$K:$K,MATCH(F604,'1.職能辭典'!$C:$C,0)))))&gt;0)),INDEX('2.職務職能需求'!$B$2:$F$28,MATCH(F604,'2.職務職能需求'!$A$2:$A$28,0),MATCH(D604,'2.職務職能需求'!$B$1:$F$1,0)),0),""))</f>
        <v/>
      </c>
      <c r="H604" s="94" t="n"/>
      <c r="I604" s="94" t="n"/>
      <c r="J604" s="120">
        <f>IF(OR(G604="",I604="",G604=0),"",I604-G604)</f>
        <v/>
      </c>
      <c r="K604" s="120">
        <f>IF(G604="","",IF(G604=0,"不適用",IF(I604="","待評核",IF(I604&gt;=G604,IF(I604&gt;G604,"超越","達標"),"待發展"))))</f>
        <v/>
      </c>
      <c r="L604" s="91" t="n"/>
      <c r="M604" s="91" t="n"/>
      <c r="N604" s="88" t="n"/>
    </row>
    <row r="605" ht="15.75" customHeight="1" s="64">
      <c r="A605" s="88" t="n"/>
      <c r="B605" s="120">
        <f t="array" ref="B605:B605">IF(A605="","",IFERROR(INDEX('3.員工名單'!$B:$B,MATCH(A605,'3.員工名單'!$A:$A,0)),"查無此員工"))</f>
        <v/>
      </c>
      <c r="C605" s="120">
        <f t="array" ref="C605:C605">IF(A605="","",IFERROR(INDEX('3.員工名單'!$C:$C,MATCH(A605,'3.員工名單'!$A:$A,0)),""))</f>
        <v/>
      </c>
      <c r="D605" s="120">
        <f t="array" ref="D605:D605">IF(A605="","",IFERROR(INDEX('3.員工名單'!$D:$D,MATCH(A605,'3.員工名單'!$A:$A,0)),""))</f>
        <v/>
      </c>
      <c r="E605" s="120">
        <f t="array" ref="E605:E605">IF(F605="","",IFERROR(INDEX('1.職能辭典'!$A:$A,MATCH(F605,'1.職能辭典'!$C:$C,0)),""))</f>
        <v/>
      </c>
      <c r="F605" s="94" t="n"/>
      <c r="G605" s="120">
        <f t="array" ref="G605:G605">IF(OR(D605="",F605=""),"",IFERROR(IF(AND(OR(INDEX('1.職能辭典'!$J:$J,MATCH(F605,'1.職能辭典'!$C:$C,0))="全部",INDEX('3.員工名單'!$H:$H,MATCH(A605,'3.員工名單'!$A:$A,0))="兩款共用",INDEX('3.員工名單'!$H:$H,MATCH(A605,'3.員工名單'!$A:$A,0))=INDEX('1.職能辭典'!$J:$J,MATCH(F605,'1.職能辭典'!$C:$C,0))),OR(INDEX('1.職能辭典'!$K:$K,MATCH(F605,'1.職能辭典'!$C:$C,0))="全部",SUMPRODUCT(ISNUMBER(SEARCH({"經營","管理","財務","企劃","營運","技術","數據","美術","測試","客服"},INDEX('3.員工名單'!$I:$I,MATCH(A605,'3.員工名單'!$A:$A,0))))*ISNUMBER(SEARCH({"經營","管理","財務","企劃","營運","技術","數據","美術","測試","客服"},INDEX('1.職能辭典'!$K:$K,MATCH(F605,'1.職能辭典'!$C:$C,0)))))&gt;0)),INDEX('2.職務職能需求'!$B$2:$F$28,MATCH(F605,'2.職務職能需求'!$A$2:$A$28,0),MATCH(D605,'2.職務職能需求'!$B$1:$F$1,0)),0),""))</f>
        <v/>
      </c>
      <c r="H605" s="94" t="n"/>
      <c r="I605" s="94" t="n"/>
      <c r="J605" s="120">
        <f>IF(OR(G605="",I605="",G605=0),"",I605-G605)</f>
        <v/>
      </c>
      <c r="K605" s="120">
        <f>IF(G605="","",IF(G605=0,"不適用",IF(I605="","待評核",IF(I605&gt;=G605,IF(I605&gt;G605,"超越","達標"),"待發展"))))</f>
        <v/>
      </c>
      <c r="L605" s="91" t="n"/>
      <c r="M605" s="91" t="n"/>
      <c r="N605" s="88" t="n"/>
    </row>
    <row r="606" ht="15.75" customHeight="1" s="64">
      <c r="A606" s="88" t="n"/>
      <c r="B606" s="120">
        <f t="array" ref="B606:B606">IF(A606="","",IFERROR(INDEX('3.員工名單'!$B:$B,MATCH(A606,'3.員工名單'!$A:$A,0)),"查無此員工"))</f>
        <v/>
      </c>
      <c r="C606" s="120">
        <f t="array" ref="C606:C606">IF(A606="","",IFERROR(INDEX('3.員工名單'!$C:$C,MATCH(A606,'3.員工名單'!$A:$A,0)),""))</f>
        <v/>
      </c>
      <c r="D606" s="120">
        <f t="array" ref="D606:D606">IF(A606="","",IFERROR(INDEX('3.員工名單'!$D:$D,MATCH(A606,'3.員工名單'!$A:$A,0)),""))</f>
        <v/>
      </c>
      <c r="E606" s="120">
        <f t="array" ref="E606:E606">IF(F606="","",IFERROR(INDEX('1.職能辭典'!$A:$A,MATCH(F606,'1.職能辭典'!$C:$C,0)),""))</f>
        <v/>
      </c>
      <c r="F606" s="94" t="n"/>
      <c r="G606" s="120">
        <f t="array" ref="G606:G606">IF(OR(D606="",F606=""),"",IFERROR(IF(AND(OR(INDEX('1.職能辭典'!$J:$J,MATCH(F606,'1.職能辭典'!$C:$C,0))="全部",INDEX('3.員工名單'!$H:$H,MATCH(A606,'3.員工名單'!$A:$A,0))="兩款共用",INDEX('3.員工名單'!$H:$H,MATCH(A606,'3.員工名單'!$A:$A,0))=INDEX('1.職能辭典'!$J:$J,MATCH(F606,'1.職能辭典'!$C:$C,0))),OR(INDEX('1.職能辭典'!$K:$K,MATCH(F606,'1.職能辭典'!$C:$C,0))="全部",SUMPRODUCT(ISNUMBER(SEARCH({"經營","管理","財務","企劃","營運","技術","數據","美術","測試","客服"},INDEX('3.員工名單'!$I:$I,MATCH(A606,'3.員工名單'!$A:$A,0))))*ISNUMBER(SEARCH({"經營","管理","財務","企劃","營運","技術","數據","美術","測試","客服"},INDEX('1.職能辭典'!$K:$K,MATCH(F606,'1.職能辭典'!$C:$C,0)))))&gt;0)),INDEX('2.職務職能需求'!$B$2:$F$28,MATCH(F606,'2.職務職能需求'!$A$2:$A$28,0),MATCH(D606,'2.職務職能需求'!$B$1:$F$1,0)),0),""))</f>
        <v/>
      </c>
      <c r="H606" s="94" t="n"/>
      <c r="I606" s="94" t="n"/>
      <c r="J606" s="120">
        <f>IF(OR(G606="",I606="",G606=0),"",I606-G606)</f>
        <v/>
      </c>
      <c r="K606" s="120">
        <f>IF(G606="","",IF(G606=0,"不適用",IF(I606="","待評核",IF(I606&gt;=G606,IF(I606&gt;G606,"超越","達標"),"待發展"))))</f>
        <v/>
      </c>
      <c r="L606" s="91" t="n"/>
      <c r="M606" s="91" t="n"/>
      <c r="N606" s="88" t="n"/>
    </row>
    <row r="607" ht="15.75" customHeight="1" s="64">
      <c r="A607" s="88" t="n"/>
      <c r="B607" s="120">
        <f t="array" ref="B607:B607">IF(A607="","",IFERROR(INDEX('3.員工名單'!$B:$B,MATCH(A607,'3.員工名單'!$A:$A,0)),"查無此員工"))</f>
        <v/>
      </c>
      <c r="C607" s="120">
        <f t="array" ref="C607:C607">IF(A607="","",IFERROR(INDEX('3.員工名單'!$C:$C,MATCH(A607,'3.員工名單'!$A:$A,0)),""))</f>
        <v/>
      </c>
      <c r="D607" s="120">
        <f t="array" ref="D607:D607">IF(A607="","",IFERROR(INDEX('3.員工名單'!$D:$D,MATCH(A607,'3.員工名單'!$A:$A,0)),""))</f>
        <v/>
      </c>
      <c r="E607" s="120">
        <f t="array" ref="E607:E607">IF(F607="","",IFERROR(INDEX('1.職能辭典'!$A:$A,MATCH(F607,'1.職能辭典'!$C:$C,0)),""))</f>
        <v/>
      </c>
      <c r="F607" s="94" t="n"/>
      <c r="G607" s="120">
        <f t="array" ref="G607:G607">IF(OR(D607="",F607=""),"",IFERROR(IF(AND(OR(INDEX('1.職能辭典'!$J:$J,MATCH(F607,'1.職能辭典'!$C:$C,0))="全部",INDEX('3.員工名單'!$H:$H,MATCH(A607,'3.員工名單'!$A:$A,0))="兩款共用",INDEX('3.員工名單'!$H:$H,MATCH(A607,'3.員工名單'!$A:$A,0))=INDEX('1.職能辭典'!$J:$J,MATCH(F607,'1.職能辭典'!$C:$C,0))),OR(INDEX('1.職能辭典'!$K:$K,MATCH(F607,'1.職能辭典'!$C:$C,0))="全部",SUMPRODUCT(ISNUMBER(SEARCH({"經營","管理","財務","企劃","營運","技術","數據","美術","測試","客服"},INDEX('3.員工名單'!$I:$I,MATCH(A607,'3.員工名單'!$A:$A,0))))*ISNUMBER(SEARCH({"經營","管理","財務","企劃","營運","技術","數據","美術","測試","客服"},INDEX('1.職能辭典'!$K:$K,MATCH(F607,'1.職能辭典'!$C:$C,0)))))&gt;0)),INDEX('2.職務職能需求'!$B$2:$F$28,MATCH(F607,'2.職務職能需求'!$A$2:$A$28,0),MATCH(D607,'2.職務職能需求'!$B$1:$F$1,0)),0),""))</f>
        <v/>
      </c>
      <c r="H607" s="94" t="n"/>
      <c r="I607" s="94" t="n"/>
      <c r="J607" s="120">
        <f>IF(OR(G607="",I607="",G607=0),"",I607-G607)</f>
        <v/>
      </c>
      <c r="K607" s="120">
        <f>IF(G607="","",IF(G607=0,"不適用",IF(I607="","待評核",IF(I607&gt;=G607,IF(I607&gt;G607,"超越","達標"),"待發展"))))</f>
        <v/>
      </c>
      <c r="L607" s="91" t="n"/>
      <c r="M607" s="91" t="n"/>
      <c r="N607" s="88" t="n"/>
    </row>
    <row r="608" ht="15.75" customHeight="1" s="64">
      <c r="A608" s="88" t="n"/>
      <c r="B608" s="120">
        <f t="array" ref="B608:B608">IF(A608="","",IFERROR(INDEX('3.員工名單'!$B:$B,MATCH(A608,'3.員工名單'!$A:$A,0)),"查無此員工"))</f>
        <v/>
      </c>
      <c r="C608" s="120">
        <f t="array" ref="C608:C608">IF(A608="","",IFERROR(INDEX('3.員工名單'!$C:$C,MATCH(A608,'3.員工名單'!$A:$A,0)),""))</f>
        <v/>
      </c>
      <c r="D608" s="120">
        <f t="array" ref="D608:D608">IF(A608="","",IFERROR(INDEX('3.員工名單'!$D:$D,MATCH(A608,'3.員工名單'!$A:$A,0)),""))</f>
        <v/>
      </c>
      <c r="E608" s="120">
        <f t="array" ref="E608:E608">IF(F608="","",IFERROR(INDEX('1.職能辭典'!$A:$A,MATCH(F608,'1.職能辭典'!$C:$C,0)),""))</f>
        <v/>
      </c>
      <c r="F608" s="94" t="n"/>
      <c r="G608" s="120">
        <f t="array" ref="G608:G608">IF(OR(D608="",F608=""),"",IFERROR(IF(AND(OR(INDEX('1.職能辭典'!$J:$J,MATCH(F608,'1.職能辭典'!$C:$C,0))="全部",INDEX('3.員工名單'!$H:$H,MATCH(A608,'3.員工名單'!$A:$A,0))="兩款共用",INDEX('3.員工名單'!$H:$H,MATCH(A608,'3.員工名單'!$A:$A,0))=INDEX('1.職能辭典'!$J:$J,MATCH(F608,'1.職能辭典'!$C:$C,0))),OR(INDEX('1.職能辭典'!$K:$K,MATCH(F608,'1.職能辭典'!$C:$C,0))="全部",SUMPRODUCT(ISNUMBER(SEARCH({"經營","管理","財務","企劃","營運","技術","數據","美術","測試","客服"},INDEX('3.員工名單'!$I:$I,MATCH(A608,'3.員工名單'!$A:$A,0))))*ISNUMBER(SEARCH({"經營","管理","財務","企劃","營運","技術","數據","美術","測試","客服"},INDEX('1.職能辭典'!$K:$K,MATCH(F608,'1.職能辭典'!$C:$C,0)))))&gt;0)),INDEX('2.職務職能需求'!$B$2:$F$28,MATCH(F608,'2.職務職能需求'!$A$2:$A$28,0),MATCH(D608,'2.職務職能需求'!$B$1:$F$1,0)),0),""))</f>
        <v/>
      </c>
      <c r="H608" s="94" t="n"/>
      <c r="I608" s="94" t="n"/>
      <c r="J608" s="120">
        <f>IF(OR(G608="",I608="",G608=0),"",I608-G608)</f>
        <v/>
      </c>
      <c r="K608" s="120">
        <f>IF(G608="","",IF(G608=0,"不適用",IF(I608="","待評核",IF(I608&gt;=G608,IF(I608&gt;G608,"超越","達標"),"待發展"))))</f>
        <v/>
      </c>
      <c r="L608" s="91" t="n"/>
      <c r="M608" s="91" t="n"/>
      <c r="N608" s="88" t="n"/>
    </row>
    <row r="609" ht="15.75" customHeight="1" s="64">
      <c r="A609" s="88" t="n"/>
      <c r="B609" s="120">
        <f t="array" ref="B609:B609">IF(A609="","",IFERROR(INDEX('3.員工名單'!$B:$B,MATCH(A609,'3.員工名單'!$A:$A,0)),"查無此員工"))</f>
        <v/>
      </c>
      <c r="C609" s="120">
        <f t="array" ref="C609:C609">IF(A609="","",IFERROR(INDEX('3.員工名單'!$C:$C,MATCH(A609,'3.員工名單'!$A:$A,0)),""))</f>
        <v/>
      </c>
      <c r="D609" s="120">
        <f t="array" ref="D609:D609">IF(A609="","",IFERROR(INDEX('3.員工名單'!$D:$D,MATCH(A609,'3.員工名單'!$A:$A,0)),""))</f>
        <v/>
      </c>
      <c r="E609" s="120">
        <f t="array" ref="E609:E609">IF(F609="","",IFERROR(INDEX('1.職能辭典'!$A:$A,MATCH(F609,'1.職能辭典'!$C:$C,0)),""))</f>
        <v/>
      </c>
      <c r="F609" s="94" t="n"/>
      <c r="G609" s="120">
        <f t="array" ref="G609:G609">IF(OR(D609="",F609=""),"",IFERROR(IF(AND(OR(INDEX('1.職能辭典'!$J:$J,MATCH(F609,'1.職能辭典'!$C:$C,0))="全部",INDEX('3.員工名單'!$H:$H,MATCH(A609,'3.員工名單'!$A:$A,0))="兩款共用",INDEX('3.員工名單'!$H:$H,MATCH(A609,'3.員工名單'!$A:$A,0))=INDEX('1.職能辭典'!$J:$J,MATCH(F609,'1.職能辭典'!$C:$C,0))),OR(INDEX('1.職能辭典'!$K:$K,MATCH(F609,'1.職能辭典'!$C:$C,0))="全部",SUMPRODUCT(ISNUMBER(SEARCH({"經營","管理","財務","企劃","營運","技術","數據","美術","測試","客服"},INDEX('3.員工名單'!$I:$I,MATCH(A609,'3.員工名單'!$A:$A,0))))*ISNUMBER(SEARCH({"經營","管理","財務","企劃","營運","技術","數據","美術","測試","客服"},INDEX('1.職能辭典'!$K:$K,MATCH(F609,'1.職能辭典'!$C:$C,0)))))&gt;0)),INDEX('2.職務職能需求'!$B$2:$F$28,MATCH(F609,'2.職務職能需求'!$A$2:$A$28,0),MATCH(D609,'2.職務職能需求'!$B$1:$F$1,0)),0),""))</f>
        <v/>
      </c>
      <c r="H609" s="94" t="n"/>
      <c r="I609" s="94" t="n"/>
      <c r="J609" s="120">
        <f>IF(OR(G609="",I609="",G609=0),"",I609-G609)</f>
        <v/>
      </c>
      <c r="K609" s="120">
        <f>IF(G609="","",IF(G609=0,"不適用",IF(I609="","待評核",IF(I609&gt;=G609,IF(I609&gt;G609,"超越","達標"),"待發展"))))</f>
        <v/>
      </c>
      <c r="L609" s="91" t="n"/>
      <c r="M609" s="91" t="n"/>
      <c r="N609" s="88" t="n"/>
    </row>
    <row r="610" ht="15.75" customHeight="1" s="64">
      <c r="A610" s="88" t="n"/>
      <c r="B610" s="120">
        <f t="array" ref="B610:B610">IF(A610="","",IFERROR(INDEX('3.員工名單'!$B:$B,MATCH(A610,'3.員工名單'!$A:$A,0)),"查無此員工"))</f>
        <v/>
      </c>
      <c r="C610" s="120">
        <f t="array" ref="C610:C610">IF(A610="","",IFERROR(INDEX('3.員工名單'!$C:$C,MATCH(A610,'3.員工名單'!$A:$A,0)),""))</f>
        <v/>
      </c>
      <c r="D610" s="120">
        <f t="array" ref="D610:D610">IF(A610="","",IFERROR(INDEX('3.員工名單'!$D:$D,MATCH(A610,'3.員工名單'!$A:$A,0)),""))</f>
        <v/>
      </c>
      <c r="E610" s="120">
        <f t="array" ref="E610:E610">IF(F610="","",IFERROR(INDEX('1.職能辭典'!$A:$A,MATCH(F610,'1.職能辭典'!$C:$C,0)),""))</f>
        <v/>
      </c>
      <c r="F610" s="94" t="n"/>
      <c r="G610" s="120">
        <f t="array" ref="G610:G610">IF(OR(D610="",F610=""),"",IFERROR(IF(AND(OR(INDEX('1.職能辭典'!$J:$J,MATCH(F610,'1.職能辭典'!$C:$C,0))="全部",INDEX('3.員工名單'!$H:$H,MATCH(A610,'3.員工名單'!$A:$A,0))="兩款共用",INDEX('3.員工名單'!$H:$H,MATCH(A610,'3.員工名單'!$A:$A,0))=INDEX('1.職能辭典'!$J:$J,MATCH(F610,'1.職能辭典'!$C:$C,0))),OR(INDEX('1.職能辭典'!$K:$K,MATCH(F610,'1.職能辭典'!$C:$C,0))="全部",SUMPRODUCT(ISNUMBER(SEARCH({"經營","管理","財務","企劃","營運","技術","數據","美術","測試","客服"},INDEX('3.員工名單'!$I:$I,MATCH(A610,'3.員工名單'!$A:$A,0))))*ISNUMBER(SEARCH({"經營","管理","財務","企劃","營運","技術","數據","美術","測試","客服"},INDEX('1.職能辭典'!$K:$K,MATCH(F610,'1.職能辭典'!$C:$C,0)))))&gt;0)),INDEX('2.職務職能需求'!$B$2:$F$28,MATCH(F610,'2.職務職能需求'!$A$2:$A$28,0),MATCH(D610,'2.職務職能需求'!$B$1:$F$1,0)),0),""))</f>
        <v/>
      </c>
      <c r="H610" s="94" t="n"/>
      <c r="I610" s="94" t="n"/>
      <c r="J610" s="120">
        <f>IF(OR(G610="",I610="",G610=0),"",I610-G610)</f>
        <v/>
      </c>
      <c r="K610" s="120">
        <f>IF(G610="","",IF(G610=0,"不適用",IF(I610="","待評核",IF(I610&gt;=G610,IF(I610&gt;G610,"超越","達標"),"待發展"))))</f>
        <v/>
      </c>
      <c r="L610" s="91" t="n"/>
      <c r="M610" s="91" t="n"/>
      <c r="N610" s="88" t="n"/>
    </row>
    <row r="611" ht="15.75" customHeight="1" s="64">
      <c r="A611" s="88" t="n"/>
      <c r="B611" s="120">
        <f t="array" ref="B611:B611">IF(A611="","",IFERROR(INDEX('3.員工名單'!$B:$B,MATCH(A611,'3.員工名單'!$A:$A,0)),"查無此員工"))</f>
        <v/>
      </c>
      <c r="C611" s="120">
        <f t="array" ref="C611:C611">IF(A611="","",IFERROR(INDEX('3.員工名單'!$C:$C,MATCH(A611,'3.員工名單'!$A:$A,0)),""))</f>
        <v/>
      </c>
      <c r="D611" s="120">
        <f t="array" ref="D611:D611">IF(A611="","",IFERROR(INDEX('3.員工名單'!$D:$D,MATCH(A611,'3.員工名單'!$A:$A,0)),""))</f>
        <v/>
      </c>
      <c r="E611" s="120">
        <f t="array" ref="E611:E611">IF(F611="","",IFERROR(INDEX('1.職能辭典'!$A:$A,MATCH(F611,'1.職能辭典'!$C:$C,0)),""))</f>
        <v/>
      </c>
      <c r="F611" s="94" t="n"/>
      <c r="G611" s="120">
        <f t="array" ref="G611:G611">IF(OR(D611="",F611=""),"",IFERROR(IF(AND(OR(INDEX('1.職能辭典'!$J:$J,MATCH(F611,'1.職能辭典'!$C:$C,0))="全部",INDEX('3.員工名單'!$H:$H,MATCH(A611,'3.員工名單'!$A:$A,0))="兩款共用",INDEX('3.員工名單'!$H:$H,MATCH(A611,'3.員工名單'!$A:$A,0))=INDEX('1.職能辭典'!$J:$J,MATCH(F611,'1.職能辭典'!$C:$C,0))),OR(INDEX('1.職能辭典'!$K:$K,MATCH(F611,'1.職能辭典'!$C:$C,0))="全部",SUMPRODUCT(ISNUMBER(SEARCH({"經營","管理","財務","企劃","營運","技術","數據","美術","測試","客服"},INDEX('3.員工名單'!$I:$I,MATCH(A611,'3.員工名單'!$A:$A,0))))*ISNUMBER(SEARCH({"經營","管理","財務","企劃","營運","技術","數據","美術","測試","客服"},INDEX('1.職能辭典'!$K:$K,MATCH(F611,'1.職能辭典'!$C:$C,0)))))&gt;0)),INDEX('2.職務職能需求'!$B$2:$F$28,MATCH(F611,'2.職務職能需求'!$A$2:$A$28,0),MATCH(D611,'2.職務職能需求'!$B$1:$F$1,0)),0),""))</f>
        <v/>
      </c>
      <c r="H611" s="94" t="n"/>
      <c r="I611" s="94" t="n"/>
      <c r="J611" s="120">
        <f>IF(OR(G611="",I611="",G611=0),"",I611-G611)</f>
        <v/>
      </c>
      <c r="K611" s="120">
        <f>IF(G611="","",IF(G611=0,"不適用",IF(I611="","待評核",IF(I611&gt;=G611,IF(I611&gt;G611,"超越","達標"),"待發展"))))</f>
        <v/>
      </c>
      <c r="L611" s="91" t="n"/>
      <c r="M611" s="91" t="n"/>
      <c r="N611" s="88" t="n"/>
    </row>
    <row r="612" ht="15.75" customHeight="1" s="64">
      <c r="A612" s="88" t="n"/>
      <c r="B612" s="120">
        <f t="array" ref="B612:B612">IF(A612="","",IFERROR(INDEX('3.員工名單'!$B:$B,MATCH(A612,'3.員工名單'!$A:$A,0)),"查無此員工"))</f>
        <v/>
      </c>
      <c r="C612" s="120">
        <f t="array" ref="C612:C612">IF(A612="","",IFERROR(INDEX('3.員工名單'!$C:$C,MATCH(A612,'3.員工名單'!$A:$A,0)),""))</f>
        <v/>
      </c>
      <c r="D612" s="120">
        <f t="array" ref="D612:D612">IF(A612="","",IFERROR(INDEX('3.員工名單'!$D:$D,MATCH(A612,'3.員工名單'!$A:$A,0)),""))</f>
        <v/>
      </c>
      <c r="E612" s="120">
        <f t="array" ref="E612:E612">IF(F612="","",IFERROR(INDEX('1.職能辭典'!$A:$A,MATCH(F612,'1.職能辭典'!$C:$C,0)),""))</f>
        <v/>
      </c>
      <c r="F612" s="94" t="n"/>
      <c r="G612" s="120">
        <f t="array" ref="G612:G612">IF(OR(D612="",F612=""),"",IFERROR(IF(AND(OR(INDEX('1.職能辭典'!$J:$J,MATCH(F612,'1.職能辭典'!$C:$C,0))="全部",INDEX('3.員工名單'!$H:$H,MATCH(A612,'3.員工名單'!$A:$A,0))="兩款共用",INDEX('3.員工名單'!$H:$H,MATCH(A612,'3.員工名單'!$A:$A,0))=INDEX('1.職能辭典'!$J:$J,MATCH(F612,'1.職能辭典'!$C:$C,0))),OR(INDEX('1.職能辭典'!$K:$K,MATCH(F612,'1.職能辭典'!$C:$C,0))="全部",SUMPRODUCT(ISNUMBER(SEARCH({"經營","管理","財務","企劃","營運","技術","數據","美術","測試","客服"},INDEX('3.員工名單'!$I:$I,MATCH(A612,'3.員工名單'!$A:$A,0))))*ISNUMBER(SEARCH({"經營","管理","財務","企劃","營運","技術","數據","美術","測試","客服"},INDEX('1.職能辭典'!$K:$K,MATCH(F612,'1.職能辭典'!$C:$C,0)))))&gt;0)),INDEX('2.職務職能需求'!$B$2:$F$28,MATCH(F612,'2.職務職能需求'!$A$2:$A$28,0),MATCH(D612,'2.職務職能需求'!$B$1:$F$1,0)),0),""))</f>
        <v/>
      </c>
      <c r="H612" s="94" t="n"/>
      <c r="I612" s="94" t="n"/>
      <c r="J612" s="120">
        <f>IF(OR(G612="",I612="",G612=0),"",I612-G612)</f>
        <v/>
      </c>
      <c r="K612" s="120">
        <f>IF(G612="","",IF(G612=0,"不適用",IF(I612="","待評核",IF(I612&gt;=G612,IF(I612&gt;G612,"超越","達標"),"待發展"))))</f>
        <v/>
      </c>
      <c r="L612" s="91" t="n"/>
      <c r="M612" s="91" t="n"/>
      <c r="N612" s="88" t="n"/>
    </row>
    <row r="613" ht="15.75" customHeight="1" s="64">
      <c r="A613" s="88" t="n"/>
      <c r="B613" s="120">
        <f t="array" ref="B613:B613">IF(A613="","",IFERROR(INDEX('3.員工名單'!$B:$B,MATCH(A613,'3.員工名單'!$A:$A,0)),"查無此員工"))</f>
        <v/>
      </c>
      <c r="C613" s="120">
        <f t="array" ref="C613:C613">IF(A613="","",IFERROR(INDEX('3.員工名單'!$C:$C,MATCH(A613,'3.員工名單'!$A:$A,0)),""))</f>
        <v/>
      </c>
      <c r="D613" s="120">
        <f t="array" ref="D613:D613">IF(A613="","",IFERROR(INDEX('3.員工名單'!$D:$D,MATCH(A613,'3.員工名單'!$A:$A,0)),""))</f>
        <v/>
      </c>
      <c r="E613" s="120">
        <f t="array" ref="E613:E613">IF(F613="","",IFERROR(INDEX('1.職能辭典'!$A:$A,MATCH(F613,'1.職能辭典'!$C:$C,0)),""))</f>
        <v/>
      </c>
      <c r="F613" s="94" t="n"/>
      <c r="G613" s="120">
        <f t="array" ref="G613:G613">IF(OR(D613="",F613=""),"",IFERROR(IF(AND(OR(INDEX('1.職能辭典'!$J:$J,MATCH(F613,'1.職能辭典'!$C:$C,0))="全部",INDEX('3.員工名單'!$H:$H,MATCH(A613,'3.員工名單'!$A:$A,0))="兩款共用",INDEX('3.員工名單'!$H:$H,MATCH(A613,'3.員工名單'!$A:$A,0))=INDEX('1.職能辭典'!$J:$J,MATCH(F613,'1.職能辭典'!$C:$C,0))),OR(INDEX('1.職能辭典'!$K:$K,MATCH(F613,'1.職能辭典'!$C:$C,0))="全部",SUMPRODUCT(ISNUMBER(SEARCH({"經營","管理","財務","企劃","營運","技術","數據","美術","測試","客服"},INDEX('3.員工名單'!$I:$I,MATCH(A613,'3.員工名單'!$A:$A,0))))*ISNUMBER(SEARCH({"經營","管理","財務","企劃","營運","技術","數據","美術","測試","客服"},INDEX('1.職能辭典'!$K:$K,MATCH(F613,'1.職能辭典'!$C:$C,0)))))&gt;0)),INDEX('2.職務職能需求'!$B$2:$F$28,MATCH(F613,'2.職務職能需求'!$A$2:$A$28,0),MATCH(D613,'2.職務職能需求'!$B$1:$F$1,0)),0),""))</f>
        <v/>
      </c>
      <c r="H613" s="94" t="n"/>
      <c r="I613" s="94" t="n"/>
      <c r="J613" s="120">
        <f>IF(OR(G613="",I613="",G613=0),"",I613-G613)</f>
        <v/>
      </c>
      <c r="K613" s="120">
        <f>IF(G613="","",IF(G613=0,"不適用",IF(I613="","待評核",IF(I613&gt;=G613,IF(I613&gt;G613,"超越","達標"),"待發展"))))</f>
        <v/>
      </c>
      <c r="L613" s="91" t="n"/>
      <c r="M613" s="91" t="n"/>
      <c r="N613" s="88" t="n"/>
    </row>
    <row r="614" ht="15.75" customHeight="1" s="64">
      <c r="A614" s="88" t="n"/>
      <c r="B614" s="120">
        <f t="array" ref="B614:B614">IF(A614="","",IFERROR(INDEX('3.員工名單'!$B:$B,MATCH(A614,'3.員工名單'!$A:$A,0)),"查無此員工"))</f>
        <v/>
      </c>
      <c r="C614" s="120">
        <f t="array" ref="C614:C614">IF(A614="","",IFERROR(INDEX('3.員工名單'!$C:$C,MATCH(A614,'3.員工名單'!$A:$A,0)),""))</f>
        <v/>
      </c>
      <c r="D614" s="120">
        <f t="array" ref="D614:D614">IF(A614="","",IFERROR(INDEX('3.員工名單'!$D:$D,MATCH(A614,'3.員工名單'!$A:$A,0)),""))</f>
        <v/>
      </c>
      <c r="E614" s="120">
        <f t="array" ref="E614:E614">IF(F614="","",IFERROR(INDEX('1.職能辭典'!$A:$A,MATCH(F614,'1.職能辭典'!$C:$C,0)),""))</f>
        <v/>
      </c>
      <c r="F614" s="94" t="n"/>
      <c r="G614" s="120">
        <f t="array" ref="G614:G614">IF(OR(D614="",F614=""),"",IFERROR(IF(AND(OR(INDEX('1.職能辭典'!$J:$J,MATCH(F614,'1.職能辭典'!$C:$C,0))="全部",INDEX('3.員工名單'!$H:$H,MATCH(A614,'3.員工名單'!$A:$A,0))="兩款共用",INDEX('3.員工名單'!$H:$H,MATCH(A614,'3.員工名單'!$A:$A,0))=INDEX('1.職能辭典'!$J:$J,MATCH(F614,'1.職能辭典'!$C:$C,0))),OR(INDEX('1.職能辭典'!$K:$K,MATCH(F614,'1.職能辭典'!$C:$C,0))="全部",SUMPRODUCT(ISNUMBER(SEARCH({"經營","管理","財務","企劃","營運","技術","數據","美術","測試","客服"},INDEX('3.員工名單'!$I:$I,MATCH(A614,'3.員工名單'!$A:$A,0))))*ISNUMBER(SEARCH({"經營","管理","財務","企劃","營運","技術","數據","美術","測試","客服"},INDEX('1.職能辭典'!$K:$K,MATCH(F614,'1.職能辭典'!$C:$C,0)))))&gt;0)),INDEX('2.職務職能需求'!$B$2:$F$28,MATCH(F614,'2.職務職能需求'!$A$2:$A$28,0),MATCH(D614,'2.職務職能需求'!$B$1:$F$1,0)),0),""))</f>
        <v/>
      </c>
      <c r="H614" s="94" t="n"/>
      <c r="I614" s="94" t="n"/>
      <c r="J614" s="120">
        <f>IF(OR(G614="",I614="",G614=0),"",I614-G614)</f>
        <v/>
      </c>
      <c r="K614" s="120">
        <f>IF(G614="","",IF(G614=0,"不適用",IF(I614="","待評核",IF(I614&gt;=G614,IF(I614&gt;G614,"超越","達標"),"待發展"))))</f>
        <v/>
      </c>
      <c r="L614" s="91" t="n"/>
      <c r="M614" s="91" t="n"/>
      <c r="N614" s="88" t="n"/>
    </row>
    <row r="615" ht="15.75" customHeight="1" s="64">
      <c r="A615" s="88" t="n"/>
      <c r="B615" s="120">
        <f t="array" ref="B615:B615">IF(A615="","",IFERROR(INDEX('3.員工名單'!$B:$B,MATCH(A615,'3.員工名單'!$A:$A,0)),"查無此員工"))</f>
        <v/>
      </c>
      <c r="C615" s="120">
        <f t="array" ref="C615:C615">IF(A615="","",IFERROR(INDEX('3.員工名單'!$C:$C,MATCH(A615,'3.員工名單'!$A:$A,0)),""))</f>
        <v/>
      </c>
      <c r="D615" s="120">
        <f t="array" ref="D615:D615">IF(A615="","",IFERROR(INDEX('3.員工名單'!$D:$D,MATCH(A615,'3.員工名單'!$A:$A,0)),""))</f>
        <v/>
      </c>
      <c r="E615" s="120">
        <f t="array" ref="E615:E615">IF(F615="","",IFERROR(INDEX('1.職能辭典'!$A:$A,MATCH(F615,'1.職能辭典'!$C:$C,0)),""))</f>
        <v/>
      </c>
      <c r="F615" s="94" t="n"/>
      <c r="G615" s="120">
        <f t="array" ref="G615:G615">IF(OR(D615="",F615=""),"",IFERROR(IF(AND(OR(INDEX('1.職能辭典'!$J:$J,MATCH(F615,'1.職能辭典'!$C:$C,0))="全部",INDEX('3.員工名單'!$H:$H,MATCH(A615,'3.員工名單'!$A:$A,0))="兩款共用",INDEX('3.員工名單'!$H:$H,MATCH(A615,'3.員工名單'!$A:$A,0))=INDEX('1.職能辭典'!$J:$J,MATCH(F615,'1.職能辭典'!$C:$C,0))),OR(INDEX('1.職能辭典'!$K:$K,MATCH(F615,'1.職能辭典'!$C:$C,0))="全部",SUMPRODUCT(ISNUMBER(SEARCH({"經營","管理","財務","企劃","營運","技術","數據","美術","測試","客服"},INDEX('3.員工名單'!$I:$I,MATCH(A615,'3.員工名單'!$A:$A,0))))*ISNUMBER(SEARCH({"經營","管理","財務","企劃","營運","技術","數據","美術","測試","客服"},INDEX('1.職能辭典'!$K:$K,MATCH(F615,'1.職能辭典'!$C:$C,0)))))&gt;0)),INDEX('2.職務職能需求'!$B$2:$F$28,MATCH(F615,'2.職務職能需求'!$A$2:$A$28,0),MATCH(D615,'2.職務職能需求'!$B$1:$F$1,0)),0),""))</f>
        <v/>
      </c>
      <c r="H615" s="94" t="n"/>
      <c r="I615" s="94" t="n"/>
      <c r="J615" s="120">
        <f>IF(OR(G615="",I615="",G615=0),"",I615-G615)</f>
        <v/>
      </c>
      <c r="K615" s="120">
        <f>IF(G615="","",IF(G615=0,"不適用",IF(I615="","待評核",IF(I615&gt;=G615,IF(I615&gt;G615,"超越","達標"),"待發展"))))</f>
        <v/>
      </c>
      <c r="L615" s="91" t="n"/>
      <c r="M615" s="91" t="n"/>
      <c r="N615" s="88" t="n"/>
    </row>
    <row r="616" ht="15.75" customHeight="1" s="64">
      <c r="A616" s="88" t="n"/>
      <c r="B616" s="120">
        <f t="array" ref="B616:B616">IF(A616="","",IFERROR(INDEX('3.員工名單'!$B:$B,MATCH(A616,'3.員工名單'!$A:$A,0)),"查無此員工"))</f>
        <v/>
      </c>
      <c r="C616" s="120">
        <f t="array" ref="C616:C616">IF(A616="","",IFERROR(INDEX('3.員工名單'!$C:$C,MATCH(A616,'3.員工名單'!$A:$A,0)),""))</f>
        <v/>
      </c>
      <c r="D616" s="120">
        <f t="array" ref="D616:D616">IF(A616="","",IFERROR(INDEX('3.員工名單'!$D:$D,MATCH(A616,'3.員工名單'!$A:$A,0)),""))</f>
        <v/>
      </c>
      <c r="E616" s="120">
        <f t="array" ref="E616:E616">IF(F616="","",IFERROR(INDEX('1.職能辭典'!$A:$A,MATCH(F616,'1.職能辭典'!$C:$C,0)),""))</f>
        <v/>
      </c>
      <c r="F616" s="94" t="n"/>
      <c r="G616" s="120">
        <f t="array" ref="G616:G616">IF(OR(D616="",F616=""),"",IFERROR(IF(AND(OR(INDEX('1.職能辭典'!$J:$J,MATCH(F616,'1.職能辭典'!$C:$C,0))="全部",INDEX('3.員工名單'!$H:$H,MATCH(A616,'3.員工名單'!$A:$A,0))="兩款共用",INDEX('3.員工名單'!$H:$H,MATCH(A616,'3.員工名單'!$A:$A,0))=INDEX('1.職能辭典'!$J:$J,MATCH(F616,'1.職能辭典'!$C:$C,0))),OR(INDEX('1.職能辭典'!$K:$K,MATCH(F616,'1.職能辭典'!$C:$C,0))="全部",SUMPRODUCT(ISNUMBER(SEARCH({"經營","管理","財務","企劃","營運","技術","數據","美術","測試","客服"},INDEX('3.員工名單'!$I:$I,MATCH(A616,'3.員工名單'!$A:$A,0))))*ISNUMBER(SEARCH({"經營","管理","財務","企劃","營運","技術","數據","美術","測試","客服"},INDEX('1.職能辭典'!$K:$K,MATCH(F616,'1.職能辭典'!$C:$C,0)))))&gt;0)),INDEX('2.職務職能需求'!$B$2:$F$28,MATCH(F616,'2.職務職能需求'!$A$2:$A$28,0),MATCH(D616,'2.職務職能需求'!$B$1:$F$1,0)),0),""))</f>
        <v/>
      </c>
      <c r="H616" s="94" t="n"/>
      <c r="I616" s="94" t="n"/>
      <c r="J616" s="120">
        <f>IF(OR(G616="",I616="",G616=0),"",I616-G616)</f>
        <v/>
      </c>
      <c r="K616" s="120">
        <f>IF(G616="","",IF(G616=0,"不適用",IF(I616="","待評核",IF(I616&gt;=G616,IF(I616&gt;G616,"超越","達標"),"待發展"))))</f>
        <v/>
      </c>
      <c r="L616" s="91" t="n"/>
      <c r="M616" s="91" t="n"/>
      <c r="N616" s="88" t="n"/>
    </row>
    <row r="617" ht="15.75" customHeight="1" s="64">
      <c r="A617" s="88" t="n"/>
      <c r="B617" s="120">
        <f t="array" ref="B617:B617">IF(A617="","",IFERROR(INDEX('3.員工名單'!$B:$B,MATCH(A617,'3.員工名單'!$A:$A,0)),"查無此員工"))</f>
        <v/>
      </c>
      <c r="C617" s="120">
        <f t="array" ref="C617:C617">IF(A617="","",IFERROR(INDEX('3.員工名單'!$C:$C,MATCH(A617,'3.員工名單'!$A:$A,0)),""))</f>
        <v/>
      </c>
      <c r="D617" s="120">
        <f t="array" ref="D617:D617">IF(A617="","",IFERROR(INDEX('3.員工名單'!$D:$D,MATCH(A617,'3.員工名單'!$A:$A,0)),""))</f>
        <v/>
      </c>
      <c r="E617" s="120">
        <f t="array" ref="E617:E617">IF(F617="","",IFERROR(INDEX('1.職能辭典'!$A:$A,MATCH(F617,'1.職能辭典'!$C:$C,0)),""))</f>
        <v/>
      </c>
      <c r="F617" s="94" t="n"/>
      <c r="G617" s="120">
        <f t="array" ref="G617:G617">IF(OR(D617="",F617=""),"",IFERROR(IF(AND(OR(INDEX('1.職能辭典'!$J:$J,MATCH(F617,'1.職能辭典'!$C:$C,0))="全部",INDEX('3.員工名單'!$H:$H,MATCH(A617,'3.員工名單'!$A:$A,0))="兩款共用",INDEX('3.員工名單'!$H:$H,MATCH(A617,'3.員工名單'!$A:$A,0))=INDEX('1.職能辭典'!$J:$J,MATCH(F617,'1.職能辭典'!$C:$C,0))),OR(INDEX('1.職能辭典'!$K:$K,MATCH(F617,'1.職能辭典'!$C:$C,0))="全部",SUMPRODUCT(ISNUMBER(SEARCH({"經營","管理","財務","企劃","營運","技術","數據","美術","測試","客服"},INDEX('3.員工名單'!$I:$I,MATCH(A617,'3.員工名單'!$A:$A,0))))*ISNUMBER(SEARCH({"經營","管理","財務","企劃","營運","技術","數據","美術","測試","客服"},INDEX('1.職能辭典'!$K:$K,MATCH(F617,'1.職能辭典'!$C:$C,0)))))&gt;0)),INDEX('2.職務職能需求'!$B$2:$F$28,MATCH(F617,'2.職務職能需求'!$A$2:$A$28,0),MATCH(D617,'2.職務職能需求'!$B$1:$F$1,0)),0),""))</f>
        <v/>
      </c>
      <c r="H617" s="94" t="n"/>
      <c r="I617" s="94" t="n"/>
      <c r="J617" s="120">
        <f>IF(OR(G617="",I617="",G617=0),"",I617-G617)</f>
        <v/>
      </c>
      <c r="K617" s="120">
        <f>IF(G617="","",IF(G617=0,"不適用",IF(I617="","待評核",IF(I617&gt;=G617,IF(I617&gt;G617,"超越","達標"),"待發展"))))</f>
        <v/>
      </c>
      <c r="L617" s="91" t="n"/>
      <c r="M617" s="91" t="n"/>
      <c r="N617" s="88" t="n"/>
    </row>
    <row r="618" ht="15.75" customHeight="1" s="64">
      <c r="A618" s="88" t="n"/>
      <c r="B618" s="120">
        <f t="array" ref="B618:B618">IF(A618="","",IFERROR(INDEX('3.員工名單'!$B:$B,MATCH(A618,'3.員工名單'!$A:$A,0)),"查無此員工"))</f>
        <v/>
      </c>
      <c r="C618" s="120">
        <f t="array" ref="C618:C618">IF(A618="","",IFERROR(INDEX('3.員工名單'!$C:$C,MATCH(A618,'3.員工名單'!$A:$A,0)),""))</f>
        <v/>
      </c>
      <c r="D618" s="120">
        <f t="array" ref="D618:D618">IF(A618="","",IFERROR(INDEX('3.員工名單'!$D:$D,MATCH(A618,'3.員工名單'!$A:$A,0)),""))</f>
        <v/>
      </c>
      <c r="E618" s="120">
        <f t="array" ref="E618:E618">IF(F618="","",IFERROR(INDEX('1.職能辭典'!$A:$A,MATCH(F618,'1.職能辭典'!$C:$C,0)),""))</f>
        <v/>
      </c>
      <c r="F618" s="94" t="n"/>
      <c r="G618" s="120">
        <f t="array" ref="G618:G618">IF(OR(D618="",F618=""),"",IFERROR(IF(AND(OR(INDEX('1.職能辭典'!$J:$J,MATCH(F618,'1.職能辭典'!$C:$C,0))="全部",INDEX('3.員工名單'!$H:$H,MATCH(A618,'3.員工名單'!$A:$A,0))="兩款共用",INDEX('3.員工名單'!$H:$H,MATCH(A618,'3.員工名單'!$A:$A,0))=INDEX('1.職能辭典'!$J:$J,MATCH(F618,'1.職能辭典'!$C:$C,0))),OR(INDEX('1.職能辭典'!$K:$K,MATCH(F618,'1.職能辭典'!$C:$C,0))="全部",SUMPRODUCT(ISNUMBER(SEARCH({"經營","管理","財務","企劃","營運","技術","數據","美術","測試","客服"},INDEX('3.員工名單'!$I:$I,MATCH(A618,'3.員工名單'!$A:$A,0))))*ISNUMBER(SEARCH({"經營","管理","財務","企劃","營運","技術","數據","美術","測試","客服"},INDEX('1.職能辭典'!$K:$K,MATCH(F618,'1.職能辭典'!$C:$C,0)))))&gt;0)),INDEX('2.職務職能需求'!$B$2:$F$28,MATCH(F618,'2.職務職能需求'!$A$2:$A$28,0),MATCH(D618,'2.職務職能需求'!$B$1:$F$1,0)),0),""))</f>
        <v/>
      </c>
      <c r="H618" s="94" t="n"/>
      <c r="I618" s="94" t="n"/>
      <c r="J618" s="120">
        <f>IF(OR(G618="",I618="",G618=0),"",I618-G618)</f>
        <v/>
      </c>
      <c r="K618" s="120">
        <f>IF(G618="","",IF(G618=0,"不適用",IF(I618="","待評核",IF(I618&gt;=G618,IF(I618&gt;G618,"超越","達標"),"待發展"))))</f>
        <v/>
      </c>
      <c r="L618" s="91" t="n"/>
      <c r="M618" s="91" t="n"/>
      <c r="N618" s="88" t="n"/>
    </row>
    <row r="619" ht="15.75" customHeight="1" s="64">
      <c r="A619" s="88" t="n"/>
      <c r="B619" s="120">
        <f t="array" ref="B619:B619">IF(A619="","",IFERROR(INDEX('3.員工名單'!$B:$B,MATCH(A619,'3.員工名單'!$A:$A,0)),"查無此員工"))</f>
        <v/>
      </c>
      <c r="C619" s="120">
        <f t="array" ref="C619:C619">IF(A619="","",IFERROR(INDEX('3.員工名單'!$C:$C,MATCH(A619,'3.員工名單'!$A:$A,0)),""))</f>
        <v/>
      </c>
      <c r="D619" s="120">
        <f t="array" ref="D619:D619">IF(A619="","",IFERROR(INDEX('3.員工名單'!$D:$D,MATCH(A619,'3.員工名單'!$A:$A,0)),""))</f>
        <v/>
      </c>
      <c r="E619" s="120">
        <f t="array" ref="E619:E619">IF(F619="","",IFERROR(INDEX('1.職能辭典'!$A:$A,MATCH(F619,'1.職能辭典'!$C:$C,0)),""))</f>
        <v/>
      </c>
      <c r="F619" s="94" t="n"/>
      <c r="G619" s="120">
        <f t="array" ref="G619:G619">IF(OR(D619="",F619=""),"",IFERROR(IF(AND(OR(INDEX('1.職能辭典'!$J:$J,MATCH(F619,'1.職能辭典'!$C:$C,0))="全部",INDEX('3.員工名單'!$H:$H,MATCH(A619,'3.員工名單'!$A:$A,0))="兩款共用",INDEX('3.員工名單'!$H:$H,MATCH(A619,'3.員工名單'!$A:$A,0))=INDEX('1.職能辭典'!$J:$J,MATCH(F619,'1.職能辭典'!$C:$C,0))),OR(INDEX('1.職能辭典'!$K:$K,MATCH(F619,'1.職能辭典'!$C:$C,0))="全部",SUMPRODUCT(ISNUMBER(SEARCH({"經營","管理","財務","企劃","營運","技術","數據","美術","測試","客服"},INDEX('3.員工名單'!$I:$I,MATCH(A619,'3.員工名單'!$A:$A,0))))*ISNUMBER(SEARCH({"經營","管理","財務","企劃","營運","技術","數據","美術","測試","客服"},INDEX('1.職能辭典'!$K:$K,MATCH(F619,'1.職能辭典'!$C:$C,0)))))&gt;0)),INDEX('2.職務職能需求'!$B$2:$F$28,MATCH(F619,'2.職務職能需求'!$A$2:$A$28,0),MATCH(D619,'2.職務職能需求'!$B$1:$F$1,0)),0),""))</f>
        <v/>
      </c>
      <c r="H619" s="94" t="n"/>
      <c r="I619" s="94" t="n"/>
      <c r="J619" s="120">
        <f>IF(OR(G619="",I619="",G619=0),"",I619-G619)</f>
        <v/>
      </c>
      <c r="K619" s="120">
        <f>IF(G619="","",IF(G619=0,"不適用",IF(I619="","待評核",IF(I619&gt;=G619,IF(I619&gt;G619,"超越","達標"),"待發展"))))</f>
        <v/>
      </c>
      <c r="L619" s="91" t="n"/>
      <c r="M619" s="91" t="n"/>
      <c r="N619" s="88" t="n"/>
    </row>
    <row r="620" ht="15.75" customHeight="1" s="64">
      <c r="A620" s="88" t="n"/>
      <c r="B620" s="120">
        <f t="array" ref="B620:B620">IF(A620="","",IFERROR(INDEX('3.員工名單'!$B:$B,MATCH(A620,'3.員工名單'!$A:$A,0)),"查無此員工"))</f>
        <v/>
      </c>
      <c r="C620" s="120">
        <f t="array" ref="C620:C620">IF(A620="","",IFERROR(INDEX('3.員工名單'!$C:$C,MATCH(A620,'3.員工名單'!$A:$A,0)),""))</f>
        <v/>
      </c>
      <c r="D620" s="120">
        <f t="array" ref="D620:D620">IF(A620="","",IFERROR(INDEX('3.員工名單'!$D:$D,MATCH(A620,'3.員工名單'!$A:$A,0)),""))</f>
        <v/>
      </c>
      <c r="E620" s="120">
        <f t="array" ref="E620:E620">IF(F620="","",IFERROR(INDEX('1.職能辭典'!$A:$A,MATCH(F620,'1.職能辭典'!$C:$C,0)),""))</f>
        <v/>
      </c>
      <c r="F620" s="94" t="n"/>
      <c r="G620" s="120">
        <f t="array" ref="G620:G620">IF(OR(D620="",F620=""),"",IFERROR(IF(AND(OR(INDEX('1.職能辭典'!$J:$J,MATCH(F620,'1.職能辭典'!$C:$C,0))="全部",INDEX('3.員工名單'!$H:$H,MATCH(A620,'3.員工名單'!$A:$A,0))="兩款共用",INDEX('3.員工名單'!$H:$H,MATCH(A620,'3.員工名單'!$A:$A,0))=INDEX('1.職能辭典'!$J:$J,MATCH(F620,'1.職能辭典'!$C:$C,0))),OR(INDEX('1.職能辭典'!$K:$K,MATCH(F620,'1.職能辭典'!$C:$C,0))="全部",SUMPRODUCT(ISNUMBER(SEARCH({"經營","管理","財務","企劃","營運","技術","數據","美術","測試","客服"},INDEX('3.員工名單'!$I:$I,MATCH(A620,'3.員工名單'!$A:$A,0))))*ISNUMBER(SEARCH({"經營","管理","財務","企劃","營運","技術","數據","美術","測試","客服"},INDEX('1.職能辭典'!$K:$K,MATCH(F620,'1.職能辭典'!$C:$C,0)))))&gt;0)),INDEX('2.職務職能需求'!$B$2:$F$28,MATCH(F620,'2.職務職能需求'!$A$2:$A$28,0),MATCH(D620,'2.職務職能需求'!$B$1:$F$1,0)),0),""))</f>
        <v/>
      </c>
      <c r="H620" s="94" t="n"/>
      <c r="I620" s="94" t="n"/>
      <c r="J620" s="120">
        <f>IF(OR(G620="",I620="",G620=0),"",I620-G620)</f>
        <v/>
      </c>
      <c r="K620" s="120">
        <f>IF(G620="","",IF(G620=0,"不適用",IF(I620="","待評核",IF(I620&gt;=G620,IF(I620&gt;G620,"超越","達標"),"待發展"))))</f>
        <v/>
      </c>
      <c r="L620" s="91" t="n"/>
      <c r="M620" s="91" t="n"/>
      <c r="N620" s="88" t="n"/>
    </row>
    <row r="621" ht="15.75" customHeight="1" s="64">
      <c r="A621" s="88" t="n"/>
      <c r="B621" s="120">
        <f t="array" ref="B621:B621">IF(A621="","",IFERROR(INDEX('3.員工名單'!$B:$B,MATCH(A621,'3.員工名單'!$A:$A,0)),"查無此員工"))</f>
        <v/>
      </c>
      <c r="C621" s="120">
        <f t="array" ref="C621:C621">IF(A621="","",IFERROR(INDEX('3.員工名單'!$C:$C,MATCH(A621,'3.員工名單'!$A:$A,0)),""))</f>
        <v/>
      </c>
      <c r="D621" s="120">
        <f t="array" ref="D621:D621">IF(A621="","",IFERROR(INDEX('3.員工名單'!$D:$D,MATCH(A621,'3.員工名單'!$A:$A,0)),""))</f>
        <v/>
      </c>
      <c r="E621" s="120">
        <f t="array" ref="E621:E621">IF(F621="","",IFERROR(INDEX('1.職能辭典'!$A:$A,MATCH(F621,'1.職能辭典'!$C:$C,0)),""))</f>
        <v/>
      </c>
      <c r="F621" s="94" t="n"/>
      <c r="G621" s="120">
        <f t="array" ref="G621:G621">IF(OR(D621="",F621=""),"",IFERROR(IF(AND(OR(INDEX('1.職能辭典'!$J:$J,MATCH(F621,'1.職能辭典'!$C:$C,0))="全部",INDEX('3.員工名單'!$H:$H,MATCH(A621,'3.員工名單'!$A:$A,0))="兩款共用",INDEX('3.員工名單'!$H:$H,MATCH(A621,'3.員工名單'!$A:$A,0))=INDEX('1.職能辭典'!$J:$J,MATCH(F621,'1.職能辭典'!$C:$C,0))),OR(INDEX('1.職能辭典'!$K:$K,MATCH(F621,'1.職能辭典'!$C:$C,0))="全部",SUMPRODUCT(ISNUMBER(SEARCH({"經營","管理","財務","企劃","營運","技術","數據","美術","測試","客服"},INDEX('3.員工名單'!$I:$I,MATCH(A621,'3.員工名單'!$A:$A,0))))*ISNUMBER(SEARCH({"經營","管理","財務","企劃","營運","技術","數據","美術","測試","客服"},INDEX('1.職能辭典'!$K:$K,MATCH(F621,'1.職能辭典'!$C:$C,0)))))&gt;0)),INDEX('2.職務職能需求'!$B$2:$F$28,MATCH(F621,'2.職務職能需求'!$A$2:$A$28,0),MATCH(D621,'2.職務職能需求'!$B$1:$F$1,0)),0),""))</f>
        <v/>
      </c>
      <c r="H621" s="94" t="n"/>
      <c r="I621" s="94" t="n"/>
      <c r="J621" s="120">
        <f>IF(OR(G621="",I621="",G621=0),"",I621-G621)</f>
        <v/>
      </c>
      <c r="K621" s="120">
        <f>IF(G621="","",IF(G621=0,"不適用",IF(I621="","待評核",IF(I621&gt;=G621,IF(I621&gt;G621,"超越","達標"),"待發展"))))</f>
        <v/>
      </c>
      <c r="L621" s="91" t="n"/>
      <c r="M621" s="91" t="n"/>
      <c r="N621" s="88" t="n"/>
    </row>
    <row r="622" ht="15.75" customHeight="1" s="64">
      <c r="A622" s="88" t="n"/>
      <c r="B622" s="120">
        <f t="array" ref="B622:B622">IF(A622="","",IFERROR(INDEX('3.員工名單'!$B:$B,MATCH(A622,'3.員工名單'!$A:$A,0)),"查無此員工"))</f>
        <v/>
      </c>
      <c r="C622" s="120">
        <f t="array" ref="C622:C622">IF(A622="","",IFERROR(INDEX('3.員工名單'!$C:$C,MATCH(A622,'3.員工名單'!$A:$A,0)),""))</f>
        <v/>
      </c>
      <c r="D622" s="120">
        <f t="array" ref="D622:D622">IF(A622="","",IFERROR(INDEX('3.員工名單'!$D:$D,MATCH(A622,'3.員工名單'!$A:$A,0)),""))</f>
        <v/>
      </c>
      <c r="E622" s="120">
        <f t="array" ref="E622:E622">IF(F622="","",IFERROR(INDEX('1.職能辭典'!$A:$A,MATCH(F622,'1.職能辭典'!$C:$C,0)),""))</f>
        <v/>
      </c>
      <c r="F622" s="94" t="n"/>
      <c r="G622" s="120">
        <f t="array" ref="G622:G622">IF(OR(D622="",F622=""),"",IFERROR(IF(AND(OR(INDEX('1.職能辭典'!$J:$J,MATCH(F622,'1.職能辭典'!$C:$C,0))="全部",INDEX('3.員工名單'!$H:$H,MATCH(A622,'3.員工名單'!$A:$A,0))="兩款共用",INDEX('3.員工名單'!$H:$H,MATCH(A622,'3.員工名單'!$A:$A,0))=INDEX('1.職能辭典'!$J:$J,MATCH(F622,'1.職能辭典'!$C:$C,0))),OR(INDEX('1.職能辭典'!$K:$K,MATCH(F622,'1.職能辭典'!$C:$C,0))="全部",SUMPRODUCT(ISNUMBER(SEARCH({"經營","管理","財務","企劃","營運","技術","數據","美術","測試","客服"},INDEX('3.員工名單'!$I:$I,MATCH(A622,'3.員工名單'!$A:$A,0))))*ISNUMBER(SEARCH({"經營","管理","財務","企劃","營運","技術","數據","美術","測試","客服"},INDEX('1.職能辭典'!$K:$K,MATCH(F622,'1.職能辭典'!$C:$C,0)))))&gt;0)),INDEX('2.職務職能需求'!$B$2:$F$28,MATCH(F622,'2.職務職能需求'!$A$2:$A$28,0),MATCH(D622,'2.職務職能需求'!$B$1:$F$1,0)),0),""))</f>
        <v/>
      </c>
      <c r="H622" s="94" t="n"/>
      <c r="I622" s="94" t="n"/>
      <c r="J622" s="120">
        <f>IF(OR(G622="",I622="",G622=0),"",I622-G622)</f>
        <v/>
      </c>
      <c r="K622" s="120">
        <f>IF(G622="","",IF(G622=0,"不適用",IF(I622="","待評核",IF(I622&gt;=G622,IF(I622&gt;G622,"超越","達標"),"待發展"))))</f>
        <v/>
      </c>
      <c r="L622" s="91" t="n"/>
      <c r="M622" s="91" t="n"/>
      <c r="N622" s="88" t="n"/>
    </row>
    <row r="623" ht="15.75" customHeight="1" s="64">
      <c r="A623" s="88" t="n"/>
      <c r="B623" s="120">
        <f t="array" ref="B623:B623">IF(A623="","",IFERROR(INDEX('3.員工名單'!$B:$B,MATCH(A623,'3.員工名單'!$A:$A,0)),"查無此員工"))</f>
        <v/>
      </c>
      <c r="C623" s="120">
        <f t="array" ref="C623:C623">IF(A623="","",IFERROR(INDEX('3.員工名單'!$C:$C,MATCH(A623,'3.員工名單'!$A:$A,0)),""))</f>
        <v/>
      </c>
      <c r="D623" s="120">
        <f t="array" ref="D623:D623">IF(A623="","",IFERROR(INDEX('3.員工名單'!$D:$D,MATCH(A623,'3.員工名單'!$A:$A,0)),""))</f>
        <v/>
      </c>
      <c r="E623" s="120">
        <f t="array" ref="E623:E623">IF(F623="","",IFERROR(INDEX('1.職能辭典'!$A:$A,MATCH(F623,'1.職能辭典'!$C:$C,0)),""))</f>
        <v/>
      </c>
      <c r="F623" s="94" t="n"/>
      <c r="G623" s="120">
        <f t="array" ref="G623:G623">IF(OR(D623="",F623=""),"",IFERROR(IF(AND(OR(INDEX('1.職能辭典'!$J:$J,MATCH(F623,'1.職能辭典'!$C:$C,0))="全部",INDEX('3.員工名單'!$H:$H,MATCH(A623,'3.員工名單'!$A:$A,0))="兩款共用",INDEX('3.員工名單'!$H:$H,MATCH(A623,'3.員工名單'!$A:$A,0))=INDEX('1.職能辭典'!$J:$J,MATCH(F623,'1.職能辭典'!$C:$C,0))),OR(INDEX('1.職能辭典'!$K:$K,MATCH(F623,'1.職能辭典'!$C:$C,0))="全部",SUMPRODUCT(ISNUMBER(SEARCH({"經營","管理","財務","企劃","營運","技術","數據","美術","測試","客服"},INDEX('3.員工名單'!$I:$I,MATCH(A623,'3.員工名單'!$A:$A,0))))*ISNUMBER(SEARCH({"經營","管理","財務","企劃","營運","技術","數據","美術","測試","客服"},INDEX('1.職能辭典'!$K:$K,MATCH(F623,'1.職能辭典'!$C:$C,0)))))&gt;0)),INDEX('2.職務職能需求'!$B$2:$F$28,MATCH(F623,'2.職務職能需求'!$A$2:$A$28,0),MATCH(D623,'2.職務職能需求'!$B$1:$F$1,0)),0),""))</f>
        <v/>
      </c>
      <c r="H623" s="94" t="n"/>
      <c r="I623" s="94" t="n"/>
      <c r="J623" s="120">
        <f>IF(OR(G623="",I623="",G623=0),"",I623-G623)</f>
        <v/>
      </c>
      <c r="K623" s="120">
        <f>IF(G623="","",IF(G623=0,"不適用",IF(I623="","待評核",IF(I623&gt;=G623,IF(I623&gt;G623,"超越","達標"),"待發展"))))</f>
        <v/>
      </c>
      <c r="L623" s="91" t="n"/>
      <c r="M623" s="91" t="n"/>
      <c r="N623" s="88" t="n"/>
    </row>
    <row r="624" ht="15.75" customHeight="1" s="64">
      <c r="A624" s="88" t="n"/>
      <c r="B624" s="120">
        <f t="array" ref="B624:B624">IF(A624="","",IFERROR(INDEX('3.員工名單'!$B:$B,MATCH(A624,'3.員工名單'!$A:$A,0)),"查無此員工"))</f>
        <v/>
      </c>
      <c r="C624" s="120">
        <f t="array" ref="C624:C624">IF(A624="","",IFERROR(INDEX('3.員工名單'!$C:$C,MATCH(A624,'3.員工名單'!$A:$A,0)),""))</f>
        <v/>
      </c>
      <c r="D624" s="120">
        <f t="array" ref="D624:D624">IF(A624="","",IFERROR(INDEX('3.員工名單'!$D:$D,MATCH(A624,'3.員工名單'!$A:$A,0)),""))</f>
        <v/>
      </c>
      <c r="E624" s="120">
        <f t="array" ref="E624:E624">IF(F624="","",IFERROR(INDEX('1.職能辭典'!$A:$A,MATCH(F624,'1.職能辭典'!$C:$C,0)),""))</f>
        <v/>
      </c>
      <c r="F624" s="94" t="n"/>
      <c r="G624" s="120">
        <f t="array" ref="G624:G624">IF(OR(D624="",F624=""),"",IFERROR(IF(AND(OR(INDEX('1.職能辭典'!$J:$J,MATCH(F624,'1.職能辭典'!$C:$C,0))="全部",INDEX('3.員工名單'!$H:$H,MATCH(A624,'3.員工名單'!$A:$A,0))="兩款共用",INDEX('3.員工名單'!$H:$H,MATCH(A624,'3.員工名單'!$A:$A,0))=INDEX('1.職能辭典'!$J:$J,MATCH(F624,'1.職能辭典'!$C:$C,0))),OR(INDEX('1.職能辭典'!$K:$K,MATCH(F624,'1.職能辭典'!$C:$C,0))="全部",SUMPRODUCT(ISNUMBER(SEARCH({"經營","管理","財務","企劃","營運","技術","數據","美術","測試","客服"},INDEX('3.員工名單'!$I:$I,MATCH(A624,'3.員工名單'!$A:$A,0))))*ISNUMBER(SEARCH({"經營","管理","財務","企劃","營運","技術","數據","美術","測試","客服"},INDEX('1.職能辭典'!$K:$K,MATCH(F624,'1.職能辭典'!$C:$C,0)))))&gt;0)),INDEX('2.職務職能需求'!$B$2:$F$28,MATCH(F624,'2.職務職能需求'!$A$2:$A$28,0),MATCH(D624,'2.職務職能需求'!$B$1:$F$1,0)),0),""))</f>
        <v/>
      </c>
      <c r="H624" s="94" t="n"/>
      <c r="I624" s="94" t="n"/>
      <c r="J624" s="120">
        <f>IF(OR(G624="",I624="",G624=0),"",I624-G624)</f>
        <v/>
      </c>
      <c r="K624" s="120">
        <f>IF(G624="","",IF(G624=0,"不適用",IF(I624="","待評核",IF(I624&gt;=G624,IF(I624&gt;G624,"超越","達標"),"待發展"))))</f>
        <v/>
      </c>
      <c r="L624" s="91" t="n"/>
      <c r="M624" s="91" t="n"/>
      <c r="N624" s="88" t="n"/>
    </row>
    <row r="625" ht="15.75" customHeight="1" s="64">
      <c r="A625" s="88" t="n"/>
      <c r="B625" s="120">
        <f t="array" ref="B625:B625">IF(A625="","",IFERROR(INDEX('3.員工名單'!$B:$B,MATCH(A625,'3.員工名單'!$A:$A,0)),"查無此員工"))</f>
        <v/>
      </c>
      <c r="C625" s="120">
        <f t="array" ref="C625:C625">IF(A625="","",IFERROR(INDEX('3.員工名單'!$C:$C,MATCH(A625,'3.員工名單'!$A:$A,0)),""))</f>
        <v/>
      </c>
      <c r="D625" s="120">
        <f t="array" ref="D625:D625">IF(A625="","",IFERROR(INDEX('3.員工名單'!$D:$D,MATCH(A625,'3.員工名單'!$A:$A,0)),""))</f>
        <v/>
      </c>
      <c r="E625" s="120">
        <f t="array" ref="E625:E625">IF(F625="","",IFERROR(INDEX('1.職能辭典'!$A:$A,MATCH(F625,'1.職能辭典'!$C:$C,0)),""))</f>
        <v/>
      </c>
      <c r="F625" s="94" t="n"/>
      <c r="G625" s="120">
        <f t="array" ref="G625:G625">IF(OR(D625="",F625=""),"",IFERROR(IF(AND(OR(INDEX('1.職能辭典'!$J:$J,MATCH(F625,'1.職能辭典'!$C:$C,0))="全部",INDEX('3.員工名單'!$H:$H,MATCH(A625,'3.員工名單'!$A:$A,0))="兩款共用",INDEX('3.員工名單'!$H:$H,MATCH(A625,'3.員工名單'!$A:$A,0))=INDEX('1.職能辭典'!$J:$J,MATCH(F625,'1.職能辭典'!$C:$C,0))),OR(INDEX('1.職能辭典'!$K:$K,MATCH(F625,'1.職能辭典'!$C:$C,0))="全部",SUMPRODUCT(ISNUMBER(SEARCH({"經營","管理","財務","企劃","營運","技術","數據","美術","測試","客服"},INDEX('3.員工名單'!$I:$I,MATCH(A625,'3.員工名單'!$A:$A,0))))*ISNUMBER(SEARCH({"經營","管理","財務","企劃","營運","技術","數據","美術","測試","客服"},INDEX('1.職能辭典'!$K:$K,MATCH(F625,'1.職能辭典'!$C:$C,0)))))&gt;0)),INDEX('2.職務職能需求'!$B$2:$F$28,MATCH(F625,'2.職務職能需求'!$A$2:$A$28,0),MATCH(D625,'2.職務職能需求'!$B$1:$F$1,0)),0),""))</f>
        <v/>
      </c>
      <c r="H625" s="94" t="n"/>
      <c r="I625" s="94" t="n"/>
      <c r="J625" s="120">
        <f>IF(OR(G625="",I625="",G625=0),"",I625-G625)</f>
        <v/>
      </c>
      <c r="K625" s="120">
        <f>IF(G625="","",IF(G625=0,"不適用",IF(I625="","待評核",IF(I625&gt;=G625,IF(I625&gt;G625,"超越","達標"),"待發展"))))</f>
        <v/>
      </c>
      <c r="L625" s="91" t="n"/>
      <c r="M625" s="91" t="n"/>
      <c r="N625" s="88" t="n"/>
    </row>
    <row r="626" ht="15.75" customHeight="1" s="64">
      <c r="A626" s="88" t="n"/>
      <c r="B626" s="120">
        <f t="array" ref="B626:B626">IF(A626="","",IFERROR(INDEX('3.員工名單'!$B:$B,MATCH(A626,'3.員工名單'!$A:$A,0)),"查無此員工"))</f>
        <v/>
      </c>
      <c r="C626" s="120">
        <f t="array" ref="C626:C626">IF(A626="","",IFERROR(INDEX('3.員工名單'!$C:$C,MATCH(A626,'3.員工名單'!$A:$A,0)),""))</f>
        <v/>
      </c>
      <c r="D626" s="120">
        <f t="array" ref="D626:D626">IF(A626="","",IFERROR(INDEX('3.員工名單'!$D:$D,MATCH(A626,'3.員工名單'!$A:$A,0)),""))</f>
        <v/>
      </c>
      <c r="E626" s="120">
        <f t="array" ref="E626:E626">IF(F626="","",IFERROR(INDEX('1.職能辭典'!$A:$A,MATCH(F626,'1.職能辭典'!$C:$C,0)),""))</f>
        <v/>
      </c>
      <c r="F626" s="94" t="n"/>
      <c r="G626" s="120">
        <f t="array" ref="G626:G626">IF(OR(D626="",F626=""),"",IFERROR(IF(AND(OR(INDEX('1.職能辭典'!$J:$J,MATCH(F626,'1.職能辭典'!$C:$C,0))="全部",INDEX('3.員工名單'!$H:$H,MATCH(A626,'3.員工名單'!$A:$A,0))="兩款共用",INDEX('3.員工名單'!$H:$H,MATCH(A626,'3.員工名單'!$A:$A,0))=INDEX('1.職能辭典'!$J:$J,MATCH(F626,'1.職能辭典'!$C:$C,0))),OR(INDEX('1.職能辭典'!$K:$K,MATCH(F626,'1.職能辭典'!$C:$C,0))="全部",SUMPRODUCT(ISNUMBER(SEARCH({"經營","管理","財務","企劃","營運","技術","數據","美術","測試","客服"},INDEX('3.員工名單'!$I:$I,MATCH(A626,'3.員工名單'!$A:$A,0))))*ISNUMBER(SEARCH({"經營","管理","財務","企劃","營運","技術","數據","美術","測試","客服"},INDEX('1.職能辭典'!$K:$K,MATCH(F626,'1.職能辭典'!$C:$C,0)))))&gt;0)),INDEX('2.職務職能需求'!$B$2:$F$28,MATCH(F626,'2.職務職能需求'!$A$2:$A$28,0),MATCH(D626,'2.職務職能需求'!$B$1:$F$1,0)),0),""))</f>
        <v/>
      </c>
      <c r="H626" s="94" t="n"/>
      <c r="I626" s="94" t="n"/>
      <c r="J626" s="120">
        <f>IF(OR(G626="",I626="",G626=0),"",I626-G626)</f>
        <v/>
      </c>
      <c r="K626" s="120">
        <f>IF(G626="","",IF(G626=0,"不適用",IF(I626="","待評核",IF(I626&gt;=G626,IF(I626&gt;G626,"超越","達標"),"待發展"))))</f>
        <v/>
      </c>
      <c r="L626" s="91" t="n"/>
      <c r="M626" s="91" t="n"/>
      <c r="N626" s="88" t="n"/>
    </row>
    <row r="627" ht="15.75" customHeight="1" s="64">
      <c r="A627" s="88" t="n"/>
      <c r="B627" s="120">
        <f t="array" ref="B627:B627">IF(A627="","",IFERROR(INDEX('3.員工名單'!$B:$B,MATCH(A627,'3.員工名單'!$A:$A,0)),"查無此員工"))</f>
        <v/>
      </c>
      <c r="C627" s="120">
        <f t="array" ref="C627:C627">IF(A627="","",IFERROR(INDEX('3.員工名單'!$C:$C,MATCH(A627,'3.員工名單'!$A:$A,0)),""))</f>
        <v/>
      </c>
      <c r="D627" s="120">
        <f t="array" ref="D627:D627">IF(A627="","",IFERROR(INDEX('3.員工名單'!$D:$D,MATCH(A627,'3.員工名單'!$A:$A,0)),""))</f>
        <v/>
      </c>
      <c r="E627" s="120">
        <f t="array" ref="E627:E627">IF(F627="","",IFERROR(INDEX('1.職能辭典'!$A:$A,MATCH(F627,'1.職能辭典'!$C:$C,0)),""))</f>
        <v/>
      </c>
      <c r="F627" s="94" t="n"/>
      <c r="G627" s="120">
        <f t="array" ref="G627:G627">IF(OR(D627="",F627=""),"",IFERROR(IF(AND(OR(INDEX('1.職能辭典'!$J:$J,MATCH(F627,'1.職能辭典'!$C:$C,0))="全部",INDEX('3.員工名單'!$H:$H,MATCH(A627,'3.員工名單'!$A:$A,0))="兩款共用",INDEX('3.員工名單'!$H:$H,MATCH(A627,'3.員工名單'!$A:$A,0))=INDEX('1.職能辭典'!$J:$J,MATCH(F627,'1.職能辭典'!$C:$C,0))),OR(INDEX('1.職能辭典'!$K:$K,MATCH(F627,'1.職能辭典'!$C:$C,0))="全部",SUMPRODUCT(ISNUMBER(SEARCH({"經營","管理","財務","企劃","營運","技術","數據","美術","測試","客服"},INDEX('3.員工名單'!$I:$I,MATCH(A627,'3.員工名單'!$A:$A,0))))*ISNUMBER(SEARCH({"經營","管理","財務","企劃","營運","技術","數據","美術","測試","客服"},INDEX('1.職能辭典'!$K:$K,MATCH(F627,'1.職能辭典'!$C:$C,0)))))&gt;0)),INDEX('2.職務職能需求'!$B$2:$F$28,MATCH(F627,'2.職務職能需求'!$A$2:$A$28,0),MATCH(D627,'2.職務職能需求'!$B$1:$F$1,0)),0),""))</f>
        <v/>
      </c>
      <c r="H627" s="94" t="n"/>
      <c r="I627" s="94" t="n"/>
      <c r="J627" s="120">
        <f>IF(OR(G627="",I627="",G627=0),"",I627-G627)</f>
        <v/>
      </c>
      <c r="K627" s="120">
        <f>IF(G627="","",IF(G627=0,"不適用",IF(I627="","待評核",IF(I627&gt;=G627,IF(I627&gt;G627,"超越","達標"),"待發展"))))</f>
        <v/>
      </c>
      <c r="L627" s="91" t="n"/>
      <c r="M627" s="91" t="n"/>
      <c r="N627" s="88" t="n"/>
    </row>
    <row r="628" ht="15.75" customHeight="1" s="64">
      <c r="A628" s="88" t="n"/>
      <c r="B628" s="120">
        <f t="array" ref="B628:B628">IF(A628="","",IFERROR(INDEX('3.員工名單'!$B:$B,MATCH(A628,'3.員工名單'!$A:$A,0)),"查無此員工"))</f>
        <v/>
      </c>
      <c r="C628" s="120">
        <f t="array" ref="C628:C628">IF(A628="","",IFERROR(INDEX('3.員工名單'!$C:$C,MATCH(A628,'3.員工名單'!$A:$A,0)),""))</f>
        <v/>
      </c>
      <c r="D628" s="120">
        <f t="array" ref="D628:D628">IF(A628="","",IFERROR(INDEX('3.員工名單'!$D:$D,MATCH(A628,'3.員工名單'!$A:$A,0)),""))</f>
        <v/>
      </c>
      <c r="E628" s="120">
        <f t="array" ref="E628:E628">IF(F628="","",IFERROR(INDEX('1.職能辭典'!$A:$A,MATCH(F628,'1.職能辭典'!$C:$C,0)),""))</f>
        <v/>
      </c>
      <c r="F628" s="94" t="n"/>
      <c r="G628" s="120">
        <f t="array" ref="G628:G628">IF(OR(D628="",F628=""),"",IFERROR(IF(AND(OR(INDEX('1.職能辭典'!$J:$J,MATCH(F628,'1.職能辭典'!$C:$C,0))="全部",INDEX('3.員工名單'!$H:$H,MATCH(A628,'3.員工名單'!$A:$A,0))="兩款共用",INDEX('3.員工名單'!$H:$H,MATCH(A628,'3.員工名單'!$A:$A,0))=INDEX('1.職能辭典'!$J:$J,MATCH(F628,'1.職能辭典'!$C:$C,0))),OR(INDEX('1.職能辭典'!$K:$K,MATCH(F628,'1.職能辭典'!$C:$C,0))="全部",SUMPRODUCT(ISNUMBER(SEARCH({"經營","管理","財務","企劃","營運","技術","數據","美術","測試","客服"},INDEX('3.員工名單'!$I:$I,MATCH(A628,'3.員工名單'!$A:$A,0))))*ISNUMBER(SEARCH({"經營","管理","財務","企劃","營運","技術","數據","美術","測試","客服"},INDEX('1.職能辭典'!$K:$K,MATCH(F628,'1.職能辭典'!$C:$C,0)))))&gt;0)),INDEX('2.職務職能需求'!$B$2:$F$28,MATCH(F628,'2.職務職能需求'!$A$2:$A$28,0),MATCH(D628,'2.職務職能需求'!$B$1:$F$1,0)),0),""))</f>
        <v/>
      </c>
      <c r="H628" s="94" t="n"/>
      <c r="I628" s="94" t="n"/>
      <c r="J628" s="120">
        <f>IF(OR(G628="",I628="",G628=0),"",I628-G628)</f>
        <v/>
      </c>
      <c r="K628" s="120">
        <f>IF(G628="","",IF(G628=0,"不適用",IF(I628="","待評核",IF(I628&gt;=G628,IF(I628&gt;G628,"超越","達標"),"待發展"))))</f>
        <v/>
      </c>
      <c r="L628" s="91" t="n"/>
      <c r="M628" s="91" t="n"/>
      <c r="N628" s="88" t="n"/>
    </row>
    <row r="629" ht="15.75" customHeight="1" s="64">
      <c r="A629" s="88" t="n"/>
      <c r="B629" s="120">
        <f t="array" ref="B629:B629">IF(A629="","",IFERROR(INDEX('3.員工名單'!$B:$B,MATCH(A629,'3.員工名單'!$A:$A,0)),"查無此員工"))</f>
        <v/>
      </c>
      <c r="C629" s="120">
        <f t="array" ref="C629:C629">IF(A629="","",IFERROR(INDEX('3.員工名單'!$C:$C,MATCH(A629,'3.員工名單'!$A:$A,0)),""))</f>
        <v/>
      </c>
      <c r="D629" s="120">
        <f t="array" ref="D629:D629">IF(A629="","",IFERROR(INDEX('3.員工名單'!$D:$D,MATCH(A629,'3.員工名單'!$A:$A,0)),""))</f>
        <v/>
      </c>
      <c r="E629" s="120">
        <f t="array" ref="E629:E629">IF(F629="","",IFERROR(INDEX('1.職能辭典'!$A:$A,MATCH(F629,'1.職能辭典'!$C:$C,0)),""))</f>
        <v/>
      </c>
      <c r="F629" s="94" t="n"/>
      <c r="G629" s="120">
        <f t="array" ref="G629:G629">IF(OR(D629="",F629=""),"",IFERROR(IF(AND(OR(INDEX('1.職能辭典'!$J:$J,MATCH(F629,'1.職能辭典'!$C:$C,0))="全部",INDEX('3.員工名單'!$H:$H,MATCH(A629,'3.員工名單'!$A:$A,0))="兩款共用",INDEX('3.員工名單'!$H:$H,MATCH(A629,'3.員工名單'!$A:$A,0))=INDEX('1.職能辭典'!$J:$J,MATCH(F629,'1.職能辭典'!$C:$C,0))),OR(INDEX('1.職能辭典'!$K:$K,MATCH(F629,'1.職能辭典'!$C:$C,0))="全部",SUMPRODUCT(ISNUMBER(SEARCH({"經營","管理","財務","企劃","營運","技術","數據","美術","測試","客服"},INDEX('3.員工名單'!$I:$I,MATCH(A629,'3.員工名單'!$A:$A,0))))*ISNUMBER(SEARCH({"經營","管理","財務","企劃","營運","技術","數據","美術","測試","客服"},INDEX('1.職能辭典'!$K:$K,MATCH(F629,'1.職能辭典'!$C:$C,0)))))&gt;0)),INDEX('2.職務職能需求'!$B$2:$F$28,MATCH(F629,'2.職務職能需求'!$A$2:$A$28,0),MATCH(D629,'2.職務職能需求'!$B$1:$F$1,0)),0),""))</f>
        <v/>
      </c>
      <c r="H629" s="94" t="n"/>
      <c r="I629" s="94" t="n"/>
      <c r="J629" s="120">
        <f>IF(OR(G629="",I629="",G629=0),"",I629-G629)</f>
        <v/>
      </c>
      <c r="K629" s="120">
        <f>IF(G629="","",IF(G629=0,"不適用",IF(I629="","待評核",IF(I629&gt;=G629,IF(I629&gt;G629,"超越","達標"),"待發展"))))</f>
        <v/>
      </c>
      <c r="L629" s="91" t="n"/>
      <c r="M629" s="91" t="n"/>
      <c r="N629" s="88" t="n"/>
    </row>
    <row r="630" ht="15.75" customHeight="1" s="64">
      <c r="A630" s="88" t="n"/>
      <c r="B630" s="120">
        <f t="array" ref="B630:B630">IF(A630="","",IFERROR(INDEX('3.員工名單'!$B:$B,MATCH(A630,'3.員工名單'!$A:$A,0)),"查無此員工"))</f>
        <v/>
      </c>
      <c r="C630" s="120">
        <f t="array" ref="C630:C630">IF(A630="","",IFERROR(INDEX('3.員工名單'!$C:$C,MATCH(A630,'3.員工名單'!$A:$A,0)),""))</f>
        <v/>
      </c>
      <c r="D630" s="120">
        <f t="array" ref="D630:D630">IF(A630="","",IFERROR(INDEX('3.員工名單'!$D:$D,MATCH(A630,'3.員工名單'!$A:$A,0)),""))</f>
        <v/>
      </c>
      <c r="E630" s="120">
        <f t="array" ref="E630:E630">IF(F630="","",IFERROR(INDEX('1.職能辭典'!$A:$A,MATCH(F630,'1.職能辭典'!$C:$C,0)),""))</f>
        <v/>
      </c>
      <c r="F630" s="94" t="n"/>
      <c r="G630" s="120">
        <f t="array" ref="G630:G630">IF(OR(D630="",F630=""),"",IFERROR(IF(AND(OR(INDEX('1.職能辭典'!$J:$J,MATCH(F630,'1.職能辭典'!$C:$C,0))="全部",INDEX('3.員工名單'!$H:$H,MATCH(A630,'3.員工名單'!$A:$A,0))="兩款共用",INDEX('3.員工名單'!$H:$H,MATCH(A630,'3.員工名單'!$A:$A,0))=INDEX('1.職能辭典'!$J:$J,MATCH(F630,'1.職能辭典'!$C:$C,0))),OR(INDEX('1.職能辭典'!$K:$K,MATCH(F630,'1.職能辭典'!$C:$C,0))="全部",SUMPRODUCT(ISNUMBER(SEARCH({"經營","管理","財務","企劃","營運","技術","數據","美術","測試","客服"},INDEX('3.員工名單'!$I:$I,MATCH(A630,'3.員工名單'!$A:$A,0))))*ISNUMBER(SEARCH({"經營","管理","財務","企劃","營運","技術","數據","美術","測試","客服"},INDEX('1.職能辭典'!$K:$K,MATCH(F630,'1.職能辭典'!$C:$C,0)))))&gt;0)),INDEX('2.職務職能需求'!$B$2:$F$28,MATCH(F630,'2.職務職能需求'!$A$2:$A$28,0),MATCH(D630,'2.職務職能需求'!$B$1:$F$1,0)),0),""))</f>
        <v/>
      </c>
      <c r="H630" s="94" t="n"/>
      <c r="I630" s="94" t="n"/>
      <c r="J630" s="120">
        <f>IF(OR(G630="",I630="",G630=0),"",I630-G630)</f>
        <v/>
      </c>
      <c r="K630" s="120">
        <f>IF(G630="","",IF(G630=0,"不適用",IF(I630="","待評核",IF(I630&gt;=G630,IF(I630&gt;G630,"超越","達標"),"待發展"))))</f>
        <v/>
      </c>
      <c r="L630" s="91" t="n"/>
      <c r="M630" s="91" t="n"/>
      <c r="N630" s="88" t="n"/>
    </row>
    <row r="631" ht="15.75" customHeight="1" s="64">
      <c r="A631" s="88" t="n"/>
      <c r="B631" s="120">
        <f t="array" ref="B631:B631">IF(A631="","",IFERROR(INDEX('3.員工名單'!$B:$B,MATCH(A631,'3.員工名單'!$A:$A,0)),"查無此員工"))</f>
        <v/>
      </c>
      <c r="C631" s="120">
        <f t="array" ref="C631:C631">IF(A631="","",IFERROR(INDEX('3.員工名單'!$C:$C,MATCH(A631,'3.員工名單'!$A:$A,0)),""))</f>
        <v/>
      </c>
      <c r="D631" s="120">
        <f t="array" ref="D631:D631">IF(A631="","",IFERROR(INDEX('3.員工名單'!$D:$D,MATCH(A631,'3.員工名單'!$A:$A,0)),""))</f>
        <v/>
      </c>
      <c r="E631" s="120">
        <f t="array" ref="E631:E631">IF(F631="","",IFERROR(INDEX('1.職能辭典'!$A:$A,MATCH(F631,'1.職能辭典'!$C:$C,0)),""))</f>
        <v/>
      </c>
      <c r="F631" s="94" t="n"/>
      <c r="G631" s="120">
        <f t="array" ref="G631:G631">IF(OR(D631="",F631=""),"",IFERROR(IF(AND(OR(INDEX('1.職能辭典'!$J:$J,MATCH(F631,'1.職能辭典'!$C:$C,0))="全部",INDEX('3.員工名單'!$H:$H,MATCH(A631,'3.員工名單'!$A:$A,0))="兩款共用",INDEX('3.員工名單'!$H:$H,MATCH(A631,'3.員工名單'!$A:$A,0))=INDEX('1.職能辭典'!$J:$J,MATCH(F631,'1.職能辭典'!$C:$C,0))),OR(INDEX('1.職能辭典'!$K:$K,MATCH(F631,'1.職能辭典'!$C:$C,0))="全部",SUMPRODUCT(ISNUMBER(SEARCH({"經營","管理","財務","企劃","營運","技術","數據","美術","測試","客服"},INDEX('3.員工名單'!$I:$I,MATCH(A631,'3.員工名單'!$A:$A,0))))*ISNUMBER(SEARCH({"經營","管理","財務","企劃","營運","技術","數據","美術","測試","客服"},INDEX('1.職能辭典'!$K:$K,MATCH(F631,'1.職能辭典'!$C:$C,0)))))&gt;0)),INDEX('2.職務職能需求'!$B$2:$F$28,MATCH(F631,'2.職務職能需求'!$A$2:$A$28,0),MATCH(D631,'2.職務職能需求'!$B$1:$F$1,0)),0),""))</f>
        <v/>
      </c>
      <c r="H631" s="94" t="n"/>
      <c r="I631" s="94" t="n"/>
      <c r="J631" s="120">
        <f>IF(OR(G631="",I631="",G631=0),"",I631-G631)</f>
        <v/>
      </c>
      <c r="K631" s="120">
        <f>IF(G631="","",IF(G631=0,"不適用",IF(I631="","待評核",IF(I631&gt;=G631,IF(I631&gt;G631,"超越","達標"),"待發展"))))</f>
        <v/>
      </c>
      <c r="L631" s="91" t="n"/>
      <c r="M631" s="91" t="n"/>
      <c r="N631" s="88" t="n"/>
    </row>
    <row r="632" ht="15.75" customHeight="1" s="64">
      <c r="A632" s="88" t="n"/>
      <c r="B632" s="120">
        <f t="array" ref="B632:B632">IF(A632="","",IFERROR(INDEX('3.員工名單'!$B:$B,MATCH(A632,'3.員工名單'!$A:$A,0)),"查無此員工"))</f>
        <v/>
      </c>
      <c r="C632" s="120">
        <f t="array" ref="C632:C632">IF(A632="","",IFERROR(INDEX('3.員工名單'!$C:$C,MATCH(A632,'3.員工名單'!$A:$A,0)),""))</f>
        <v/>
      </c>
      <c r="D632" s="120">
        <f t="array" ref="D632:D632">IF(A632="","",IFERROR(INDEX('3.員工名單'!$D:$D,MATCH(A632,'3.員工名單'!$A:$A,0)),""))</f>
        <v/>
      </c>
      <c r="E632" s="120">
        <f t="array" ref="E632:E632">IF(F632="","",IFERROR(INDEX('1.職能辭典'!$A:$A,MATCH(F632,'1.職能辭典'!$C:$C,0)),""))</f>
        <v/>
      </c>
      <c r="F632" s="94" t="n"/>
      <c r="G632" s="120">
        <f t="array" ref="G632:G632">IF(OR(D632="",F632=""),"",IFERROR(IF(AND(OR(INDEX('1.職能辭典'!$J:$J,MATCH(F632,'1.職能辭典'!$C:$C,0))="全部",INDEX('3.員工名單'!$H:$H,MATCH(A632,'3.員工名單'!$A:$A,0))="兩款共用",INDEX('3.員工名單'!$H:$H,MATCH(A632,'3.員工名單'!$A:$A,0))=INDEX('1.職能辭典'!$J:$J,MATCH(F632,'1.職能辭典'!$C:$C,0))),OR(INDEX('1.職能辭典'!$K:$K,MATCH(F632,'1.職能辭典'!$C:$C,0))="全部",SUMPRODUCT(ISNUMBER(SEARCH({"經營","管理","財務","企劃","營運","技術","數據","美術","測試","客服"},INDEX('3.員工名單'!$I:$I,MATCH(A632,'3.員工名單'!$A:$A,0))))*ISNUMBER(SEARCH({"經營","管理","財務","企劃","營運","技術","數據","美術","測試","客服"},INDEX('1.職能辭典'!$K:$K,MATCH(F632,'1.職能辭典'!$C:$C,0)))))&gt;0)),INDEX('2.職務職能需求'!$B$2:$F$28,MATCH(F632,'2.職務職能需求'!$A$2:$A$28,0),MATCH(D632,'2.職務職能需求'!$B$1:$F$1,0)),0),""))</f>
        <v/>
      </c>
      <c r="H632" s="94" t="n"/>
      <c r="I632" s="94" t="n"/>
      <c r="J632" s="120">
        <f>IF(OR(G632="",I632="",G632=0),"",I632-G632)</f>
        <v/>
      </c>
      <c r="K632" s="120">
        <f>IF(G632="","",IF(G632=0,"不適用",IF(I632="","待評核",IF(I632&gt;=G632,IF(I632&gt;G632,"超越","達標"),"待發展"))))</f>
        <v/>
      </c>
      <c r="L632" s="91" t="n"/>
      <c r="M632" s="91" t="n"/>
      <c r="N632" s="88" t="n"/>
    </row>
    <row r="633" ht="15.75" customHeight="1" s="64">
      <c r="A633" s="88" t="n"/>
      <c r="B633" s="120">
        <f t="array" ref="B633:B633">IF(A633="","",IFERROR(INDEX('3.員工名單'!$B:$B,MATCH(A633,'3.員工名單'!$A:$A,0)),"查無此員工"))</f>
        <v/>
      </c>
      <c r="C633" s="120">
        <f t="array" ref="C633:C633">IF(A633="","",IFERROR(INDEX('3.員工名單'!$C:$C,MATCH(A633,'3.員工名單'!$A:$A,0)),""))</f>
        <v/>
      </c>
      <c r="D633" s="120">
        <f t="array" ref="D633:D633">IF(A633="","",IFERROR(INDEX('3.員工名單'!$D:$D,MATCH(A633,'3.員工名單'!$A:$A,0)),""))</f>
        <v/>
      </c>
      <c r="E633" s="120">
        <f t="array" ref="E633:E633">IF(F633="","",IFERROR(INDEX('1.職能辭典'!$A:$A,MATCH(F633,'1.職能辭典'!$C:$C,0)),""))</f>
        <v/>
      </c>
      <c r="F633" s="94" t="n"/>
      <c r="G633" s="120">
        <f t="array" ref="G633:G633">IF(OR(D633="",F633=""),"",IFERROR(IF(AND(OR(INDEX('1.職能辭典'!$J:$J,MATCH(F633,'1.職能辭典'!$C:$C,0))="全部",INDEX('3.員工名單'!$H:$H,MATCH(A633,'3.員工名單'!$A:$A,0))="兩款共用",INDEX('3.員工名單'!$H:$H,MATCH(A633,'3.員工名單'!$A:$A,0))=INDEX('1.職能辭典'!$J:$J,MATCH(F633,'1.職能辭典'!$C:$C,0))),OR(INDEX('1.職能辭典'!$K:$K,MATCH(F633,'1.職能辭典'!$C:$C,0))="全部",SUMPRODUCT(ISNUMBER(SEARCH({"經營","管理","財務","企劃","營運","技術","數據","美術","測試","客服"},INDEX('3.員工名單'!$I:$I,MATCH(A633,'3.員工名單'!$A:$A,0))))*ISNUMBER(SEARCH({"經營","管理","財務","企劃","營運","技術","數據","美術","測試","客服"},INDEX('1.職能辭典'!$K:$K,MATCH(F633,'1.職能辭典'!$C:$C,0)))))&gt;0)),INDEX('2.職務職能需求'!$B$2:$F$28,MATCH(F633,'2.職務職能需求'!$A$2:$A$28,0),MATCH(D633,'2.職務職能需求'!$B$1:$F$1,0)),0),""))</f>
        <v/>
      </c>
      <c r="H633" s="94" t="n"/>
      <c r="I633" s="94" t="n"/>
      <c r="J633" s="120">
        <f>IF(OR(G633="",I633="",G633=0),"",I633-G633)</f>
        <v/>
      </c>
      <c r="K633" s="120">
        <f>IF(G633="","",IF(G633=0,"不適用",IF(I633="","待評核",IF(I633&gt;=G633,IF(I633&gt;G633,"超越","達標"),"待發展"))))</f>
        <v/>
      </c>
      <c r="L633" s="91" t="n"/>
      <c r="M633" s="91" t="n"/>
      <c r="N633" s="88" t="n"/>
    </row>
    <row r="634" ht="15.75" customHeight="1" s="64">
      <c r="A634" s="88" t="n"/>
      <c r="B634" s="120">
        <f t="array" ref="B634:B634">IF(A634="","",IFERROR(INDEX('3.員工名單'!$B:$B,MATCH(A634,'3.員工名單'!$A:$A,0)),"查無此員工"))</f>
        <v/>
      </c>
      <c r="C634" s="120">
        <f t="array" ref="C634:C634">IF(A634="","",IFERROR(INDEX('3.員工名單'!$C:$C,MATCH(A634,'3.員工名單'!$A:$A,0)),""))</f>
        <v/>
      </c>
      <c r="D634" s="120">
        <f t="array" ref="D634:D634">IF(A634="","",IFERROR(INDEX('3.員工名單'!$D:$D,MATCH(A634,'3.員工名單'!$A:$A,0)),""))</f>
        <v/>
      </c>
      <c r="E634" s="120">
        <f t="array" ref="E634:E634">IF(F634="","",IFERROR(INDEX('1.職能辭典'!$A:$A,MATCH(F634,'1.職能辭典'!$C:$C,0)),""))</f>
        <v/>
      </c>
      <c r="F634" s="94" t="n"/>
      <c r="G634" s="120">
        <f t="array" ref="G634:G634">IF(OR(D634="",F634=""),"",IFERROR(IF(AND(OR(INDEX('1.職能辭典'!$J:$J,MATCH(F634,'1.職能辭典'!$C:$C,0))="全部",INDEX('3.員工名單'!$H:$H,MATCH(A634,'3.員工名單'!$A:$A,0))="兩款共用",INDEX('3.員工名單'!$H:$H,MATCH(A634,'3.員工名單'!$A:$A,0))=INDEX('1.職能辭典'!$J:$J,MATCH(F634,'1.職能辭典'!$C:$C,0))),OR(INDEX('1.職能辭典'!$K:$K,MATCH(F634,'1.職能辭典'!$C:$C,0))="全部",SUMPRODUCT(ISNUMBER(SEARCH({"經營","管理","財務","企劃","營運","技術","數據","美術","測試","客服"},INDEX('3.員工名單'!$I:$I,MATCH(A634,'3.員工名單'!$A:$A,0))))*ISNUMBER(SEARCH({"經營","管理","財務","企劃","營運","技術","數據","美術","測試","客服"},INDEX('1.職能辭典'!$K:$K,MATCH(F634,'1.職能辭典'!$C:$C,0)))))&gt;0)),INDEX('2.職務職能需求'!$B$2:$F$28,MATCH(F634,'2.職務職能需求'!$A$2:$A$28,0),MATCH(D634,'2.職務職能需求'!$B$1:$F$1,0)),0),""))</f>
        <v/>
      </c>
      <c r="H634" s="94" t="n"/>
      <c r="I634" s="94" t="n"/>
      <c r="J634" s="120">
        <f>IF(OR(G634="",I634="",G634=0),"",I634-G634)</f>
        <v/>
      </c>
      <c r="K634" s="120">
        <f>IF(G634="","",IF(G634=0,"不適用",IF(I634="","待評核",IF(I634&gt;=G634,IF(I634&gt;G634,"超越","達標"),"待發展"))))</f>
        <v/>
      </c>
      <c r="L634" s="91" t="n"/>
      <c r="M634" s="91" t="n"/>
      <c r="N634" s="88" t="n"/>
    </row>
    <row r="635" ht="15.75" customHeight="1" s="64">
      <c r="A635" s="88" t="n"/>
      <c r="B635" s="120">
        <f t="array" ref="B635:B635">IF(A635="","",IFERROR(INDEX('3.員工名單'!$B:$B,MATCH(A635,'3.員工名單'!$A:$A,0)),"查無此員工"))</f>
        <v/>
      </c>
      <c r="C635" s="120">
        <f t="array" ref="C635:C635">IF(A635="","",IFERROR(INDEX('3.員工名單'!$C:$C,MATCH(A635,'3.員工名單'!$A:$A,0)),""))</f>
        <v/>
      </c>
      <c r="D635" s="120">
        <f t="array" ref="D635:D635">IF(A635="","",IFERROR(INDEX('3.員工名單'!$D:$D,MATCH(A635,'3.員工名單'!$A:$A,0)),""))</f>
        <v/>
      </c>
      <c r="E635" s="120">
        <f t="array" ref="E635:E635">IF(F635="","",IFERROR(INDEX('1.職能辭典'!$A:$A,MATCH(F635,'1.職能辭典'!$C:$C,0)),""))</f>
        <v/>
      </c>
      <c r="F635" s="94" t="n"/>
      <c r="G635" s="120">
        <f t="array" ref="G635:G635">IF(OR(D635="",F635=""),"",IFERROR(IF(AND(OR(INDEX('1.職能辭典'!$J:$J,MATCH(F635,'1.職能辭典'!$C:$C,0))="全部",INDEX('3.員工名單'!$H:$H,MATCH(A635,'3.員工名單'!$A:$A,0))="兩款共用",INDEX('3.員工名單'!$H:$H,MATCH(A635,'3.員工名單'!$A:$A,0))=INDEX('1.職能辭典'!$J:$J,MATCH(F635,'1.職能辭典'!$C:$C,0))),OR(INDEX('1.職能辭典'!$K:$K,MATCH(F635,'1.職能辭典'!$C:$C,0))="全部",SUMPRODUCT(ISNUMBER(SEARCH({"經營","管理","財務","企劃","營運","技術","數據","美術","測試","客服"},INDEX('3.員工名單'!$I:$I,MATCH(A635,'3.員工名單'!$A:$A,0))))*ISNUMBER(SEARCH({"經營","管理","財務","企劃","營運","技術","數據","美術","測試","客服"},INDEX('1.職能辭典'!$K:$K,MATCH(F635,'1.職能辭典'!$C:$C,0)))))&gt;0)),INDEX('2.職務職能需求'!$B$2:$F$28,MATCH(F635,'2.職務職能需求'!$A$2:$A$28,0),MATCH(D635,'2.職務職能需求'!$B$1:$F$1,0)),0),""))</f>
        <v/>
      </c>
      <c r="H635" s="94" t="n"/>
      <c r="I635" s="94" t="n"/>
      <c r="J635" s="120">
        <f>IF(OR(G635="",I635="",G635=0),"",I635-G635)</f>
        <v/>
      </c>
      <c r="K635" s="120">
        <f>IF(G635="","",IF(G635=0,"不適用",IF(I635="","待評核",IF(I635&gt;=G635,IF(I635&gt;G635,"超越","達標"),"待發展"))))</f>
        <v/>
      </c>
      <c r="L635" s="91" t="n"/>
      <c r="M635" s="91" t="n"/>
      <c r="N635" s="88" t="n"/>
    </row>
    <row r="636" ht="15.75" customHeight="1" s="64">
      <c r="A636" s="88" t="n"/>
      <c r="B636" s="120">
        <f t="array" ref="B636:B636">IF(A636="","",IFERROR(INDEX('3.員工名單'!$B:$B,MATCH(A636,'3.員工名單'!$A:$A,0)),"查無此員工"))</f>
        <v/>
      </c>
      <c r="C636" s="120">
        <f t="array" ref="C636:C636">IF(A636="","",IFERROR(INDEX('3.員工名單'!$C:$C,MATCH(A636,'3.員工名單'!$A:$A,0)),""))</f>
        <v/>
      </c>
      <c r="D636" s="120">
        <f t="array" ref="D636:D636">IF(A636="","",IFERROR(INDEX('3.員工名單'!$D:$D,MATCH(A636,'3.員工名單'!$A:$A,0)),""))</f>
        <v/>
      </c>
      <c r="E636" s="120">
        <f t="array" ref="E636:E636">IF(F636="","",IFERROR(INDEX('1.職能辭典'!$A:$A,MATCH(F636,'1.職能辭典'!$C:$C,0)),""))</f>
        <v/>
      </c>
      <c r="F636" s="94" t="n"/>
      <c r="G636" s="120">
        <f t="array" ref="G636:G636">IF(OR(D636="",F636=""),"",IFERROR(IF(AND(OR(INDEX('1.職能辭典'!$J:$J,MATCH(F636,'1.職能辭典'!$C:$C,0))="全部",INDEX('3.員工名單'!$H:$H,MATCH(A636,'3.員工名單'!$A:$A,0))="兩款共用",INDEX('3.員工名單'!$H:$H,MATCH(A636,'3.員工名單'!$A:$A,0))=INDEX('1.職能辭典'!$J:$J,MATCH(F636,'1.職能辭典'!$C:$C,0))),OR(INDEX('1.職能辭典'!$K:$K,MATCH(F636,'1.職能辭典'!$C:$C,0))="全部",SUMPRODUCT(ISNUMBER(SEARCH({"經營","管理","財務","企劃","營運","技術","數據","美術","測試","客服"},INDEX('3.員工名單'!$I:$I,MATCH(A636,'3.員工名單'!$A:$A,0))))*ISNUMBER(SEARCH({"經營","管理","財務","企劃","營運","技術","數據","美術","測試","客服"},INDEX('1.職能辭典'!$K:$K,MATCH(F636,'1.職能辭典'!$C:$C,0)))))&gt;0)),INDEX('2.職務職能需求'!$B$2:$F$28,MATCH(F636,'2.職務職能需求'!$A$2:$A$28,0),MATCH(D636,'2.職務職能需求'!$B$1:$F$1,0)),0),""))</f>
        <v/>
      </c>
      <c r="H636" s="94" t="n"/>
      <c r="I636" s="94" t="n"/>
      <c r="J636" s="120">
        <f>IF(OR(G636="",I636="",G636=0),"",I636-G636)</f>
        <v/>
      </c>
      <c r="K636" s="120">
        <f>IF(G636="","",IF(G636=0,"不適用",IF(I636="","待評核",IF(I636&gt;=G636,IF(I636&gt;G636,"超越","達標"),"待發展"))))</f>
        <v/>
      </c>
      <c r="L636" s="91" t="n"/>
      <c r="M636" s="91" t="n"/>
      <c r="N636" s="88" t="n"/>
    </row>
    <row r="637" ht="15.75" customHeight="1" s="64">
      <c r="A637" s="88" t="n"/>
      <c r="B637" s="120">
        <f t="array" ref="B637:B637">IF(A637="","",IFERROR(INDEX('3.員工名單'!$B:$B,MATCH(A637,'3.員工名單'!$A:$A,0)),"查無此員工"))</f>
        <v/>
      </c>
      <c r="C637" s="120">
        <f t="array" ref="C637:C637">IF(A637="","",IFERROR(INDEX('3.員工名單'!$C:$C,MATCH(A637,'3.員工名單'!$A:$A,0)),""))</f>
        <v/>
      </c>
      <c r="D637" s="120">
        <f t="array" ref="D637:D637">IF(A637="","",IFERROR(INDEX('3.員工名單'!$D:$D,MATCH(A637,'3.員工名單'!$A:$A,0)),""))</f>
        <v/>
      </c>
      <c r="E637" s="120">
        <f t="array" ref="E637:E637">IF(F637="","",IFERROR(INDEX('1.職能辭典'!$A:$A,MATCH(F637,'1.職能辭典'!$C:$C,0)),""))</f>
        <v/>
      </c>
      <c r="F637" s="94" t="n"/>
      <c r="G637" s="120">
        <f t="array" ref="G637:G637">IF(OR(D637="",F637=""),"",IFERROR(IF(AND(OR(INDEX('1.職能辭典'!$J:$J,MATCH(F637,'1.職能辭典'!$C:$C,0))="全部",INDEX('3.員工名單'!$H:$H,MATCH(A637,'3.員工名單'!$A:$A,0))="兩款共用",INDEX('3.員工名單'!$H:$H,MATCH(A637,'3.員工名單'!$A:$A,0))=INDEX('1.職能辭典'!$J:$J,MATCH(F637,'1.職能辭典'!$C:$C,0))),OR(INDEX('1.職能辭典'!$K:$K,MATCH(F637,'1.職能辭典'!$C:$C,0))="全部",SUMPRODUCT(ISNUMBER(SEARCH({"經營","管理","財務","企劃","營運","技術","數據","美術","測試","客服"},INDEX('3.員工名單'!$I:$I,MATCH(A637,'3.員工名單'!$A:$A,0))))*ISNUMBER(SEARCH({"經營","管理","財務","企劃","營運","技術","數據","美術","測試","客服"},INDEX('1.職能辭典'!$K:$K,MATCH(F637,'1.職能辭典'!$C:$C,0)))))&gt;0)),INDEX('2.職務職能需求'!$B$2:$F$28,MATCH(F637,'2.職務職能需求'!$A$2:$A$28,0),MATCH(D637,'2.職務職能需求'!$B$1:$F$1,0)),0),""))</f>
        <v/>
      </c>
      <c r="H637" s="94" t="n"/>
      <c r="I637" s="94" t="n"/>
      <c r="J637" s="120">
        <f>IF(OR(G637="",I637="",G637=0),"",I637-G637)</f>
        <v/>
      </c>
      <c r="K637" s="120">
        <f>IF(G637="","",IF(G637=0,"不適用",IF(I637="","待評核",IF(I637&gt;=G637,IF(I637&gt;G637,"超越","達標"),"待發展"))))</f>
        <v/>
      </c>
      <c r="L637" s="91" t="n"/>
      <c r="M637" s="91" t="n"/>
      <c r="N637" s="88" t="n"/>
    </row>
    <row r="638" ht="15.75" customHeight="1" s="64">
      <c r="A638" s="88" t="n"/>
      <c r="B638" s="120">
        <f t="array" ref="B638:B638">IF(A638="","",IFERROR(INDEX('3.員工名單'!$B:$B,MATCH(A638,'3.員工名單'!$A:$A,0)),"查無此員工"))</f>
        <v/>
      </c>
      <c r="C638" s="120">
        <f t="array" ref="C638:C638">IF(A638="","",IFERROR(INDEX('3.員工名單'!$C:$C,MATCH(A638,'3.員工名單'!$A:$A,0)),""))</f>
        <v/>
      </c>
      <c r="D638" s="120">
        <f t="array" ref="D638:D638">IF(A638="","",IFERROR(INDEX('3.員工名單'!$D:$D,MATCH(A638,'3.員工名單'!$A:$A,0)),""))</f>
        <v/>
      </c>
      <c r="E638" s="120">
        <f t="array" ref="E638:E638">IF(F638="","",IFERROR(INDEX('1.職能辭典'!$A:$A,MATCH(F638,'1.職能辭典'!$C:$C,0)),""))</f>
        <v/>
      </c>
      <c r="F638" s="94" t="n"/>
      <c r="G638" s="120">
        <f t="array" ref="G638:G638">IF(OR(D638="",F638=""),"",IFERROR(IF(AND(OR(INDEX('1.職能辭典'!$J:$J,MATCH(F638,'1.職能辭典'!$C:$C,0))="全部",INDEX('3.員工名單'!$H:$H,MATCH(A638,'3.員工名單'!$A:$A,0))="兩款共用",INDEX('3.員工名單'!$H:$H,MATCH(A638,'3.員工名單'!$A:$A,0))=INDEX('1.職能辭典'!$J:$J,MATCH(F638,'1.職能辭典'!$C:$C,0))),OR(INDEX('1.職能辭典'!$K:$K,MATCH(F638,'1.職能辭典'!$C:$C,0))="全部",SUMPRODUCT(ISNUMBER(SEARCH({"經營","管理","財務","企劃","營運","技術","數據","美術","測試","客服"},INDEX('3.員工名單'!$I:$I,MATCH(A638,'3.員工名單'!$A:$A,0))))*ISNUMBER(SEARCH({"經營","管理","財務","企劃","營運","技術","數據","美術","測試","客服"},INDEX('1.職能辭典'!$K:$K,MATCH(F638,'1.職能辭典'!$C:$C,0)))))&gt;0)),INDEX('2.職務職能需求'!$B$2:$F$28,MATCH(F638,'2.職務職能需求'!$A$2:$A$28,0),MATCH(D638,'2.職務職能需求'!$B$1:$F$1,0)),0),""))</f>
        <v/>
      </c>
      <c r="H638" s="94" t="n"/>
      <c r="I638" s="94" t="n"/>
      <c r="J638" s="120">
        <f>IF(OR(G638="",I638="",G638=0),"",I638-G638)</f>
        <v/>
      </c>
      <c r="K638" s="120">
        <f>IF(G638="","",IF(G638=0,"不適用",IF(I638="","待評核",IF(I638&gt;=G638,IF(I638&gt;G638,"超越","達標"),"待發展"))))</f>
        <v/>
      </c>
      <c r="L638" s="91" t="n"/>
      <c r="M638" s="91" t="n"/>
      <c r="N638" s="88" t="n"/>
    </row>
    <row r="639" ht="15.75" customHeight="1" s="64">
      <c r="A639" s="88" t="n"/>
      <c r="B639" s="120">
        <f t="array" ref="B639:B639">IF(A639="","",IFERROR(INDEX('3.員工名單'!$B:$B,MATCH(A639,'3.員工名單'!$A:$A,0)),"查無此員工"))</f>
        <v/>
      </c>
      <c r="C639" s="120">
        <f t="array" ref="C639:C639">IF(A639="","",IFERROR(INDEX('3.員工名單'!$C:$C,MATCH(A639,'3.員工名單'!$A:$A,0)),""))</f>
        <v/>
      </c>
      <c r="D639" s="120">
        <f t="array" ref="D639:D639">IF(A639="","",IFERROR(INDEX('3.員工名單'!$D:$D,MATCH(A639,'3.員工名單'!$A:$A,0)),""))</f>
        <v/>
      </c>
      <c r="E639" s="120">
        <f t="array" ref="E639:E639">IF(F639="","",IFERROR(INDEX('1.職能辭典'!$A:$A,MATCH(F639,'1.職能辭典'!$C:$C,0)),""))</f>
        <v/>
      </c>
      <c r="F639" s="94" t="n"/>
      <c r="G639" s="120">
        <f t="array" ref="G639:G639">IF(OR(D639="",F639=""),"",IFERROR(IF(AND(OR(INDEX('1.職能辭典'!$J:$J,MATCH(F639,'1.職能辭典'!$C:$C,0))="全部",INDEX('3.員工名單'!$H:$H,MATCH(A639,'3.員工名單'!$A:$A,0))="兩款共用",INDEX('3.員工名單'!$H:$H,MATCH(A639,'3.員工名單'!$A:$A,0))=INDEX('1.職能辭典'!$J:$J,MATCH(F639,'1.職能辭典'!$C:$C,0))),OR(INDEX('1.職能辭典'!$K:$K,MATCH(F639,'1.職能辭典'!$C:$C,0))="全部",SUMPRODUCT(ISNUMBER(SEARCH({"經營","管理","財務","企劃","營運","技術","數據","美術","測試","客服"},INDEX('3.員工名單'!$I:$I,MATCH(A639,'3.員工名單'!$A:$A,0))))*ISNUMBER(SEARCH({"經營","管理","財務","企劃","營運","技術","數據","美術","測試","客服"},INDEX('1.職能辭典'!$K:$K,MATCH(F639,'1.職能辭典'!$C:$C,0)))))&gt;0)),INDEX('2.職務職能需求'!$B$2:$F$28,MATCH(F639,'2.職務職能需求'!$A$2:$A$28,0),MATCH(D639,'2.職務職能需求'!$B$1:$F$1,0)),0),""))</f>
        <v/>
      </c>
      <c r="H639" s="94" t="n"/>
      <c r="I639" s="94" t="n"/>
      <c r="J639" s="120">
        <f>IF(OR(G639="",I639="",G639=0),"",I639-G639)</f>
        <v/>
      </c>
      <c r="K639" s="120">
        <f>IF(G639="","",IF(G639=0,"不適用",IF(I639="","待評核",IF(I639&gt;=G639,IF(I639&gt;G639,"超越","達標"),"待發展"))))</f>
        <v/>
      </c>
      <c r="L639" s="91" t="n"/>
      <c r="M639" s="91" t="n"/>
      <c r="N639" s="88" t="n"/>
    </row>
    <row r="640" ht="15.75" customHeight="1" s="64">
      <c r="A640" s="88" t="n"/>
      <c r="B640" s="120">
        <f t="array" ref="B640:B640">IF(A640="","",IFERROR(INDEX('3.員工名單'!$B:$B,MATCH(A640,'3.員工名單'!$A:$A,0)),"查無此員工"))</f>
        <v/>
      </c>
      <c r="C640" s="120">
        <f t="array" ref="C640:C640">IF(A640="","",IFERROR(INDEX('3.員工名單'!$C:$C,MATCH(A640,'3.員工名單'!$A:$A,0)),""))</f>
        <v/>
      </c>
      <c r="D640" s="120">
        <f t="array" ref="D640:D640">IF(A640="","",IFERROR(INDEX('3.員工名單'!$D:$D,MATCH(A640,'3.員工名單'!$A:$A,0)),""))</f>
        <v/>
      </c>
      <c r="E640" s="120">
        <f t="array" ref="E640:E640">IF(F640="","",IFERROR(INDEX('1.職能辭典'!$A:$A,MATCH(F640,'1.職能辭典'!$C:$C,0)),""))</f>
        <v/>
      </c>
      <c r="F640" s="94" t="n"/>
      <c r="G640" s="120">
        <f t="array" ref="G640:G640">IF(OR(D640="",F640=""),"",IFERROR(IF(AND(OR(INDEX('1.職能辭典'!$J:$J,MATCH(F640,'1.職能辭典'!$C:$C,0))="全部",INDEX('3.員工名單'!$H:$H,MATCH(A640,'3.員工名單'!$A:$A,0))="兩款共用",INDEX('3.員工名單'!$H:$H,MATCH(A640,'3.員工名單'!$A:$A,0))=INDEX('1.職能辭典'!$J:$J,MATCH(F640,'1.職能辭典'!$C:$C,0))),OR(INDEX('1.職能辭典'!$K:$K,MATCH(F640,'1.職能辭典'!$C:$C,0))="全部",SUMPRODUCT(ISNUMBER(SEARCH({"經營","管理","財務","企劃","營運","技術","數據","美術","測試","客服"},INDEX('3.員工名單'!$I:$I,MATCH(A640,'3.員工名單'!$A:$A,0))))*ISNUMBER(SEARCH({"經營","管理","財務","企劃","營運","技術","數據","美術","測試","客服"},INDEX('1.職能辭典'!$K:$K,MATCH(F640,'1.職能辭典'!$C:$C,0)))))&gt;0)),INDEX('2.職務職能需求'!$B$2:$F$28,MATCH(F640,'2.職務職能需求'!$A$2:$A$28,0),MATCH(D640,'2.職務職能需求'!$B$1:$F$1,0)),0),""))</f>
        <v/>
      </c>
      <c r="H640" s="94" t="n"/>
      <c r="I640" s="94" t="n"/>
      <c r="J640" s="120">
        <f>IF(OR(G640="",I640="",G640=0),"",I640-G640)</f>
        <v/>
      </c>
      <c r="K640" s="120">
        <f>IF(G640="","",IF(G640=0,"不適用",IF(I640="","待評核",IF(I640&gt;=G640,IF(I640&gt;G640,"超越","達標"),"待發展"))))</f>
        <v/>
      </c>
      <c r="L640" s="91" t="n"/>
      <c r="M640" s="91" t="n"/>
      <c r="N640" s="88" t="n"/>
    </row>
    <row r="641" ht="15.75" customHeight="1" s="64">
      <c r="A641" s="88" t="n"/>
      <c r="B641" s="120">
        <f t="array" ref="B641:B641">IF(A641="","",IFERROR(INDEX('3.員工名單'!$B:$B,MATCH(A641,'3.員工名單'!$A:$A,0)),"查無此員工"))</f>
        <v/>
      </c>
      <c r="C641" s="120">
        <f t="array" ref="C641:C641">IF(A641="","",IFERROR(INDEX('3.員工名單'!$C:$C,MATCH(A641,'3.員工名單'!$A:$A,0)),""))</f>
        <v/>
      </c>
      <c r="D641" s="120">
        <f t="array" ref="D641:D641">IF(A641="","",IFERROR(INDEX('3.員工名單'!$D:$D,MATCH(A641,'3.員工名單'!$A:$A,0)),""))</f>
        <v/>
      </c>
      <c r="E641" s="120">
        <f t="array" ref="E641:E641">IF(F641="","",IFERROR(INDEX('1.職能辭典'!$A:$A,MATCH(F641,'1.職能辭典'!$C:$C,0)),""))</f>
        <v/>
      </c>
      <c r="F641" s="94" t="n"/>
      <c r="G641" s="120">
        <f t="array" ref="G641:G641">IF(OR(D641="",F641=""),"",IFERROR(IF(AND(OR(INDEX('1.職能辭典'!$J:$J,MATCH(F641,'1.職能辭典'!$C:$C,0))="全部",INDEX('3.員工名單'!$H:$H,MATCH(A641,'3.員工名單'!$A:$A,0))="兩款共用",INDEX('3.員工名單'!$H:$H,MATCH(A641,'3.員工名單'!$A:$A,0))=INDEX('1.職能辭典'!$J:$J,MATCH(F641,'1.職能辭典'!$C:$C,0))),OR(INDEX('1.職能辭典'!$K:$K,MATCH(F641,'1.職能辭典'!$C:$C,0))="全部",SUMPRODUCT(ISNUMBER(SEARCH({"經營","管理","財務","企劃","營運","技術","數據","美術","測試","客服"},INDEX('3.員工名單'!$I:$I,MATCH(A641,'3.員工名單'!$A:$A,0))))*ISNUMBER(SEARCH({"經營","管理","財務","企劃","營運","技術","數據","美術","測試","客服"},INDEX('1.職能辭典'!$K:$K,MATCH(F641,'1.職能辭典'!$C:$C,0)))))&gt;0)),INDEX('2.職務職能需求'!$B$2:$F$28,MATCH(F641,'2.職務職能需求'!$A$2:$A$28,0),MATCH(D641,'2.職務職能需求'!$B$1:$F$1,0)),0),""))</f>
        <v/>
      </c>
      <c r="H641" s="94" t="n"/>
      <c r="I641" s="94" t="n"/>
      <c r="J641" s="120">
        <f>IF(OR(G641="",I641="",G641=0),"",I641-G641)</f>
        <v/>
      </c>
      <c r="K641" s="120">
        <f>IF(G641="","",IF(G641=0,"不適用",IF(I641="","待評核",IF(I641&gt;=G641,IF(I641&gt;G641,"超越","達標"),"待發展"))))</f>
        <v/>
      </c>
      <c r="L641" s="91" t="n"/>
      <c r="M641" s="91" t="n"/>
      <c r="N641" s="88" t="n"/>
    </row>
    <row r="642" ht="15.75" customHeight="1" s="64">
      <c r="A642" s="88" t="n"/>
      <c r="B642" s="120">
        <f t="array" ref="B642:B642">IF(A642="","",IFERROR(INDEX('3.員工名單'!$B:$B,MATCH(A642,'3.員工名單'!$A:$A,0)),"查無此員工"))</f>
        <v/>
      </c>
      <c r="C642" s="120">
        <f t="array" ref="C642:C642">IF(A642="","",IFERROR(INDEX('3.員工名單'!$C:$C,MATCH(A642,'3.員工名單'!$A:$A,0)),""))</f>
        <v/>
      </c>
      <c r="D642" s="120">
        <f t="array" ref="D642:D642">IF(A642="","",IFERROR(INDEX('3.員工名單'!$D:$D,MATCH(A642,'3.員工名單'!$A:$A,0)),""))</f>
        <v/>
      </c>
      <c r="E642" s="120">
        <f t="array" ref="E642:E642">IF(F642="","",IFERROR(INDEX('1.職能辭典'!$A:$A,MATCH(F642,'1.職能辭典'!$C:$C,0)),""))</f>
        <v/>
      </c>
      <c r="F642" s="94" t="n"/>
      <c r="G642" s="120">
        <f t="array" ref="G642:G642">IF(OR(D642="",F642=""),"",IFERROR(IF(AND(OR(INDEX('1.職能辭典'!$J:$J,MATCH(F642,'1.職能辭典'!$C:$C,0))="全部",INDEX('3.員工名單'!$H:$H,MATCH(A642,'3.員工名單'!$A:$A,0))="兩款共用",INDEX('3.員工名單'!$H:$H,MATCH(A642,'3.員工名單'!$A:$A,0))=INDEX('1.職能辭典'!$J:$J,MATCH(F642,'1.職能辭典'!$C:$C,0))),OR(INDEX('1.職能辭典'!$K:$K,MATCH(F642,'1.職能辭典'!$C:$C,0))="全部",SUMPRODUCT(ISNUMBER(SEARCH({"經營","管理","財務","企劃","營運","技術","數據","美術","測試","客服"},INDEX('3.員工名單'!$I:$I,MATCH(A642,'3.員工名單'!$A:$A,0))))*ISNUMBER(SEARCH({"經營","管理","財務","企劃","營運","技術","數據","美術","測試","客服"},INDEX('1.職能辭典'!$K:$K,MATCH(F642,'1.職能辭典'!$C:$C,0)))))&gt;0)),INDEX('2.職務職能需求'!$B$2:$F$28,MATCH(F642,'2.職務職能需求'!$A$2:$A$28,0),MATCH(D642,'2.職務職能需求'!$B$1:$F$1,0)),0),""))</f>
        <v/>
      </c>
      <c r="H642" s="94" t="n"/>
      <c r="I642" s="94" t="n"/>
      <c r="J642" s="120">
        <f>IF(OR(G642="",I642="",G642=0),"",I642-G642)</f>
        <v/>
      </c>
      <c r="K642" s="120">
        <f>IF(G642="","",IF(G642=0,"不適用",IF(I642="","待評核",IF(I642&gt;=G642,IF(I642&gt;G642,"超越","達標"),"待發展"))))</f>
        <v/>
      </c>
      <c r="L642" s="91" t="n"/>
      <c r="M642" s="91" t="n"/>
      <c r="N642" s="88" t="n"/>
    </row>
    <row r="643" ht="15.75" customHeight="1" s="64">
      <c r="A643" s="88" t="n"/>
      <c r="B643" s="120">
        <f t="array" ref="B643:B643">IF(A643="","",IFERROR(INDEX('3.員工名單'!$B:$B,MATCH(A643,'3.員工名單'!$A:$A,0)),"查無此員工"))</f>
        <v/>
      </c>
      <c r="C643" s="120">
        <f t="array" ref="C643:C643">IF(A643="","",IFERROR(INDEX('3.員工名單'!$C:$C,MATCH(A643,'3.員工名單'!$A:$A,0)),""))</f>
        <v/>
      </c>
      <c r="D643" s="120">
        <f t="array" ref="D643:D643">IF(A643="","",IFERROR(INDEX('3.員工名單'!$D:$D,MATCH(A643,'3.員工名單'!$A:$A,0)),""))</f>
        <v/>
      </c>
      <c r="E643" s="120">
        <f t="array" ref="E643:E643">IF(F643="","",IFERROR(INDEX('1.職能辭典'!$A:$A,MATCH(F643,'1.職能辭典'!$C:$C,0)),""))</f>
        <v/>
      </c>
      <c r="F643" s="94" t="n"/>
      <c r="G643" s="120">
        <f t="array" ref="G643:G643">IF(OR(D643="",F643=""),"",IFERROR(IF(AND(OR(INDEX('1.職能辭典'!$J:$J,MATCH(F643,'1.職能辭典'!$C:$C,0))="全部",INDEX('3.員工名單'!$H:$H,MATCH(A643,'3.員工名單'!$A:$A,0))="兩款共用",INDEX('3.員工名單'!$H:$H,MATCH(A643,'3.員工名單'!$A:$A,0))=INDEX('1.職能辭典'!$J:$J,MATCH(F643,'1.職能辭典'!$C:$C,0))),OR(INDEX('1.職能辭典'!$K:$K,MATCH(F643,'1.職能辭典'!$C:$C,0))="全部",SUMPRODUCT(ISNUMBER(SEARCH({"經營","管理","財務","企劃","營運","技術","數據","美術","測試","客服"},INDEX('3.員工名單'!$I:$I,MATCH(A643,'3.員工名單'!$A:$A,0))))*ISNUMBER(SEARCH({"經營","管理","財務","企劃","營運","技術","數據","美術","測試","客服"},INDEX('1.職能辭典'!$K:$K,MATCH(F643,'1.職能辭典'!$C:$C,0)))))&gt;0)),INDEX('2.職務職能需求'!$B$2:$F$28,MATCH(F643,'2.職務職能需求'!$A$2:$A$28,0),MATCH(D643,'2.職務職能需求'!$B$1:$F$1,0)),0),""))</f>
        <v/>
      </c>
      <c r="H643" s="94" t="n"/>
      <c r="I643" s="94" t="n"/>
      <c r="J643" s="120">
        <f>IF(OR(G643="",I643="",G643=0),"",I643-G643)</f>
        <v/>
      </c>
      <c r="K643" s="120">
        <f>IF(G643="","",IF(G643=0,"不適用",IF(I643="","待評核",IF(I643&gt;=G643,IF(I643&gt;G643,"超越","達標"),"待發展"))))</f>
        <v/>
      </c>
      <c r="L643" s="91" t="n"/>
      <c r="M643" s="91" t="n"/>
      <c r="N643" s="88" t="n"/>
    </row>
    <row r="644" ht="15.75" customHeight="1" s="64">
      <c r="A644" s="88" t="n"/>
      <c r="B644" s="120">
        <f t="array" ref="B644:B644">IF(A644="","",IFERROR(INDEX('3.員工名單'!$B:$B,MATCH(A644,'3.員工名單'!$A:$A,0)),"查無此員工"))</f>
        <v/>
      </c>
      <c r="C644" s="120">
        <f t="array" ref="C644:C644">IF(A644="","",IFERROR(INDEX('3.員工名單'!$C:$C,MATCH(A644,'3.員工名單'!$A:$A,0)),""))</f>
        <v/>
      </c>
      <c r="D644" s="120">
        <f t="array" ref="D644:D644">IF(A644="","",IFERROR(INDEX('3.員工名單'!$D:$D,MATCH(A644,'3.員工名單'!$A:$A,0)),""))</f>
        <v/>
      </c>
      <c r="E644" s="120">
        <f t="array" ref="E644:E644">IF(F644="","",IFERROR(INDEX('1.職能辭典'!$A:$A,MATCH(F644,'1.職能辭典'!$C:$C,0)),""))</f>
        <v/>
      </c>
      <c r="F644" s="94" t="n"/>
      <c r="G644" s="120">
        <f t="array" ref="G644:G644">IF(OR(D644="",F644=""),"",IFERROR(IF(AND(OR(INDEX('1.職能辭典'!$J:$J,MATCH(F644,'1.職能辭典'!$C:$C,0))="全部",INDEX('3.員工名單'!$H:$H,MATCH(A644,'3.員工名單'!$A:$A,0))="兩款共用",INDEX('3.員工名單'!$H:$H,MATCH(A644,'3.員工名單'!$A:$A,0))=INDEX('1.職能辭典'!$J:$J,MATCH(F644,'1.職能辭典'!$C:$C,0))),OR(INDEX('1.職能辭典'!$K:$K,MATCH(F644,'1.職能辭典'!$C:$C,0))="全部",SUMPRODUCT(ISNUMBER(SEARCH({"經營","管理","財務","企劃","營運","技術","數據","美術","測試","客服"},INDEX('3.員工名單'!$I:$I,MATCH(A644,'3.員工名單'!$A:$A,0))))*ISNUMBER(SEARCH({"經營","管理","財務","企劃","營運","技術","數據","美術","測試","客服"},INDEX('1.職能辭典'!$K:$K,MATCH(F644,'1.職能辭典'!$C:$C,0)))))&gt;0)),INDEX('2.職務職能需求'!$B$2:$F$28,MATCH(F644,'2.職務職能需求'!$A$2:$A$28,0),MATCH(D644,'2.職務職能需求'!$B$1:$F$1,0)),0),""))</f>
        <v/>
      </c>
      <c r="H644" s="94" t="n"/>
      <c r="I644" s="94" t="n"/>
      <c r="J644" s="120">
        <f>IF(OR(G644="",I644="",G644=0),"",I644-G644)</f>
        <v/>
      </c>
      <c r="K644" s="120">
        <f>IF(G644="","",IF(G644=0,"不適用",IF(I644="","待評核",IF(I644&gt;=G644,IF(I644&gt;G644,"超越","達標"),"待發展"))))</f>
        <v/>
      </c>
      <c r="L644" s="91" t="n"/>
      <c r="M644" s="91" t="n"/>
      <c r="N644" s="88" t="n"/>
    </row>
    <row r="645" ht="15.75" customHeight="1" s="64">
      <c r="A645" s="88" t="n"/>
      <c r="B645" s="120">
        <f t="array" ref="B645:B645">IF(A645="","",IFERROR(INDEX('3.員工名單'!$B:$B,MATCH(A645,'3.員工名單'!$A:$A,0)),"查無此員工"))</f>
        <v/>
      </c>
      <c r="C645" s="120">
        <f t="array" ref="C645:C645">IF(A645="","",IFERROR(INDEX('3.員工名單'!$C:$C,MATCH(A645,'3.員工名單'!$A:$A,0)),""))</f>
        <v/>
      </c>
      <c r="D645" s="120">
        <f t="array" ref="D645:D645">IF(A645="","",IFERROR(INDEX('3.員工名單'!$D:$D,MATCH(A645,'3.員工名單'!$A:$A,0)),""))</f>
        <v/>
      </c>
      <c r="E645" s="120">
        <f t="array" ref="E645:E645">IF(F645="","",IFERROR(INDEX('1.職能辭典'!$A:$A,MATCH(F645,'1.職能辭典'!$C:$C,0)),""))</f>
        <v/>
      </c>
      <c r="F645" s="94" t="n"/>
      <c r="G645" s="120">
        <f t="array" ref="G645:G645">IF(OR(D645="",F645=""),"",IFERROR(IF(AND(OR(INDEX('1.職能辭典'!$J:$J,MATCH(F645,'1.職能辭典'!$C:$C,0))="全部",INDEX('3.員工名單'!$H:$H,MATCH(A645,'3.員工名單'!$A:$A,0))="兩款共用",INDEX('3.員工名單'!$H:$H,MATCH(A645,'3.員工名單'!$A:$A,0))=INDEX('1.職能辭典'!$J:$J,MATCH(F645,'1.職能辭典'!$C:$C,0))),OR(INDEX('1.職能辭典'!$K:$K,MATCH(F645,'1.職能辭典'!$C:$C,0))="全部",SUMPRODUCT(ISNUMBER(SEARCH({"經營","管理","財務","企劃","營運","技術","數據","美術","測試","客服"},INDEX('3.員工名單'!$I:$I,MATCH(A645,'3.員工名單'!$A:$A,0))))*ISNUMBER(SEARCH({"經營","管理","財務","企劃","營運","技術","數據","美術","測試","客服"},INDEX('1.職能辭典'!$K:$K,MATCH(F645,'1.職能辭典'!$C:$C,0)))))&gt;0)),INDEX('2.職務職能需求'!$B$2:$F$28,MATCH(F645,'2.職務職能需求'!$A$2:$A$28,0),MATCH(D645,'2.職務職能需求'!$B$1:$F$1,0)),0),""))</f>
        <v/>
      </c>
      <c r="H645" s="94" t="n"/>
      <c r="I645" s="94" t="n"/>
      <c r="J645" s="120">
        <f>IF(OR(G645="",I645="",G645=0),"",I645-G645)</f>
        <v/>
      </c>
      <c r="K645" s="120">
        <f>IF(G645="","",IF(G645=0,"不適用",IF(I645="","待評核",IF(I645&gt;=G645,IF(I645&gt;G645,"超越","達標"),"待發展"))))</f>
        <v/>
      </c>
      <c r="L645" s="91" t="n"/>
      <c r="M645" s="91" t="n"/>
      <c r="N645" s="88" t="n"/>
    </row>
    <row r="646" ht="15.75" customHeight="1" s="64">
      <c r="A646" s="88" t="n"/>
      <c r="B646" s="120">
        <f t="array" ref="B646:B646">IF(A646="","",IFERROR(INDEX('3.員工名單'!$B:$B,MATCH(A646,'3.員工名單'!$A:$A,0)),"查無此員工"))</f>
        <v/>
      </c>
      <c r="C646" s="120">
        <f t="array" ref="C646:C646">IF(A646="","",IFERROR(INDEX('3.員工名單'!$C:$C,MATCH(A646,'3.員工名單'!$A:$A,0)),""))</f>
        <v/>
      </c>
      <c r="D646" s="120">
        <f t="array" ref="D646:D646">IF(A646="","",IFERROR(INDEX('3.員工名單'!$D:$D,MATCH(A646,'3.員工名單'!$A:$A,0)),""))</f>
        <v/>
      </c>
      <c r="E646" s="120">
        <f t="array" ref="E646:E646">IF(F646="","",IFERROR(INDEX('1.職能辭典'!$A:$A,MATCH(F646,'1.職能辭典'!$C:$C,0)),""))</f>
        <v/>
      </c>
      <c r="F646" s="94" t="n"/>
      <c r="G646" s="120">
        <f t="array" ref="G646:G646">IF(OR(D646="",F646=""),"",IFERROR(IF(AND(OR(INDEX('1.職能辭典'!$J:$J,MATCH(F646,'1.職能辭典'!$C:$C,0))="全部",INDEX('3.員工名單'!$H:$H,MATCH(A646,'3.員工名單'!$A:$A,0))="兩款共用",INDEX('3.員工名單'!$H:$H,MATCH(A646,'3.員工名單'!$A:$A,0))=INDEX('1.職能辭典'!$J:$J,MATCH(F646,'1.職能辭典'!$C:$C,0))),OR(INDEX('1.職能辭典'!$K:$K,MATCH(F646,'1.職能辭典'!$C:$C,0))="全部",SUMPRODUCT(ISNUMBER(SEARCH({"經營","管理","財務","企劃","營運","技術","數據","美術","測試","客服"},INDEX('3.員工名單'!$I:$I,MATCH(A646,'3.員工名單'!$A:$A,0))))*ISNUMBER(SEARCH({"經營","管理","財務","企劃","營運","技術","數據","美術","測試","客服"},INDEX('1.職能辭典'!$K:$K,MATCH(F646,'1.職能辭典'!$C:$C,0)))))&gt;0)),INDEX('2.職務職能需求'!$B$2:$F$28,MATCH(F646,'2.職務職能需求'!$A$2:$A$28,0),MATCH(D646,'2.職務職能需求'!$B$1:$F$1,0)),0),""))</f>
        <v/>
      </c>
      <c r="H646" s="94" t="n"/>
      <c r="I646" s="94" t="n"/>
      <c r="J646" s="120">
        <f>IF(OR(G646="",I646="",G646=0),"",I646-G646)</f>
        <v/>
      </c>
      <c r="K646" s="120">
        <f>IF(G646="","",IF(G646=0,"不適用",IF(I646="","待評核",IF(I646&gt;=G646,IF(I646&gt;G646,"超越","達標"),"待發展"))))</f>
        <v/>
      </c>
      <c r="L646" s="91" t="n"/>
      <c r="M646" s="91" t="n"/>
      <c r="N646" s="88" t="n"/>
    </row>
    <row r="647" ht="15.75" customHeight="1" s="64">
      <c r="A647" s="88" t="n"/>
      <c r="B647" s="120">
        <f t="array" ref="B647:B647">IF(A647="","",IFERROR(INDEX('3.員工名單'!$B:$B,MATCH(A647,'3.員工名單'!$A:$A,0)),"查無此員工"))</f>
        <v/>
      </c>
      <c r="C647" s="120">
        <f t="array" ref="C647:C647">IF(A647="","",IFERROR(INDEX('3.員工名單'!$C:$C,MATCH(A647,'3.員工名單'!$A:$A,0)),""))</f>
        <v/>
      </c>
      <c r="D647" s="120">
        <f t="array" ref="D647:D647">IF(A647="","",IFERROR(INDEX('3.員工名單'!$D:$D,MATCH(A647,'3.員工名單'!$A:$A,0)),""))</f>
        <v/>
      </c>
      <c r="E647" s="120">
        <f t="array" ref="E647:E647">IF(F647="","",IFERROR(INDEX('1.職能辭典'!$A:$A,MATCH(F647,'1.職能辭典'!$C:$C,0)),""))</f>
        <v/>
      </c>
      <c r="F647" s="94" t="n"/>
      <c r="G647" s="120">
        <f t="array" ref="G647:G647">IF(OR(D647="",F647=""),"",IFERROR(IF(AND(OR(INDEX('1.職能辭典'!$J:$J,MATCH(F647,'1.職能辭典'!$C:$C,0))="全部",INDEX('3.員工名單'!$H:$H,MATCH(A647,'3.員工名單'!$A:$A,0))="兩款共用",INDEX('3.員工名單'!$H:$H,MATCH(A647,'3.員工名單'!$A:$A,0))=INDEX('1.職能辭典'!$J:$J,MATCH(F647,'1.職能辭典'!$C:$C,0))),OR(INDEX('1.職能辭典'!$K:$K,MATCH(F647,'1.職能辭典'!$C:$C,0))="全部",SUMPRODUCT(ISNUMBER(SEARCH({"經營","管理","財務","企劃","營運","技術","數據","美術","測試","客服"},INDEX('3.員工名單'!$I:$I,MATCH(A647,'3.員工名單'!$A:$A,0))))*ISNUMBER(SEARCH({"經營","管理","財務","企劃","營運","技術","數據","美術","測試","客服"},INDEX('1.職能辭典'!$K:$K,MATCH(F647,'1.職能辭典'!$C:$C,0)))))&gt;0)),INDEX('2.職務職能需求'!$B$2:$F$28,MATCH(F647,'2.職務職能需求'!$A$2:$A$28,0),MATCH(D647,'2.職務職能需求'!$B$1:$F$1,0)),0),""))</f>
        <v/>
      </c>
      <c r="H647" s="94" t="n"/>
      <c r="I647" s="94" t="n"/>
      <c r="J647" s="120">
        <f>IF(OR(G647="",I647="",G647=0),"",I647-G647)</f>
        <v/>
      </c>
      <c r="K647" s="120">
        <f>IF(G647="","",IF(G647=0,"不適用",IF(I647="","待評核",IF(I647&gt;=G647,IF(I647&gt;G647,"超越","達標"),"待發展"))))</f>
        <v/>
      </c>
      <c r="L647" s="91" t="n"/>
      <c r="M647" s="91" t="n"/>
      <c r="N647" s="88" t="n"/>
    </row>
    <row r="648" ht="15.75" customHeight="1" s="64">
      <c r="A648" s="88" t="n"/>
      <c r="B648" s="120">
        <f t="array" ref="B648:B648">IF(A648="","",IFERROR(INDEX('3.員工名單'!$B:$B,MATCH(A648,'3.員工名單'!$A:$A,0)),"查無此員工"))</f>
        <v/>
      </c>
      <c r="C648" s="120">
        <f t="array" ref="C648:C648">IF(A648="","",IFERROR(INDEX('3.員工名單'!$C:$C,MATCH(A648,'3.員工名單'!$A:$A,0)),""))</f>
        <v/>
      </c>
      <c r="D648" s="120">
        <f t="array" ref="D648:D648">IF(A648="","",IFERROR(INDEX('3.員工名單'!$D:$D,MATCH(A648,'3.員工名單'!$A:$A,0)),""))</f>
        <v/>
      </c>
      <c r="E648" s="120">
        <f t="array" ref="E648:E648">IF(F648="","",IFERROR(INDEX('1.職能辭典'!$A:$A,MATCH(F648,'1.職能辭典'!$C:$C,0)),""))</f>
        <v/>
      </c>
      <c r="F648" s="94" t="n"/>
      <c r="G648" s="120">
        <f t="array" ref="G648:G648">IF(OR(D648="",F648=""),"",IFERROR(IF(AND(OR(INDEX('1.職能辭典'!$J:$J,MATCH(F648,'1.職能辭典'!$C:$C,0))="全部",INDEX('3.員工名單'!$H:$H,MATCH(A648,'3.員工名單'!$A:$A,0))="兩款共用",INDEX('3.員工名單'!$H:$H,MATCH(A648,'3.員工名單'!$A:$A,0))=INDEX('1.職能辭典'!$J:$J,MATCH(F648,'1.職能辭典'!$C:$C,0))),OR(INDEX('1.職能辭典'!$K:$K,MATCH(F648,'1.職能辭典'!$C:$C,0))="全部",SUMPRODUCT(ISNUMBER(SEARCH({"經營","管理","財務","企劃","營運","技術","數據","美術","測試","客服"},INDEX('3.員工名單'!$I:$I,MATCH(A648,'3.員工名單'!$A:$A,0))))*ISNUMBER(SEARCH({"經營","管理","財務","企劃","營運","技術","數據","美術","測試","客服"},INDEX('1.職能辭典'!$K:$K,MATCH(F648,'1.職能辭典'!$C:$C,0)))))&gt;0)),INDEX('2.職務職能需求'!$B$2:$F$28,MATCH(F648,'2.職務職能需求'!$A$2:$A$28,0),MATCH(D648,'2.職務職能需求'!$B$1:$F$1,0)),0),""))</f>
        <v/>
      </c>
      <c r="H648" s="94" t="n"/>
      <c r="I648" s="94" t="n"/>
      <c r="J648" s="120">
        <f>IF(OR(G648="",I648="",G648=0),"",I648-G648)</f>
        <v/>
      </c>
      <c r="K648" s="120">
        <f>IF(G648="","",IF(G648=0,"不適用",IF(I648="","待評核",IF(I648&gt;=G648,IF(I648&gt;G648,"超越","達標"),"待發展"))))</f>
        <v/>
      </c>
      <c r="L648" s="91" t="n"/>
      <c r="M648" s="91" t="n"/>
      <c r="N648" s="88" t="n"/>
    </row>
    <row r="649" ht="15.75" customHeight="1" s="64">
      <c r="A649" s="88" t="n"/>
      <c r="B649" s="120">
        <f t="array" ref="B649:B649">IF(A649="","",IFERROR(INDEX('3.員工名單'!$B:$B,MATCH(A649,'3.員工名單'!$A:$A,0)),"查無此員工"))</f>
        <v/>
      </c>
      <c r="C649" s="120">
        <f t="array" ref="C649:C649">IF(A649="","",IFERROR(INDEX('3.員工名單'!$C:$C,MATCH(A649,'3.員工名單'!$A:$A,0)),""))</f>
        <v/>
      </c>
      <c r="D649" s="120">
        <f t="array" ref="D649:D649">IF(A649="","",IFERROR(INDEX('3.員工名單'!$D:$D,MATCH(A649,'3.員工名單'!$A:$A,0)),""))</f>
        <v/>
      </c>
      <c r="E649" s="120">
        <f t="array" ref="E649:E649">IF(F649="","",IFERROR(INDEX('1.職能辭典'!$A:$A,MATCH(F649,'1.職能辭典'!$C:$C,0)),""))</f>
        <v/>
      </c>
      <c r="F649" s="94" t="n"/>
      <c r="G649" s="120">
        <f t="array" ref="G649:G649">IF(OR(D649="",F649=""),"",IFERROR(IF(AND(OR(INDEX('1.職能辭典'!$J:$J,MATCH(F649,'1.職能辭典'!$C:$C,0))="全部",INDEX('3.員工名單'!$H:$H,MATCH(A649,'3.員工名單'!$A:$A,0))="兩款共用",INDEX('3.員工名單'!$H:$H,MATCH(A649,'3.員工名單'!$A:$A,0))=INDEX('1.職能辭典'!$J:$J,MATCH(F649,'1.職能辭典'!$C:$C,0))),OR(INDEX('1.職能辭典'!$K:$K,MATCH(F649,'1.職能辭典'!$C:$C,0))="全部",SUMPRODUCT(ISNUMBER(SEARCH({"經營","管理","財務","企劃","營運","技術","數據","美術","測試","客服"},INDEX('3.員工名單'!$I:$I,MATCH(A649,'3.員工名單'!$A:$A,0))))*ISNUMBER(SEARCH({"經營","管理","財務","企劃","營運","技術","數據","美術","測試","客服"},INDEX('1.職能辭典'!$K:$K,MATCH(F649,'1.職能辭典'!$C:$C,0)))))&gt;0)),INDEX('2.職務職能需求'!$B$2:$F$28,MATCH(F649,'2.職務職能需求'!$A$2:$A$28,0),MATCH(D649,'2.職務職能需求'!$B$1:$F$1,0)),0),""))</f>
        <v/>
      </c>
      <c r="H649" s="94" t="n"/>
      <c r="I649" s="94" t="n"/>
      <c r="J649" s="120">
        <f>IF(OR(G649="",I649="",G649=0),"",I649-G649)</f>
        <v/>
      </c>
      <c r="K649" s="120">
        <f>IF(G649="","",IF(G649=0,"不適用",IF(I649="","待評核",IF(I649&gt;=G649,IF(I649&gt;G649,"超越","達標"),"待發展"))))</f>
        <v/>
      </c>
      <c r="L649" s="91" t="n"/>
      <c r="M649" s="91" t="n"/>
      <c r="N649" s="88" t="n"/>
    </row>
    <row r="650" ht="15.75" customHeight="1" s="64">
      <c r="A650" s="88" t="n"/>
      <c r="B650" s="120">
        <f t="array" ref="B650:B650">IF(A650="","",IFERROR(INDEX('3.員工名單'!$B:$B,MATCH(A650,'3.員工名單'!$A:$A,0)),"查無此員工"))</f>
        <v/>
      </c>
      <c r="C650" s="120">
        <f t="array" ref="C650:C650">IF(A650="","",IFERROR(INDEX('3.員工名單'!$C:$C,MATCH(A650,'3.員工名單'!$A:$A,0)),""))</f>
        <v/>
      </c>
      <c r="D650" s="120">
        <f t="array" ref="D650:D650">IF(A650="","",IFERROR(INDEX('3.員工名單'!$D:$D,MATCH(A650,'3.員工名單'!$A:$A,0)),""))</f>
        <v/>
      </c>
      <c r="E650" s="120">
        <f t="array" ref="E650:E650">IF(F650="","",IFERROR(INDEX('1.職能辭典'!$A:$A,MATCH(F650,'1.職能辭典'!$C:$C,0)),""))</f>
        <v/>
      </c>
      <c r="F650" s="94" t="n"/>
      <c r="G650" s="120">
        <f t="array" ref="G650:G650">IF(OR(D650="",F650=""),"",IFERROR(IF(AND(OR(INDEX('1.職能辭典'!$J:$J,MATCH(F650,'1.職能辭典'!$C:$C,0))="全部",INDEX('3.員工名單'!$H:$H,MATCH(A650,'3.員工名單'!$A:$A,0))="兩款共用",INDEX('3.員工名單'!$H:$H,MATCH(A650,'3.員工名單'!$A:$A,0))=INDEX('1.職能辭典'!$J:$J,MATCH(F650,'1.職能辭典'!$C:$C,0))),OR(INDEX('1.職能辭典'!$K:$K,MATCH(F650,'1.職能辭典'!$C:$C,0))="全部",SUMPRODUCT(ISNUMBER(SEARCH({"經營","管理","財務","企劃","營運","技術","數據","美術","測試","客服"},INDEX('3.員工名單'!$I:$I,MATCH(A650,'3.員工名單'!$A:$A,0))))*ISNUMBER(SEARCH({"經營","管理","財務","企劃","營運","技術","數據","美術","測試","客服"},INDEX('1.職能辭典'!$K:$K,MATCH(F650,'1.職能辭典'!$C:$C,0)))))&gt;0)),INDEX('2.職務職能需求'!$B$2:$F$28,MATCH(F650,'2.職務職能需求'!$A$2:$A$28,0),MATCH(D650,'2.職務職能需求'!$B$1:$F$1,0)),0),""))</f>
        <v/>
      </c>
      <c r="H650" s="94" t="n"/>
      <c r="I650" s="94" t="n"/>
      <c r="J650" s="120">
        <f>IF(OR(G650="",I650="",G650=0),"",I650-G650)</f>
        <v/>
      </c>
      <c r="K650" s="120">
        <f>IF(G650="","",IF(G650=0,"不適用",IF(I650="","待評核",IF(I650&gt;=G650,IF(I650&gt;G650,"超越","達標"),"待發展"))))</f>
        <v/>
      </c>
      <c r="L650" s="91" t="n"/>
      <c r="M650" s="91" t="n"/>
      <c r="N650" s="88" t="n"/>
    </row>
    <row r="651" ht="15.75" customHeight="1" s="64">
      <c r="A651" s="88" t="n"/>
      <c r="B651" s="120">
        <f t="array" ref="B651:B651">IF(A651="","",IFERROR(INDEX('3.員工名單'!$B:$B,MATCH(A651,'3.員工名單'!$A:$A,0)),"查無此員工"))</f>
        <v/>
      </c>
      <c r="C651" s="120">
        <f t="array" ref="C651:C651">IF(A651="","",IFERROR(INDEX('3.員工名單'!$C:$C,MATCH(A651,'3.員工名單'!$A:$A,0)),""))</f>
        <v/>
      </c>
      <c r="D651" s="120">
        <f t="array" ref="D651:D651">IF(A651="","",IFERROR(INDEX('3.員工名單'!$D:$D,MATCH(A651,'3.員工名單'!$A:$A,0)),""))</f>
        <v/>
      </c>
      <c r="E651" s="120">
        <f t="array" ref="E651:E651">IF(F651="","",IFERROR(INDEX('1.職能辭典'!$A:$A,MATCH(F651,'1.職能辭典'!$C:$C,0)),""))</f>
        <v/>
      </c>
      <c r="F651" s="94" t="n"/>
      <c r="G651" s="120">
        <f t="array" ref="G651:G651">IF(OR(D651="",F651=""),"",IFERROR(IF(AND(OR(INDEX('1.職能辭典'!$J:$J,MATCH(F651,'1.職能辭典'!$C:$C,0))="全部",INDEX('3.員工名單'!$H:$H,MATCH(A651,'3.員工名單'!$A:$A,0))="兩款共用",INDEX('3.員工名單'!$H:$H,MATCH(A651,'3.員工名單'!$A:$A,0))=INDEX('1.職能辭典'!$J:$J,MATCH(F651,'1.職能辭典'!$C:$C,0))),OR(INDEX('1.職能辭典'!$K:$K,MATCH(F651,'1.職能辭典'!$C:$C,0))="全部",SUMPRODUCT(ISNUMBER(SEARCH({"經營","管理","財務","企劃","營運","技術","數據","美術","測試","客服"},INDEX('3.員工名單'!$I:$I,MATCH(A651,'3.員工名單'!$A:$A,0))))*ISNUMBER(SEARCH({"經營","管理","財務","企劃","營運","技術","數據","美術","測試","客服"},INDEX('1.職能辭典'!$K:$K,MATCH(F651,'1.職能辭典'!$C:$C,0)))))&gt;0)),INDEX('2.職務職能需求'!$B$2:$F$28,MATCH(F651,'2.職務職能需求'!$A$2:$A$28,0),MATCH(D651,'2.職務職能需求'!$B$1:$F$1,0)),0),""))</f>
        <v/>
      </c>
      <c r="H651" s="94" t="n"/>
      <c r="I651" s="94" t="n"/>
      <c r="J651" s="120">
        <f>IF(OR(G651="",I651="",G651=0),"",I651-G651)</f>
        <v/>
      </c>
      <c r="K651" s="120">
        <f>IF(G651="","",IF(G651=0,"不適用",IF(I651="","待評核",IF(I651&gt;=G651,IF(I651&gt;G651,"超越","達標"),"待發展"))))</f>
        <v/>
      </c>
      <c r="L651" s="91" t="n"/>
      <c r="M651" s="91" t="n"/>
      <c r="N651" s="88" t="n"/>
    </row>
    <row r="652" ht="15.75" customHeight="1" s="64">
      <c r="A652" s="88" t="n"/>
      <c r="B652" s="120">
        <f t="array" ref="B652:B652">IF(A652="","",IFERROR(INDEX('3.員工名單'!$B:$B,MATCH(A652,'3.員工名單'!$A:$A,0)),"查無此員工"))</f>
        <v/>
      </c>
      <c r="C652" s="120">
        <f t="array" ref="C652:C652">IF(A652="","",IFERROR(INDEX('3.員工名單'!$C:$C,MATCH(A652,'3.員工名單'!$A:$A,0)),""))</f>
        <v/>
      </c>
      <c r="D652" s="120">
        <f t="array" ref="D652:D652">IF(A652="","",IFERROR(INDEX('3.員工名單'!$D:$D,MATCH(A652,'3.員工名單'!$A:$A,0)),""))</f>
        <v/>
      </c>
      <c r="E652" s="120">
        <f t="array" ref="E652:E652">IF(F652="","",IFERROR(INDEX('1.職能辭典'!$A:$A,MATCH(F652,'1.職能辭典'!$C:$C,0)),""))</f>
        <v/>
      </c>
      <c r="F652" s="94" t="n"/>
      <c r="G652" s="120">
        <f t="array" ref="G652:G652">IF(OR(D652="",F652=""),"",IFERROR(IF(AND(OR(INDEX('1.職能辭典'!$J:$J,MATCH(F652,'1.職能辭典'!$C:$C,0))="全部",INDEX('3.員工名單'!$H:$H,MATCH(A652,'3.員工名單'!$A:$A,0))="兩款共用",INDEX('3.員工名單'!$H:$H,MATCH(A652,'3.員工名單'!$A:$A,0))=INDEX('1.職能辭典'!$J:$J,MATCH(F652,'1.職能辭典'!$C:$C,0))),OR(INDEX('1.職能辭典'!$K:$K,MATCH(F652,'1.職能辭典'!$C:$C,0))="全部",SUMPRODUCT(ISNUMBER(SEARCH({"經營","管理","財務","企劃","營運","技術","數據","美術","測試","客服"},INDEX('3.員工名單'!$I:$I,MATCH(A652,'3.員工名單'!$A:$A,0))))*ISNUMBER(SEARCH({"經營","管理","財務","企劃","營運","技術","數據","美術","測試","客服"},INDEX('1.職能辭典'!$K:$K,MATCH(F652,'1.職能辭典'!$C:$C,0)))))&gt;0)),INDEX('2.職務職能需求'!$B$2:$F$28,MATCH(F652,'2.職務職能需求'!$A$2:$A$28,0),MATCH(D652,'2.職務職能需求'!$B$1:$F$1,0)),0),""))</f>
        <v/>
      </c>
      <c r="H652" s="94" t="n"/>
      <c r="I652" s="94" t="n"/>
      <c r="J652" s="120">
        <f>IF(OR(G652="",I652="",G652=0),"",I652-G652)</f>
        <v/>
      </c>
      <c r="K652" s="120">
        <f>IF(G652="","",IF(G652=0,"不適用",IF(I652="","待評核",IF(I652&gt;=G652,IF(I652&gt;G652,"超越","達標"),"待發展"))))</f>
        <v/>
      </c>
      <c r="L652" s="91" t="n"/>
      <c r="M652" s="91" t="n"/>
      <c r="N652" s="88" t="n"/>
    </row>
    <row r="653" ht="15.75" customHeight="1" s="64">
      <c r="A653" s="88" t="n"/>
      <c r="B653" s="120">
        <f t="array" ref="B653:B653">IF(A653="","",IFERROR(INDEX('3.員工名單'!$B:$B,MATCH(A653,'3.員工名單'!$A:$A,0)),"查無此員工"))</f>
        <v/>
      </c>
      <c r="C653" s="120">
        <f t="array" ref="C653:C653">IF(A653="","",IFERROR(INDEX('3.員工名單'!$C:$C,MATCH(A653,'3.員工名單'!$A:$A,0)),""))</f>
        <v/>
      </c>
      <c r="D653" s="120">
        <f t="array" ref="D653:D653">IF(A653="","",IFERROR(INDEX('3.員工名單'!$D:$D,MATCH(A653,'3.員工名單'!$A:$A,0)),""))</f>
        <v/>
      </c>
      <c r="E653" s="120">
        <f t="array" ref="E653:E653">IF(F653="","",IFERROR(INDEX('1.職能辭典'!$A:$A,MATCH(F653,'1.職能辭典'!$C:$C,0)),""))</f>
        <v/>
      </c>
      <c r="F653" s="94" t="n"/>
      <c r="G653" s="120">
        <f t="array" ref="G653:G653">IF(OR(D653="",F653=""),"",IFERROR(IF(AND(OR(INDEX('1.職能辭典'!$J:$J,MATCH(F653,'1.職能辭典'!$C:$C,0))="全部",INDEX('3.員工名單'!$H:$H,MATCH(A653,'3.員工名單'!$A:$A,0))="兩款共用",INDEX('3.員工名單'!$H:$H,MATCH(A653,'3.員工名單'!$A:$A,0))=INDEX('1.職能辭典'!$J:$J,MATCH(F653,'1.職能辭典'!$C:$C,0))),OR(INDEX('1.職能辭典'!$K:$K,MATCH(F653,'1.職能辭典'!$C:$C,0))="全部",SUMPRODUCT(ISNUMBER(SEARCH({"經營","管理","財務","企劃","營運","技術","數據","美術","測試","客服"},INDEX('3.員工名單'!$I:$I,MATCH(A653,'3.員工名單'!$A:$A,0))))*ISNUMBER(SEARCH({"經營","管理","財務","企劃","營運","技術","數據","美術","測試","客服"},INDEX('1.職能辭典'!$K:$K,MATCH(F653,'1.職能辭典'!$C:$C,0)))))&gt;0)),INDEX('2.職務職能需求'!$B$2:$F$28,MATCH(F653,'2.職務職能需求'!$A$2:$A$28,0),MATCH(D653,'2.職務職能需求'!$B$1:$F$1,0)),0),""))</f>
        <v/>
      </c>
      <c r="H653" s="94" t="n"/>
      <c r="I653" s="94" t="n"/>
      <c r="J653" s="120">
        <f>IF(OR(G653="",I653="",G653=0),"",I653-G653)</f>
        <v/>
      </c>
      <c r="K653" s="120">
        <f>IF(G653="","",IF(G653=0,"不適用",IF(I653="","待評核",IF(I653&gt;=G653,IF(I653&gt;G653,"超越","達標"),"待發展"))))</f>
        <v/>
      </c>
      <c r="L653" s="91" t="n"/>
      <c r="M653" s="91" t="n"/>
      <c r="N653" s="88" t="n"/>
    </row>
    <row r="654" ht="15.75" customHeight="1" s="64">
      <c r="A654" s="88" t="n"/>
      <c r="B654" s="120">
        <f t="array" ref="B654:B654">IF(A654="","",IFERROR(INDEX('3.員工名單'!$B:$B,MATCH(A654,'3.員工名單'!$A:$A,0)),"查無此員工"))</f>
        <v/>
      </c>
      <c r="C654" s="120">
        <f t="array" ref="C654:C654">IF(A654="","",IFERROR(INDEX('3.員工名單'!$C:$C,MATCH(A654,'3.員工名單'!$A:$A,0)),""))</f>
        <v/>
      </c>
      <c r="D654" s="120">
        <f t="array" ref="D654:D654">IF(A654="","",IFERROR(INDEX('3.員工名單'!$D:$D,MATCH(A654,'3.員工名單'!$A:$A,0)),""))</f>
        <v/>
      </c>
      <c r="E654" s="120">
        <f t="array" ref="E654:E654">IF(F654="","",IFERROR(INDEX('1.職能辭典'!$A:$A,MATCH(F654,'1.職能辭典'!$C:$C,0)),""))</f>
        <v/>
      </c>
      <c r="F654" s="94" t="n"/>
      <c r="G654" s="120">
        <f t="array" ref="G654:G654">IF(OR(D654="",F654=""),"",IFERROR(IF(AND(OR(INDEX('1.職能辭典'!$J:$J,MATCH(F654,'1.職能辭典'!$C:$C,0))="全部",INDEX('3.員工名單'!$H:$H,MATCH(A654,'3.員工名單'!$A:$A,0))="兩款共用",INDEX('3.員工名單'!$H:$H,MATCH(A654,'3.員工名單'!$A:$A,0))=INDEX('1.職能辭典'!$J:$J,MATCH(F654,'1.職能辭典'!$C:$C,0))),OR(INDEX('1.職能辭典'!$K:$K,MATCH(F654,'1.職能辭典'!$C:$C,0))="全部",SUMPRODUCT(ISNUMBER(SEARCH({"經營","管理","財務","企劃","營運","技術","數據","美術","測試","客服"},INDEX('3.員工名單'!$I:$I,MATCH(A654,'3.員工名單'!$A:$A,0))))*ISNUMBER(SEARCH({"經營","管理","財務","企劃","營運","技術","數據","美術","測試","客服"},INDEX('1.職能辭典'!$K:$K,MATCH(F654,'1.職能辭典'!$C:$C,0)))))&gt;0)),INDEX('2.職務職能需求'!$B$2:$F$28,MATCH(F654,'2.職務職能需求'!$A$2:$A$28,0),MATCH(D654,'2.職務職能需求'!$B$1:$F$1,0)),0),""))</f>
        <v/>
      </c>
      <c r="H654" s="94" t="n"/>
      <c r="I654" s="94" t="n"/>
      <c r="J654" s="120">
        <f>IF(OR(G654="",I654="",G654=0),"",I654-G654)</f>
        <v/>
      </c>
      <c r="K654" s="120">
        <f>IF(G654="","",IF(G654=0,"不適用",IF(I654="","待評核",IF(I654&gt;=G654,IF(I654&gt;G654,"超越","達標"),"待發展"))))</f>
        <v/>
      </c>
      <c r="L654" s="91" t="n"/>
      <c r="M654" s="91" t="n"/>
      <c r="N654" s="88" t="n"/>
    </row>
    <row r="655" ht="15.75" customHeight="1" s="64">
      <c r="A655" s="88" t="n"/>
      <c r="B655" s="120">
        <f t="array" ref="B655:B655">IF(A655="","",IFERROR(INDEX('3.員工名單'!$B:$B,MATCH(A655,'3.員工名單'!$A:$A,0)),"查無此員工"))</f>
        <v/>
      </c>
      <c r="C655" s="120">
        <f t="array" ref="C655:C655">IF(A655="","",IFERROR(INDEX('3.員工名單'!$C:$C,MATCH(A655,'3.員工名單'!$A:$A,0)),""))</f>
        <v/>
      </c>
      <c r="D655" s="120">
        <f t="array" ref="D655:D655">IF(A655="","",IFERROR(INDEX('3.員工名單'!$D:$D,MATCH(A655,'3.員工名單'!$A:$A,0)),""))</f>
        <v/>
      </c>
      <c r="E655" s="120">
        <f t="array" ref="E655:E655">IF(F655="","",IFERROR(INDEX('1.職能辭典'!$A:$A,MATCH(F655,'1.職能辭典'!$C:$C,0)),""))</f>
        <v/>
      </c>
      <c r="F655" s="94" t="n"/>
      <c r="G655" s="120">
        <f t="array" ref="G655:G655">IF(OR(D655="",F655=""),"",IFERROR(IF(AND(OR(INDEX('1.職能辭典'!$J:$J,MATCH(F655,'1.職能辭典'!$C:$C,0))="全部",INDEX('3.員工名單'!$H:$H,MATCH(A655,'3.員工名單'!$A:$A,0))="兩款共用",INDEX('3.員工名單'!$H:$H,MATCH(A655,'3.員工名單'!$A:$A,0))=INDEX('1.職能辭典'!$J:$J,MATCH(F655,'1.職能辭典'!$C:$C,0))),OR(INDEX('1.職能辭典'!$K:$K,MATCH(F655,'1.職能辭典'!$C:$C,0))="全部",SUMPRODUCT(ISNUMBER(SEARCH({"經營","管理","財務","企劃","營運","技術","數據","美術","測試","客服"},INDEX('3.員工名單'!$I:$I,MATCH(A655,'3.員工名單'!$A:$A,0))))*ISNUMBER(SEARCH({"經營","管理","財務","企劃","營運","技術","數據","美術","測試","客服"},INDEX('1.職能辭典'!$K:$K,MATCH(F655,'1.職能辭典'!$C:$C,0)))))&gt;0)),INDEX('2.職務職能需求'!$B$2:$F$28,MATCH(F655,'2.職務職能需求'!$A$2:$A$28,0),MATCH(D655,'2.職務職能需求'!$B$1:$F$1,0)),0),""))</f>
        <v/>
      </c>
      <c r="H655" s="94" t="n"/>
      <c r="I655" s="94" t="n"/>
      <c r="J655" s="120">
        <f>IF(OR(G655="",I655="",G655=0),"",I655-G655)</f>
        <v/>
      </c>
      <c r="K655" s="120">
        <f>IF(G655="","",IF(G655=0,"不適用",IF(I655="","待評核",IF(I655&gt;=G655,IF(I655&gt;G655,"超越","達標"),"待發展"))))</f>
        <v/>
      </c>
      <c r="L655" s="91" t="n"/>
      <c r="M655" s="91" t="n"/>
      <c r="N655" s="88" t="n"/>
    </row>
    <row r="656" ht="15.75" customHeight="1" s="64">
      <c r="A656" s="88" t="n"/>
      <c r="B656" s="120">
        <f t="array" ref="B656:B656">IF(A656="","",IFERROR(INDEX('3.員工名單'!$B:$B,MATCH(A656,'3.員工名單'!$A:$A,0)),"查無此員工"))</f>
        <v/>
      </c>
      <c r="C656" s="120">
        <f t="array" ref="C656:C656">IF(A656="","",IFERROR(INDEX('3.員工名單'!$C:$C,MATCH(A656,'3.員工名單'!$A:$A,0)),""))</f>
        <v/>
      </c>
      <c r="D656" s="120">
        <f t="array" ref="D656:D656">IF(A656="","",IFERROR(INDEX('3.員工名單'!$D:$D,MATCH(A656,'3.員工名單'!$A:$A,0)),""))</f>
        <v/>
      </c>
      <c r="E656" s="120">
        <f t="array" ref="E656:E656">IF(F656="","",IFERROR(INDEX('1.職能辭典'!$A:$A,MATCH(F656,'1.職能辭典'!$C:$C,0)),""))</f>
        <v/>
      </c>
      <c r="F656" s="94" t="n"/>
      <c r="G656" s="120">
        <f t="array" ref="G656:G656">IF(OR(D656="",F656=""),"",IFERROR(IF(AND(OR(INDEX('1.職能辭典'!$J:$J,MATCH(F656,'1.職能辭典'!$C:$C,0))="全部",INDEX('3.員工名單'!$H:$H,MATCH(A656,'3.員工名單'!$A:$A,0))="兩款共用",INDEX('3.員工名單'!$H:$H,MATCH(A656,'3.員工名單'!$A:$A,0))=INDEX('1.職能辭典'!$J:$J,MATCH(F656,'1.職能辭典'!$C:$C,0))),OR(INDEX('1.職能辭典'!$K:$K,MATCH(F656,'1.職能辭典'!$C:$C,0))="全部",SUMPRODUCT(ISNUMBER(SEARCH({"經營","管理","財務","企劃","營運","技術","數據","美術","測試","客服"},INDEX('3.員工名單'!$I:$I,MATCH(A656,'3.員工名單'!$A:$A,0))))*ISNUMBER(SEARCH({"經營","管理","財務","企劃","營運","技術","數據","美術","測試","客服"},INDEX('1.職能辭典'!$K:$K,MATCH(F656,'1.職能辭典'!$C:$C,0)))))&gt;0)),INDEX('2.職務職能需求'!$B$2:$F$28,MATCH(F656,'2.職務職能需求'!$A$2:$A$28,0),MATCH(D656,'2.職務職能需求'!$B$1:$F$1,0)),0),""))</f>
        <v/>
      </c>
      <c r="H656" s="94" t="n"/>
      <c r="I656" s="94" t="n"/>
      <c r="J656" s="120">
        <f>IF(OR(G656="",I656="",G656=0),"",I656-G656)</f>
        <v/>
      </c>
      <c r="K656" s="120">
        <f>IF(G656="","",IF(G656=0,"不適用",IF(I656="","待評核",IF(I656&gt;=G656,IF(I656&gt;G656,"超越","達標"),"待發展"))))</f>
        <v/>
      </c>
      <c r="L656" s="91" t="n"/>
      <c r="M656" s="91" t="n"/>
      <c r="N656" s="88" t="n"/>
    </row>
    <row r="657" ht="15.75" customHeight="1" s="64">
      <c r="A657" s="88" t="n"/>
      <c r="B657" s="120">
        <f t="array" ref="B657:B657">IF(A657="","",IFERROR(INDEX('3.員工名單'!$B:$B,MATCH(A657,'3.員工名單'!$A:$A,0)),"查無此員工"))</f>
        <v/>
      </c>
      <c r="C657" s="120">
        <f t="array" ref="C657:C657">IF(A657="","",IFERROR(INDEX('3.員工名單'!$C:$C,MATCH(A657,'3.員工名單'!$A:$A,0)),""))</f>
        <v/>
      </c>
      <c r="D657" s="120">
        <f t="array" ref="D657:D657">IF(A657="","",IFERROR(INDEX('3.員工名單'!$D:$D,MATCH(A657,'3.員工名單'!$A:$A,0)),""))</f>
        <v/>
      </c>
      <c r="E657" s="120">
        <f t="array" ref="E657:E657">IF(F657="","",IFERROR(INDEX('1.職能辭典'!$A:$A,MATCH(F657,'1.職能辭典'!$C:$C,0)),""))</f>
        <v/>
      </c>
      <c r="F657" s="94" t="n"/>
      <c r="G657" s="120">
        <f t="array" ref="G657:G657">IF(OR(D657="",F657=""),"",IFERROR(IF(AND(OR(INDEX('1.職能辭典'!$J:$J,MATCH(F657,'1.職能辭典'!$C:$C,0))="全部",INDEX('3.員工名單'!$H:$H,MATCH(A657,'3.員工名單'!$A:$A,0))="兩款共用",INDEX('3.員工名單'!$H:$H,MATCH(A657,'3.員工名單'!$A:$A,0))=INDEX('1.職能辭典'!$J:$J,MATCH(F657,'1.職能辭典'!$C:$C,0))),OR(INDEX('1.職能辭典'!$K:$K,MATCH(F657,'1.職能辭典'!$C:$C,0))="全部",SUMPRODUCT(ISNUMBER(SEARCH({"經營","管理","財務","企劃","營運","技術","數據","美術","測試","客服"},INDEX('3.員工名單'!$I:$I,MATCH(A657,'3.員工名單'!$A:$A,0))))*ISNUMBER(SEARCH({"經營","管理","財務","企劃","營運","技術","數據","美術","測試","客服"},INDEX('1.職能辭典'!$K:$K,MATCH(F657,'1.職能辭典'!$C:$C,0)))))&gt;0)),INDEX('2.職務職能需求'!$B$2:$F$28,MATCH(F657,'2.職務職能需求'!$A$2:$A$28,0),MATCH(D657,'2.職務職能需求'!$B$1:$F$1,0)),0),""))</f>
        <v/>
      </c>
      <c r="H657" s="94" t="n"/>
      <c r="I657" s="94" t="n"/>
      <c r="J657" s="120">
        <f>IF(OR(G657="",I657="",G657=0),"",I657-G657)</f>
        <v/>
      </c>
      <c r="K657" s="120">
        <f>IF(G657="","",IF(G657=0,"不適用",IF(I657="","待評核",IF(I657&gt;=G657,IF(I657&gt;G657,"超越","達標"),"待發展"))))</f>
        <v/>
      </c>
      <c r="L657" s="91" t="n"/>
      <c r="M657" s="91" t="n"/>
      <c r="N657" s="88" t="n"/>
    </row>
    <row r="658" ht="15.75" customHeight="1" s="64">
      <c r="A658" s="88" t="n"/>
      <c r="B658" s="120">
        <f t="array" ref="B658:B658">IF(A658="","",IFERROR(INDEX('3.員工名單'!$B:$B,MATCH(A658,'3.員工名單'!$A:$A,0)),"查無此員工"))</f>
        <v/>
      </c>
      <c r="C658" s="120">
        <f t="array" ref="C658:C658">IF(A658="","",IFERROR(INDEX('3.員工名單'!$C:$C,MATCH(A658,'3.員工名單'!$A:$A,0)),""))</f>
        <v/>
      </c>
      <c r="D658" s="120">
        <f t="array" ref="D658:D658">IF(A658="","",IFERROR(INDEX('3.員工名單'!$D:$D,MATCH(A658,'3.員工名單'!$A:$A,0)),""))</f>
        <v/>
      </c>
      <c r="E658" s="120">
        <f t="array" ref="E658:E658">IF(F658="","",IFERROR(INDEX('1.職能辭典'!$A:$A,MATCH(F658,'1.職能辭典'!$C:$C,0)),""))</f>
        <v/>
      </c>
      <c r="F658" s="94" t="n"/>
      <c r="G658" s="120">
        <f t="array" ref="G658:G658">IF(OR(D658="",F658=""),"",IFERROR(IF(AND(OR(INDEX('1.職能辭典'!$J:$J,MATCH(F658,'1.職能辭典'!$C:$C,0))="全部",INDEX('3.員工名單'!$H:$H,MATCH(A658,'3.員工名單'!$A:$A,0))="兩款共用",INDEX('3.員工名單'!$H:$H,MATCH(A658,'3.員工名單'!$A:$A,0))=INDEX('1.職能辭典'!$J:$J,MATCH(F658,'1.職能辭典'!$C:$C,0))),OR(INDEX('1.職能辭典'!$K:$K,MATCH(F658,'1.職能辭典'!$C:$C,0))="全部",SUMPRODUCT(ISNUMBER(SEARCH({"經營","管理","財務","企劃","營運","技術","數據","美術","測試","客服"},INDEX('3.員工名單'!$I:$I,MATCH(A658,'3.員工名單'!$A:$A,0))))*ISNUMBER(SEARCH({"經營","管理","財務","企劃","營運","技術","數據","美術","測試","客服"},INDEX('1.職能辭典'!$K:$K,MATCH(F658,'1.職能辭典'!$C:$C,0)))))&gt;0)),INDEX('2.職務職能需求'!$B$2:$F$28,MATCH(F658,'2.職務職能需求'!$A$2:$A$28,0),MATCH(D658,'2.職務職能需求'!$B$1:$F$1,0)),0),""))</f>
        <v/>
      </c>
      <c r="H658" s="94" t="n"/>
      <c r="I658" s="94" t="n"/>
      <c r="J658" s="120">
        <f>IF(OR(G658="",I658="",G658=0),"",I658-G658)</f>
        <v/>
      </c>
      <c r="K658" s="120">
        <f>IF(G658="","",IF(G658=0,"不適用",IF(I658="","待評核",IF(I658&gt;=G658,IF(I658&gt;G658,"超越","達標"),"待發展"))))</f>
        <v/>
      </c>
      <c r="L658" s="91" t="n"/>
      <c r="M658" s="91" t="n"/>
      <c r="N658" s="88" t="n"/>
    </row>
    <row r="659" ht="15.75" customHeight="1" s="64">
      <c r="A659" s="88" t="n"/>
      <c r="B659" s="120">
        <f t="array" ref="B659:B659">IF(A659="","",IFERROR(INDEX('3.員工名單'!$B:$B,MATCH(A659,'3.員工名單'!$A:$A,0)),"查無此員工"))</f>
        <v/>
      </c>
      <c r="C659" s="120">
        <f t="array" ref="C659:C659">IF(A659="","",IFERROR(INDEX('3.員工名單'!$C:$C,MATCH(A659,'3.員工名單'!$A:$A,0)),""))</f>
        <v/>
      </c>
      <c r="D659" s="120">
        <f t="array" ref="D659:D659">IF(A659="","",IFERROR(INDEX('3.員工名單'!$D:$D,MATCH(A659,'3.員工名單'!$A:$A,0)),""))</f>
        <v/>
      </c>
      <c r="E659" s="120">
        <f t="array" ref="E659:E659">IF(F659="","",IFERROR(INDEX('1.職能辭典'!$A:$A,MATCH(F659,'1.職能辭典'!$C:$C,0)),""))</f>
        <v/>
      </c>
      <c r="F659" s="94" t="n"/>
      <c r="G659" s="120">
        <f t="array" ref="G659:G659">IF(OR(D659="",F659=""),"",IFERROR(IF(AND(OR(INDEX('1.職能辭典'!$J:$J,MATCH(F659,'1.職能辭典'!$C:$C,0))="全部",INDEX('3.員工名單'!$H:$H,MATCH(A659,'3.員工名單'!$A:$A,0))="兩款共用",INDEX('3.員工名單'!$H:$H,MATCH(A659,'3.員工名單'!$A:$A,0))=INDEX('1.職能辭典'!$J:$J,MATCH(F659,'1.職能辭典'!$C:$C,0))),OR(INDEX('1.職能辭典'!$K:$K,MATCH(F659,'1.職能辭典'!$C:$C,0))="全部",SUMPRODUCT(ISNUMBER(SEARCH({"經營","管理","財務","企劃","營運","技術","數據","美術","測試","客服"},INDEX('3.員工名單'!$I:$I,MATCH(A659,'3.員工名單'!$A:$A,0))))*ISNUMBER(SEARCH({"經營","管理","財務","企劃","營運","技術","數據","美術","測試","客服"},INDEX('1.職能辭典'!$K:$K,MATCH(F659,'1.職能辭典'!$C:$C,0)))))&gt;0)),INDEX('2.職務職能需求'!$B$2:$F$28,MATCH(F659,'2.職務職能需求'!$A$2:$A$28,0),MATCH(D659,'2.職務職能需求'!$B$1:$F$1,0)),0),""))</f>
        <v/>
      </c>
      <c r="H659" s="94" t="n"/>
      <c r="I659" s="94" t="n"/>
      <c r="J659" s="120">
        <f>IF(OR(G659="",I659="",G659=0),"",I659-G659)</f>
        <v/>
      </c>
      <c r="K659" s="120">
        <f>IF(G659="","",IF(G659=0,"不適用",IF(I659="","待評核",IF(I659&gt;=G659,IF(I659&gt;G659,"超越","達標"),"待發展"))))</f>
        <v/>
      </c>
      <c r="L659" s="91" t="n"/>
      <c r="M659" s="91" t="n"/>
      <c r="N659" s="88" t="n"/>
    </row>
    <row r="660" ht="15.75" customHeight="1" s="64">
      <c r="A660" s="88" t="n"/>
      <c r="B660" s="120">
        <f t="array" ref="B660:B660">IF(A660="","",IFERROR(INDEX('3.員工名單'!$B:$B,MATCH(A660,'3.員工名單'!$A:$A,0)),"查無此員工"))</f>
        <v/>
      </c>
      <c r="C660" s="120">
        <f t="array" ref="C660:C660">IF(A660="","",IFERROR(INDEX('3.員工名單'!$C:$C,MATCH(A660,'3.員工名單'!$A:$A,0)),""))</f>
        <v/>
      </c>
      <c r="D660" s="120">
        <f t="array" ref="D660:D660">IF(A660="","",IFERROR(INDEX('3.員工名單'!$D:$D,MATCH(A660,'3.員工名單'!$A:$A,0)),""))</f>
        <v/>
      </c>
      <c r="E660" s="120">
        <f t="array" ref="E660:E660">IF(F660="","",IFERROR(INDEX('1.職能辭典'!$A:$A,MATCH(F660,'1.職能辭典'!$C:$C,0)),""))</f>
        <v/>
      </c>
      <c r="F660" s="94" t="n"/>
      <c r="G660" s="120">
        <f t="array" ref="G660:G660">IF(OR(D660="",F660=""),"",IFERROR(IF(AND(OR(INDEX('1.職能辭典'!$J:$J,MATCH(F660,'1.職能辭典'!$C:$C,0))="全部",INDEX('3.員工名單'!$H:$H,MATCH(A660,'3.員工名單'!$A:$A,0))="兩款共用",INDEX('3.員工名單'!$H:$H,MATCH(A660,'3.員工名單'!$A:$A,0))=INDEX('1.職能辭典'!$J:$J,MATCH(F660,'1.職能辭典'!$C:$C,0))),OR(INDEX('1.職能辭典'!$K:$K,MATCH(F660,'1.職能辭典'!$C:$C,0))="全部",SUMPRODUCT(ISNUMBER(SEARCH({"經營","管理","財務","企劃","營運","技術","數據","美術","測試","客服"},INDEX('3.員工名單'!$I:$I,MATCH(A660,'3.員工名單'!$A:$A,0))))*ISNUMBER(SEARCH({"經營","管理","財務","企劃","營運","技術","數據","美術","測試","客服"},INDEX('1.職能辭典'!$K:$K,MATCH(F660,'1.職能辭典'!$C:$C,0)))))&gt;0)),INDEX('2.職務職能需求'!$B$2:$F$28,MATCH(F660,'2.職務職能需求'!$A$2:$A$28,0),MATCH(D660,'2.職務職能需求'!$B$1:$F$1,0)),0),""))</f>
        <v/>
      </c>
      <c r="H660" s="94" t="n"/>
      <c r="I660" s="94" t="n"/>
      <c r="J660" s="120">
        <f>IF(OR(G660="",I660="",G660=0),"",I660-G660)</f>
        <v/>
      </c>
      <c r="K660" s="120">
        <f>IF(G660="","",IF(G660=0,"不適用",IF(I660="","待評核",IF(I660&gt;=G660,IF(I660&gt;G660,"超越","達標"),"待發展"))))</f>
        <v/>
      </c>
      <c r="L660" s="91" t="n"/>
      <c r="M660" s="91" t="n"/>
      <c r="N660" s="88" t="n"/>
    </row>
    <row r="661" ht="15.75" customHeight="1" s="64">
      <c r="A661" s="88" t="n"/>
      <c r="B661" s="120">
        <f t="array" ref="B661:B661">IF(A661="","",IFERROR(INDEX('3.員工名單'!$B:$B,MATCH(A661,'3.員工名單'!$A:$A,0)),"查無此員工"))</f>
        <v/>
      </c>
      <c r="C661" s="120">
        <f t="array" ref="C661:C661">IF(A661="","",IFERROR(INDEX('3.員工名單'!$C:$C,MATCH(A661,'3.員工名單'!$A:$A,0)),""))</f>
        <v/>
      </c>
      <c r="D661" s="120">
        <f t="array" ref="D661:D661">IF(A661="","",IFERROR(INDEX('3.員工名單'!$D:$D,MATCH(A661,'3.員工名單'!$A:$A,0)),""))</f>
        <v/>
      </c>
      <c r="E661" s="120">
        <f t="array" ref="E661:E661">IF(F661="","",IFERROR(INDEX('1.職能辭典'!$A:$A,MATCH(F661,'1.職能辭典'!$C:$C,0)),""))</f>
        <v/>
      </c>
      <c r="F661" s="94" t="n"/>
      <c r="G661" s="120">
        <f t="array" ref="G661:G661">IF(OR(D661="",F661=""),"",IFERROR(IF(AND(OR(INDEX('1.職能辭典'!$J:$J,MATCH(F661,'1.職能辭典'!$C:$C,0))="全部",INDEX('3.員工名單'!$H:$H,MATCH(A661,'3.員工名單'!$A:$A,0))="兩款共用",INDEX('3.員工名單'!$H:$H,MATCH(A661,'3.員工名單'!$A:$A,0))=INDEX('1.職能辭典'!$J:$J,MATCH(F661,'1.職能辭典'!$C:$C,0))),OR(INDEX('1.職能辭典'!$K:$K,MATCH(F661,'1.職能辭典'!$C:$C,0))="全部",SUMPRODUCT(ISNUMBER(SEARCH({"經營","管理","財務","企劃","營運","技術","數據","美術","測試","客服"},INDEX('3.員工名單'!$I:$I,MATCH(A661,'3.員工名單'!$A:$A,0))))*ISNUMBER(SEARCH({"經營","管理","財務","企劃","營運","技術","數據","美術","測試","客服"},INDEX('1.職能辭典'!$K:$K,MATCH(F661,'1.職能辭典'!$C:$C,0)))))&gt;0)),INDEX('2.職務職能需求'!$B$2:$F$28,MATCH(F661,'2.職務職能需求'!$A$2:$A$28,0),MATCH(D661,'2.職務職能需求'!$B$1:$F$1,0)),0),""))</f>
        <v/>
      </c>
      <c r="H661" s="94" t="n"/>
      <c r="I661" s="94" t="n"/>
      <c r="J661" s="120">
        <f>IF(OR(G661="",I661="",G661=0),"",I661-G661)</f>
        <v/>
      </c>
      <c r="K661" s="120">
        <f>IF(G661="","",IF(G661=0,"不適用",IF(I661="","待評核",IF(I661&gt;=G661,IF(I661&gt;G661,"超越","達標"),"待發展"))))</f>
        <v/>
      </c>
      <c r="L661" s="91" t="n"/>
      <c r="M661" s="91" t="n"/>
      <c r="N661" s="88" t="n"/>
    </row>
    <row r="662" ht="15.75" customHeight="1" s="64">
      <c r="A662" s="88" t="n"/>
      <c r="B662" s="120">
        <f t="array" ref="B662:B662">IF(A662="","",IFERROR(INDEX('3.員工名單'!$B:$B,MATCH(A662,'3.員工名單'!$A:$A,0)),"查無此員工"))</f>
        <v/>
      </c>
      <c r="C662" s="120">
        <f t="array" ref="C662:C662">IF(A662="","",IFERROR(INDEX('3.員工名單'!$C:$C,MATCH(A662,'3.員工名單'!$A:$A,0)),""))</f>
        <v/>
      </c>
      <c r="D662" s="120">
        <f t="array" ref="D662:D662">IF(A662="","",IFERROR(INDEX('3.員工名單'!$D:$D,MATCH(A662,'3.員工名單'!$A:$A,0)),""))</f>
        <v/>
      </c>
      <c r="E662" s="120">
        <f t="array" ref="E662:E662">IF(F662="","",IFERROR(INDEX('1.職能辭典'!$A:$A,MATCH(F662,'1.職能辭典'!$C:$C,0)),""))</f>
        <v/>
      </c>
      <c r="F662" s="94" t="n"/>
      <c r="G662" s="120">
        <f t="array" ref="G662:G662">IF(OR(D662="",F662=""),"",IFERROR(IF(AND(OR(INDEX('1.職能辭典'!$J:$J,MATCH(F662,'1.職能辭典'!$C:$C,0))="全部",INDEX('3.員工名單'!$H:$H,MATCH(A662,'3.員工名單'!$A:$A,0))="兩款共用",INDEX('3.員工名單'!$H:$H,MATCH(A662,'3.員工名單'!$A:$A,0))=INDEX('1.職能辭典'!$J:$J,MATCH(F662,'1.職能辭典'!$C:$C,0))),OR(INDEX('1.職能辭典'!$K:$K,MATCH(F662,'1.職能辭典'!$C:$C,0))="全部",SUMPRODUCT(ISNUMBER(SEARCH({"經營","管理","財務","企劃","營運","技術","數據","美術","測試","客服"},INDEX('3.員工名單'!$I:$I,MATCH(A662,'3.員工名單'!$A:$A,0))))*ISNUMBER(SEARCH({"經營","管理","財務","企劃","營運","技術","數據","美術","測試","客服"},INDEX('1.職能辭典'!$K:$K,MATCH(F662,'1.職能辭典'!$C:$C,0)))))&gt;0)),INDEX('2.職務職能需求'!$B$2:$F$28,MATCH(F662,'2.職務職能需求'!$A$2:$A$28,0),MATCH(D662,'2.職務職能需求'!$B$1:$F$1,0)),0),""))</f>
        <v/>
      </c>
      <c r="H662" s="94" t="n"/>
      <c r="I662" s="94" t="n"/>
      <c r="J662" s="120">
        <f>IF(OR(G662="",I662="",G662=0),"",I662-G662)</f>
        <v/>
      </c>
      <c r="K662" s="120">
        <f>IF(G662="","",IF(G662=0,"不適用",IF(I662="","待評核",IF(I662&gt;=G662,IF(I662&gt;G662,"超越","達標"),"待發展"))))</f>
        <v/>
      </c>
      <c r="L662" s="91" t="n"/>
      <c r="M662" s="91" t="n"/>
      <c r="N662" s="88" t="n"/>
    </row>
    <row r="663" ht="15.75" customHeight="1" s="64">
      <c r="A663" s="88" t="n"/>
      <c r="B663" s="120">
        <f t="array" ref="B663:B663">IF(A663="","",IFERROR(INDEX('3.員工名單'!$B:$B,MATCH(A663,'3.員工名單'!$A:$A,0)),"查無此員工"))</f>
        <v/>
      </c>
      <c r="C663" s="120">
        <f t="array" ref="C663:C663">IF(A663="","",IFERROR(INDEX('3.員工名單'!$C:$C,MATCH(A663,'3.員工名單'!$A:$A,0)),""))</f>
        <v/>
      </c>
      <c r="D663" s="120">
        <f t="array" ref="D663:D663">IF(A663="","",IFERROR(INDEX('3.員工名單'!$D:$D,MATCH(A663,'3.員工名單'!$A:$A,0)),""))</f>
        <v/>
      </c>
      <c r="E663" s="120">
        <f t="array" ref="E663:E663">IF(F663="","",IFERROR(INDEX('1.職能辭典'!$A:$A,MATCH(F663,'1.職能辭典'!$C:$C,0)),""))</f>
        <v/>
      </c>
      <c r="F663" s="94" t="n"/>
      <c r="G663" s="120">
        <f t="array" ref="G663:G663">IF(OR(D663="",F663=""),"",IFERROR(IF(AND(OR(INDEX('1.職能辭典'!$J:$J,MATCH(F663,'1.職能辭典'!$C:$C,0))="全部",INDEX('3.員工名單'!$H:$H,MATCH(A663,'3.員工名單'!$A:$A,0))="兩款共用",INDEX('3.員工名單'!$H:$H,MATCH(A663,'3.員工名單'!$A:$A,0))=INDEX('1.職能辭典'!$J:$J,MATCH(F663,'1.職能辭典'!$C:$C,0))),OR(INDEX('1.職能辭典'!$K:$K,MATCH(F663,'1.職能辭典'!$C:$C,0))="全部",SUMPRODUCT(ISNUMBER(SEARCH({"經營","管理","財務","企劃","營運","技術","數據","美術","測試","客服"},INDEX('3.員工名單'!$I:$I,MATCH(A663,'3.員工名單'!$A:$A,0))))*ISNUMBER(SEARCH({"經營","管理","財務","企劃","營運","技術","數據","美術","測試","客服"},INDEX('1.職能辭典'!$K:$K,MATCH(F663,'1.職能辭典'!$C:$C,0)))))&gt;0)),INDEX('2.職務職能需求'!$B$2:$F$28,MATCH(F663,'2.職務職能需求'!$A$2:$A$28,0),MATCH(D663,'2.職務職能需求'!$B$1:$F$1,0)),0),""))</f>
        <v/>
      </c>
      <c r="H663" s="94" t="n"/>
      <c r="I663" s="94" t="n"/>
      <c r="J663" s="120">
        <f>IF(OR(G663="",I663="",G663=0),"",I663-G663)</f>
        <v/>
      </c>
      <c r="K663" s="120">
        <f>IF(G663="","",IF(G663=0,"不適用",IF(I663="","待評核",IF(I663&gt;=G663,IF(I663&gt;G663,"超越","達標"),"待發展"))))</f>
        <v/>
      </c>
      <c r="L663" s="91" t="n"/>
      <c r="M663" s="91" t="n"/>
      <c r="N663" s="88" t="n"/>
    </row>
    <row r="664" ht="15.75" customHeight="1" s="64">
      <c r="A664" s="88" t="n"/>
      <c r="B664" s="120">
        <f t="array" ref="B664:B664">IF(A664="","",IFERROR(INDEX('3.員工名單'!$B:$B,MATCH(A664,'3.員工名單'!$A:$A,0)),"查無此員工"))</f>
        <v/>
      </c>
      <c r="C664" s="120">
        <f t="array" ref="C664:C664">IF(A664="","",IFERROR(INDEX('3.員工名單'!$C:$C,MATCH(A664,'3.員工名單'!$A:$A,0)),""))</f>
        <v/>
      </c>
      <c r="D664" s="120">
        <f t="array" ref="D664:D664">IF(A664="","",IFERROR(INDEX('3.員工名單'!$D:$D,MATCH(A664,'3.員工名單'!$A:$A,0)),""))</f>
        <v/>
      </c>
      <c r="E664" s="120">
        <f t="array" ref="E664:E664">IF(F664="","",IFERROR(INDEX('1.職能辭典'!$A:$A,MATCH(F664,'1.職能辭典'!$C:$C,0)),""))</f>
        <v/>
      </c>
      <c r="F664" s="94" t="n"/>
      <c r="G664" s="120">
        <f t="array" ref="G664:G664">IF(OR(D664="",F664=""),"",IFERROR(IF(AND(OR(INDEX('1.職能辭典'!$J:$J,MATCH(F664,'1.職能辭典'!$C:$C,0))="全部",INDEX('3.員工名單'!$H:$H,MATCH(A664,'3.員工名單'!$A:$A,0))="兩款共用",INDEX('3.員工名單'!$H:$H,MATCH(A664,'3.員工名單'!$A:$A,0))=INDEX('1.職能辭典'!$J:$J,MATCH(F664,'1.職能辭典'!$C:$C,0))),OR(INDEX('1.職能辭典'!$K:$K,MATCH(F664,'1.職能辭典'!$C:$C,0))="全部",SUMPRODUCT(ISNUMBER(SEARCH({"經營","管理","財務","企劃","營運","技術","數據","美術","測試","客服"},INDEX('3.員工名單'!$I:$I,MATCH(A664,'3.員工名單'!$A:$A,0))))*ISNUMBER(SEARCH({"經營","管理","財務","企劃","營運","技術","數據","美術","測試","客服"},INDEX('1.職能辭典'!$K:$K,MATCH(F664,'1.職能辭典'!$C:$C,0)))))&gt;0)),INDEX('2.職務職能需求'!$B$2:$F$28,MATCH(F664,'2.職務職能需求'!$A$2:$A$28,0),MATCH(D664,'2.職務職能需求'!$B$1:$F$1,0)),0),""))</f>
        <v/>
      </c>
      <c r="H664" s="94" t="n"/>
      <c r="I664" s="94" t="n"/>
      <c r="J664" s="120">
        <f>IF(OR(G664="",I664="",G664=0),"",I664-G664)</f>
        <v/>
      </c>
      <c r="K664" s="120">
        <f>IF(G664="","",IF(G664=0,"不適用",IF(I664="","待評核",IF(I664&gt;=G664,IF(I664&gt;G664,"超越","達標"),"待發展"))))</f>
        <v/>
      </c>
      <c r="L664" s="91" t="n"/>
      <c r="M664" s="91" t="n"/>
      <c r="N664" s="88" t="n"/>
    </row>
    <row r="665" ht="15.75" customHeight="1" s="64">
      <c r="A665" s="88" t="n"/>
      <c r="B665" s="120">
        <f t="array" ref="B665:B665">IF(A665="","",IFERROR(INDEX('3.員工名單'!$B:$B,MATCH(A665,'3.員工名單'!$A:$A,0)),"查無此員工"))</f>
        <v/>
      </c>
      <c r="C665" s="120">
        <f t="array" ref="C665:C665">IF(A665="","",IFERROR(INDEX('3.員工名單'!$C:$C,MATCH(A665,'3.員工名單'!$A:$A,0)),""))</f>
        <v/>
      </c>
      <c r="D665" s="120">
        <f t="array" ref="D665:D665">IF(A665="","",IFERROR(INDEX('3.員工名單'!$D:$D,MATCH(A665,'3.員工名單'!$A:$A,0)),""))</f>
        <v/>
      </c>
      <c r="E665" s="120">
        <f t="array" ref="E665:E665">IF(F665="","",IFERROR(INDEX('1.職能辭典'!$A:$A,MATCH(F665,'1.職能辭典'!$C:$C,0)),""))</f>
        <v/>
      </c>
      <c r="F665" s="94" t="n"/>
      <c r="G665" s="120">
        <f t="array" ref="G665:G665">IF(OR(D665="",F665=""),"",IFERROR(IF(AND(OR(INDEX('1.職能辭典'!$J:$J,MATCH(F665,'1.職能辭典'!$C:$C,0))="全部",INDEX('3.員工名單'!$H:$H,MATCH(A665,'3.員工名單'!$A:$A,0))="兩款共用",INDEX('3.員工名單'!$H:$H,MATCH(A665,'3.員工名單'!$A:$A,0))=INDEX('1.職能辭典'!$J:$J,MATCH(F665,'1.職能辭典'!$C:$C,0))),OR(INDEX('1.職能辭典'!$K:$K,MATCH(F665,'1.職能辭典'!$C:$C,0))="全部",SUMPRODUCT(ISNUMBER(SEARCH({"經營","管理","財務","企劃","營運","技術","數據","美術","測試","客服"},INDEX('3.員工名單'!$I:$I,MATCH(A665,'3.員工名單'!$A:$A,0))))*ISNUMBER(SEARCH({"經營","管理","財務","企劃","營運","技術","數據","美術","測試","客服"},INDEX('1.職能辭典'!$K:$K,MATCH(F665,'1.職能辭典'!$C:$C,0)))))&gt;0)),INDEX('2.職務職能需求'!$B$2:$F$28,MATCH(F665,'2.職務職能需求'!$A$2:$A$28,0),MATCH(D665,'2.職務職能需求'!$B$1:$F$1,0)),0),""))</f>
        <v/>
      </c>
      <c r="H665" s="94" t="n"/>
      <c r="I665" s="94" t="n"/>
      <c r="J665" s="120">
        <f>IF(OR(G665="",I665="",G665=0),"",I665-G665)</f>
        <v/>
      </c>
      <c r="K665" s="120">
        <f>IF(G665="","",IF(G665=0,"不適用",IF(I665="","待評核",IF(I665&gt;=G665,IF(I665&gt;G665,"超越","達標"),"待發展"))))</f>
        <v/>
      </c>
      <c r="L665" s="91" t="n"/>
      <c r="M665" s="91" t="n"/>
      <c r="N665" s="88" t="n"/>
    </row>
    <row r="666" ht="15.75" customHeight="1" s="64">
      <c r="A666" s="88" t="n"/>
      <c r="B666" s="120">
        <f t="array" ref="B666:B666">IF(A666="","",IFERROR(INDEX('3.員工名單'!$B:$B,MATCH(A666,'3.員工名單'!$A:$A,0)),"查無此員工"))</f>
        <v/>
      </c>
      <c r="C666" s="120">
        <f t="array" ref="C666:C666">IF(A666="","",IFERROR(INDEX('3.員工名單'!$C:$C,MATCH(A666,'3.員工名單'!$A:$A,0)),""))</f>
        <v/>
      </c>
      <c r="D666" s="120">
        <f t="array" ref="D666:D666">IF(A666="","",IFERROR(INDEX('3.員工名單'!$D:$D,MATCH(A666,'3.員工名單'!$A:$A,0)),""))</f>
        <v/>
      </c>
      <c r="E666" s="120">
        <f t="array" ref="E666:E666">IF(F666="","",IFERROR(INDEX('1.職能辭典'!$A:$A,MATCH(F666,'1.職能辭典'!$C:$C,0)),""))</f>
        <v/>
      </c>
      <c r="F666" s="94" t="n"/>
      <c r="G666" s="120">
        <f t="array" ref="G666:G666">IF(OR(D666="",F666=""),"",IFERROR(IF(AND(OR(INDEX('1.職能辭典'!$J:$J,MATCH(F666,'1.職能辭典'!$C:$C,0))="全部",INDEX('3.員工名單'!$H:$H,MATCH(A666,'3.員工名單'!$A:$A,0))="兩款共用",INDEX('3.員工名單'!$H:$H,MATCH(A666,'3.員工名單'!$A:$A,0))=INDEX('1.職能辭典'!$J:$J,MATCH(F666,'1.職能辭典'!$C:$C,0))),OR(INDEX('1.職能辭典'!$K:$K,MATCH(F666,'1.職能辭典'!$C:$C,0))="全部",SUMPRODUCT(ISNUMBER(SEARCH({"經營","管理","財務","企劃","營運","技術","數據","美術","測試","客服"},INDEX('3.員工名單'!$I:$I,MATCH(A666,'3.員工名單'!$A:$A,0))))*ISNUMBER(SEARCH({"經營","管理","財務","企劃","營運","技術","數據","美術","測試","客服"},INDEX('1.職能辭典'!$K:$K,MATCH(F666,'1.職能辭典'!$C:$C,0)))))&gt;0)),INDEX('2.職務職能需求'!$B$2:$F$28,MATCH(F666,'2.職務職能需求'!$A$2:$A$28,0),MATCH(D666,'2.職務職能需求'!$B$1:$F$1,0)),0),""))</f>
        <v/>
      </c>
      <c r="H666" s="94" t="n"/>
      <c r="I666" s="94" t="n"/>
      <c r="J666" s="120">
        <f>IF(OR(G666="",I666="",G666=0),"",I666-G666)</f>
        <v/>
      </c>
      <c r="K666" s="120">
        <f>IF(G666="","",IF(G666=0,"不適用",IF(I666="","待評核",IF(I666&gt;=G666,IF(I666&gt;G666,"超越","達標"),"待發展"))))</f>
        <v/>
      </c>
      <c r="L666" s="91" t="n"/>
      <c r="M666" s="91" t="n"/>
      <c r="N666" s="88" t="n"/>
    </row>
    <row r="667" ht="15.75" customHeight="1" s="64">
      <c r="A667" s="88" t="n"/>
      <c r="B667" s="120">
        <f t="array" ref="B667:B667">IF(A667="","",IFERROR(INDEX('3.員工名單'!$B:$B,MATCH(A667,'3.員工名單'!$A:$A,0)),"查無此員工"))</f>
        <v/>
      </c>
      <c r="C667" s="120">
        <f t="array" ref="C667:C667">IF(A667="","",IFERROR(INDEX('3.員工名單'!$C:$C,MATCH(A667,'3.員工名單'!$A:$A,0)),""))</f>
        <v/>
      </c>
      <c r="D667" s="120">
        <f t="array" ref="D667:D667">IF(A667="","",IFERROR(INDEX('3.員工名單'!$D:$D,MATCH(A667,'3.員工名單'!$A:$A,0)),""))</f>
        <v/>
      </c>
      <c r="E667" s="120">
        <f t="array" ref="E667:E667">IF(F667="","",IFERROR(INDEX('1.職能辭典'!$A:$A,MATCH(F667,'1.職能辭典'!$C:$C,0)),""))</f>
        <v/>
      </c>
      <c r="F667" s="94" t="n"/>
      <c r="G667" s="120">
        <f t="array" ref="G667:G667">IF(OR(D667="",F667=""),"",IFERROR(IF(AND(OR(INDEX('1.職能辭典'!$J:$J,MATCH(F667,'1.職能辭典'!$C:$C,0))="全部",INDEX('3.員工名單'!$H:$H,MATCH(A667,'3.員工名單'!$A:$A,0))="兩款共用",INDEX('3.員工名單'!$H:$H,MATCH(A667,'3.員工名單'!$A:$A,0))=INDEX('1.職能辭典'!$J:$J,MATCH(F667,'1.職能辭典'!$C:$C,0))),OR(INDEX('1.職能辭典'!$K:$K,MATCH(F667,'1.職能辭典'!$C:$C,0))="全部",SUMPRODUCT(ISNUMBER(SEARCH({"經營","管理","財務","企劃","營運","技術","數據","美術","測試","客服"},INDEX('3.員工名單'!$I:$I,MATCH(A667,'3.員工名單'!$A:$A,0))))*ISNUMBER(SEARCH({"經營","管理","財務","企劃","營運","技術","數據","美術","測試","客服"},INDEX('1.職能辭典'!$K:$K,MATCH(F667,'1.職能辭典'!$C:$C,0)))))&gt;0)),INDEX('2.職務職能需求'!$B$2:$F$28,MATCH(F667,'2.職務職能需求'!$A$2:$A$28,0),MATCH(D667,'2.職務職能需求'!$B$1:$F$1,0)),0),""))</f>
        <v/>
      </c>
      <c r="H667" s="94" t="n"/>
      <c r="I667" s="94" t="n"/>
      <c r="J667" s="120">
        <f>IF(OR(G667="",I667="",G667=0),"",I667-G667)</f>
        <v/>
      </c>
      <c r="K667" s="120">
        <f>IF(G667="","",IF(G667=0,"不適用",IF(I667="","待評核",IF(I667&gt;=G667,IF(I667&gt;G667,"超越","達標"),"待發展"))))</f>
        <v/>
      </c>
      <c r="L667" s="91" t="n"/>
      <c r="M667" s="91" t="n"/>
      <c r="N667" s="88" t="n"/>
    </row>
    <row r="668" ht="15.75" customHeight="1" s="64">
      <c r="A668" s="88" t="n"/>
      <c r="B668" s="120">
        <f t="array" ref="B668:B668">IF(A668="","",IFERROR(INDEX('3.員工名單'!$B:$B,MATCH(A668,'3.員工名單'!$A:$A,0)),"查無此員工"))</f>
        <v/>
      </c>
      <c r="C668" s="120">
        <f t="array" ref="C668:C668">IF(A668="","",IFERROR(INDEX('3.員工名單'!$C:$C,MATCH(A668,'3.員工名單'!$A:$A,0)),""))</f>
        <v/>
      </c>
      <c r="D668" s="120">
        <f t="array" ref="D668:D668">IF(A668="","",IFERROR(INDEX('3.員工名單'!$D:$D,MATCH(A668,'3.員工名單'!$A:$A,0)),""))</f>
        <v/>
      </c>
      <c r="E668" s="120">
        <f t="array" ref="E668:E668">IF(F668="","",IFERROR(INDEX('1.職能辭典'!$A:$A,MATCH(F668,'1.職能辭典'!$C:$C,0)),""))</f>
        <v/>
      </c>
      <c r="F668" s="94" t="n"/>
      <c r="G668" s="120">
        <f t="array" ref="G668:G668">IF(OR(D668="",F668=""),"",IFERROR(IF(AND(OR(INDEX('1.職能辭典'!$J:$J,MATCH(F668,'1.職能辭典'!$C:$C,0))="全部",INDEX('3.員工名單'!$H:$H,MATCH(A668,'3.員工名單'!$A:$A,0))="兩款共用",INDEX('3.員工名單'!$H:$H,MATCH(A668,'3.員工名單'!$A:$A,0))=INDEX('1.職能辭典'!$J:$J,MATCH(F668,'1.職能辭典'!$C:$C,0))),OR(INDEX('1.職能辭典'!$K:$K,MATCH(F668,'1.職能辭典'!$C:$C,0))="全部",SUMPRODUCT(ISNUMBER(SEARCH({"經營","管理","財務","企劃","營運","技術","數據","美術","測試","客服"},INDEX('3.員工名單'!$I:$I,MATCH(A668,'3.員工名單'!$A:$A,0))))*ISNUMBER(SEARCH({"經營","管理","財務","企劃","營運","技術","數據","美術","測試","客服"},INDEX('1.職能辭典'!$K:$K,MATCH(F668,'1.職能辭典'!$C:$C,0)))))&gt;0)),INDEX('2.職務職能需求'!$B$2:$F$28,MATCH(F668,'2.職務職能需求'!$A$2:$A$28,0),MATCH(D668,'2.職務職能需求'!$B$1:$F$1,0)),0),""))</f>
        <v/>
      </c>
      <c r="H668" s="94" t="n"/>
      <c r="I668" s="94" t="n"/>
      <c r="J668" s="120">
        <f>IF(OR(G668="",I668="",G668=0),"",I668-G668)</f>
        <v/>
      </c>
      <c r="K668" s="120">
        <f>IF(G668="","",IF(G668=0,"不適用",IF(I668="","待評核",IF(I668&gt;=G668,IF(I668&gt;G668,"超越","達標"),"待發展"))))</f>
        <v/>
      </c>
      <c r="L668" s="91" t="n"/>
      <c r="M668" s="91" t="n"/>
      <c r="N668" s="88" t="n"/>
    </row>
    <row r="669" ht="15.75" customHeight="1" s="64">
      <c r="A669" s="88" t="n"/>
      <c r="B669" s="120">
        <f t="array" ref="B669:B669">IF(A669="","",IFERROR(INDEX('3.員工名單'!$B:$B,MATCH(A669,'3.員工名單'!$A:$A,0)),"查無此員工"))</f>
        <v/>
      </c>
      <c r="C669" s="120">
        <f t="array" ref="C669:C669">IF(A669="","",IFERROR(INDEX('3.員工名單'!$C:$C,MATCH(A669,'3.員工名單'!$A:$A,0)),""))</f>
        <v/>
      </c>
      <c r="D669" s="120">
        <f t="array" ref="D669:D669">IF(A669="","",IFERROR(INDEX('3.員工名單'!$D:$D,MATCH(A669,'3.員工名單'!$A:$A,0)),""))</f>
        <v/>
      </c>
      <c r="E669" s="120">
        <f t="array" ref="E669:E669">IF(F669="","",IFERROR(INDEX('1.職能辭典'!$A:$A,MATCH(F669,'1.職能辭典'!$C:$C,0)),""))</f>
        <v/>
      </c>
      <c r="F669" s="94" t="n"/>
      <c r="G669" s="120">
        <f t="array" ref="G669:G669">IF(OR(D669="",F669=""),"",IFERROR(IF(AND(OR(INDEX('1.職能辭典'!$J:$J,MATCH(F669,'1.職能辭典'!$C:$C,0))="全部",INDEX('3.員工名單'!$H:$H,MATCH(A669,'3.員工名單'!$A:$A,0))="兩款共用",INDEX('3.員工名單'!$H:$H,MATCH(A669,'3.員工名單'!$A:$A,0))=INDEX('1.職能辭典'!$J:$J,MATCH(F669,'1.職能辭典'!$C:$C,0))),OR(INDEX('1.職能辭典'!$K:$K,MATCH(F669,'1.職能辭典'!$C:$C,0))="全部",SUMPRODUCT(ISNUMBER(SEARCH({"經營","管理","財務","企劃","營運","技術","數據","美術","測試","客服"},INDEX('3.員工名單'!$I:$I,MATCH(A669,'3.員工名單'!$A:$A,0))))*ISNUMBER(SEARCH({"經營","管理","財務","企劃","營運","技術","數據","美術","測試","客服"},INDEX('1.職能辭典'!$K:$K,MATCH(F669,'1.職能辭典'!$C:$C,0)))))&gt;0)),INDEX('2.職務職能需求'!$B$2:$F$28,MATCH(F669,'2.職務職能需求'!$A$2:$A$28,0),MATCH(D669,'2.職務職能需求'!$B$1:$F$1,0)),0),""))</f>
        <v/>
      </c>
      <c r="H669" s="94" t="n"/>
      <c r="I669" s="94" t="n"/>
      <c r="J669" s="120">
        <f>IF(OR(G669="",I669="",G669=0),"",I669-G669)</f>
        <v/>
      </c>
      <c r="K669" s="120">
        <f>IF(G669="","",IF(G669=0,"不適用",IF(I669="","待評核",IF(I669&gt;=G669,IF(I669&gt;G669,"超越","達標"),"待發展"))))</f>
        <v/>
      </c>
      <c r="L669" s="91" t="n"/>
      <c r="M669" s="91" t="n"/>
      <c r="N669" s="88" t="n"/>
    </row>
    <row r="670" ht="15.75" customHeight="1" s="64">
      <c r="A670" s="88" t="n"/>
      <c r="B670" s="120">
        <f t="array" ref="B670:B670">IF(A670="","",IFERROR(INDEX('3.員工名單'!$B:$B,MATCH(A670,'3.員工名單'!$A:$A,0)),"查無此員工"))</f>
        <v/>
      </c>
      <c r="C670" s="120">
        <f t="array" ref="C670:C670">IF(A670="","",IFERROR(INDEX('3.員工名單'!$C:$C,MATCH(A670,'3.員工名單'!$A:$A,0)),""))</f>
        <v/>
      </c>
      <c r="D670" s="120">
        <f t="array" ref="D670:D670">IF(A670="","",IFERROR(INDEX('3.員工名單'!$D:$D,MATCH(A670,'3.員工名單'!$A:$A,0)),""))</f>
        <v/>
      </c>
      <c r="E670" s="120">
        <f t="array" ref="E670:E670">IF(F670="","",IFERROR(INDEX('1.職能辭典'!$A:$A,MATCH(F670,'1.職能辭典'!$C:$C,0)),""))</f>
        <v/>
      </c>
      <c r="F670" s="94" t="n"/>
      <c r="G670" s="120">
        <f t="array" ref="G670:G670">IF(OR(D670="",F670=""),"",IFERROR(IF(AND(OR(INDEX('1.職能辭典'!$J:$J,MATCH(F670,'1.職能辭典'!$C:$C,0))="全部",INDEX('3.員工名單'!$H:$H,MATCH(A670,'3.員工名單'!$A:$A,0))="兩款共用",INDEX('3.員工名單'!$H:$H,MATCH(A670,'3.員工名單'!$A:$A,0))=INDEX('1.職能辭典'!$J:$J,MATCH(F670,'1.職能辭典'!$C:$C,0))),OR(INDEX('1.職能辭典'!$K:$K,MATCH(F670,'1.職能辭典'!$C:$C,0))="全部",SUMPRODUCT(ISNUMBER(SEARCH({"經營","管理","財務","企劃","營運","技術","數據","美術","測試","客服"},INDEX('3.員工名單'!$I:$I,MATCH(A670,'3.員工名單'!$A:$A,0))))*ISNUMBER(SEARCH({"經營","管理","財務","企劃","營運","技術","數據","美術","測試","客服"},INDEX('1.職能辭典'!$K:$K,MATCH(F670,'1.職能辭典'!$C:$C,0)))))&gt;0)),INDEX('2.職務職能需求'!$B$2:$F$28,MATCH(F670,'2.職務職能需求'!$A$2:$A$28,0),MATCH(D670,'2.職務職能需求'!$B$1:$F$1,0)),0),""))</f>
        <v/>
      </c>
      <c r="H670" s="94" t="n"/>
      <c r="I670" s="94" t="n"/>
      <c r="J670" s="120">
        <f>IF(OR(G670="",I670="",G670=0),"",I670-G670)</f>
        <v/>
      </c>
      <c r="K670" s="120">
        <f>IF(G670="","",IF(G670=0,"不適用",IF(I670="","待評核",IF(I670&gt;=G670,IF(I670&gt;G670,"超越","達標"),"待發展"))))</f>
        <v/>
      </c>
      <c r="L670" s="91" t="n"/>
      <c r="M670" s="91" t="n"/>
      <c r="N670" s="88" t="n"/>
    </row>
    <row r="671" ht="15.75" customHeight="1" s="64">
      <c r="A671" s="88" t="n"/>
      <c r="B671" s="120">
        <f t="array" ref="B671:B671">IF(A671="","",IFERROR(INDEX('3.員工名單'!$B:$B,MATCH(A671,'3.員工名單'!$A:$A,0)),"查無此員工"))</f>
        <v/>
      </c>
      <c r="C671" s="120">
        <f t="array" ref="C671:C671">IF(A671="","",IFERROR(INDEX('3.員工名單'!$C:$C,MATCH(A671,'3.員工名單'!$A:$A,0)),""))</f>
        <v/>
      </c>
      <c r="D671" s="120">
        <f t="array" ref="D671:D671">IF(A671="","",IFERROR(INDEX('3.員工名單'!$D:$D,MATCH(A671,'3.員工名單'!$A:$A,0)),""))</f>
        <v/>
      </c>
      <c r="E671" s="120">
        <f t="array" ref="E671:E671">IF(F671="","",IFERROR(INDEX('1.職能辭典'!$A:$A,MATCH(F671,'1.職能辭典'!$C:$C,0)),""))</f>
        <v/>
      </c>
      <c r="F671" s="94" t="n"/>
      <c r="G671" s="120">
        <f t="array" ref="G671:G671">IF(OR(D671="",F671=""),"",IFERROR(IF(AND(OR(INDEX('1.職能辭典'!$J:$J,MATCH(F671,'1.職能辭典'!$C:$C,0))="全部",INDEX('3.員工名單'!$H:$H,MATCH(A671,'3.員工名單'!$A:$A,0))="兩款共用",INDEX('3.員工名單'!$H:$H,MATCH(A671,'3.員工名單'!$A:$A,0))=INDEX('1.職能辭典'!$J:$J,MATCH(F671,'1.職能辭典'!$C:$C,0))),OR(INDEX('1.職能辭典'!$K:$K,MATCH(F671,'1.職能辭典'!$C:$C,0))="全部",SUMPRODUCT(ISNUMBER(SEARCH({"經營","管理","財務","企劃","營運","技術","數據","美術","測試","客服"},INDEX('3.員工名單'!$I:$I,MATCH(A671,'3.員工名單'!$A:$A,0))))*ISNUMBER(SEARCH({"經營","管理","財務","企劃","營運","技術","數據","美術","測試","客服"},INDEX('1.職能辭典'!$K:$K,MATCH(F671,'1.職能辭典'!$C:$C,0)))))&gt;0)),INDEX('2.職務職能需求'!$B$2:$F$28,MATCH(F671,'2.職務職能需求'!$A$2:$A$28,0),MATCH(D671,'2.職務職能需求'!$B$1:$F$1,0)),0),""))</f>
        <v/>
      </c>
      <c r="H671" s="94" t="n"/>
      <c r="I671" s="94" t="n"/>
      <c r="J671" s="120">
        <f>IF(OR(G671="",I671="",G671=0),"",I671-G671)</f>
        <v/>
      </c>
      <c r="K671" s="120">
        <f>IF(G671="","",IF(G671=0,"不適用",IF(I671="","待評核",IF(I671&gt;=G671,IF(I671&gt;G671,"超越","達標"),"待發展"))))</f>
        <v/>
      </c>
      <c r="L671" s="91" t="n"/>
      <c r="M671" s="91" t="n"/>
      <c r="N671" s="88" t="n"/>
    </row>
    <row r="672" ht="15.75" customHeight="1" s="64">
      <c r="A672" s="88" t="n"/>
      <c r="B672" s="120">
        <f t="array" ref="B672:B672">IF(A672="","",IFERROR(INDEX('3.員工名單'!$B:$B,MATCH(A672,'3.員工名單'!$A:$A,0)),"查無此員工"))</f>
        <v/>
      </c>
      <c r="C672" s="120">
        <f t="array" ref="C672:C672">IF(A672="","",IFERROR(INDEX('3.員工名單'!$C:$C,MATCH(A672,'3.員工名單'!$A:$A,0)),""))</f>
        <v/>
      </c>
      <c r="D672" s="120">
        <f t="array" ref="D672:D672">IF(A672="","",IFERROR(INDEX('3.員工名單'!$D:$D,MATCH(A672,'3.員工名單'!$A:$A,0)),""))</f>
        <v/>
      </c>
      <c r="E672" s="120">
        <f t="array" ref="E672:E672">IF(F672="","",IFERROR(INDEX('1.職能辭典'!$A:$A,MATCH(F672,'1.職能辭典'!$C:$C,0)),""))</f>
        <v/>
      </c>
      <c r="F672" s="94" t="n"/>
      <c r="G672" s="120">
        <f t="array" ref="G672:G672">IF(OR(D672="",F672=""),"",IFERROR(IF(AND(OR(INDEX('1.職能辭典'!$J:$J,MATCH(F672,'1.職能辭典'!$C:$C,0))="全部",INDEX('3.員工名單'!$H:$H,MATCH(A672,'3.員工名單'!$A:$A,0))="兩款共用",INDEX('3.員工名單'!$H:$H,MATCH(A672,'3.員工名單'!$A:$A,0))=INDEX('1.職能辭典'!$J:$J,MATCH(F672,'1.職能辭典'!$C:$C,0))),OR(INDEX('1.職能辭典'!$K:$K,MATCH(F672,'1.職能辭典'!$C:$C,0))="全部",SUMPRODUCT(ISNUMBER(SEARCH({"經營","管理","財務","企劃","營運","技術","數據","美術","測試","客服"},INDEX('3.員工名單'!$I:$I,MATCH(A672,'3.員工名單'!$A:$A,0))))*ISNUMBER(SEARCH({"經營","管理","財務","企劃","營運","技術","數據","美術","測試","客服"},INDEX('1.職能辭典'!$K:$K,MATCH(F672,'1.職能辭典'!$C:$C,0)))))&gt;0)),INDEX('2.職務職能需求'!$B$2:$F$28,MATCH(F672,'2.職務職能需求'!$A$2:$A$28,0),MATCH(D672,'2.職務職能需求'!$B$1:$F$1,0)),0),""))</f>
        <v/>
      </c>
      <c r="H672" s="94" t="n"/>
      <c r="I672" s="94" t="n"/>
      <c r="J672" s="120">
        <f>IF(OR(G672="",I672="",G672=0),"",I672-G672)</f>
        <v/>
      </c>
      <c r="K672" s="120">
        <f>IF(G672="","",IF(G672=0,"不適用",IF(I672="","待評核",IF(I672&gt;=G672,IF(I672&gt;G672,"超越","達標"),"待發展"))))</f>
        <v/>
      </c>
      <c r="L672" s="91" t="n"/>
      <c r="M672" s="91" t="n"/>
      <c r="N672" s="88" t="n"/>
    </row>
    <row r="673" ht="15.75" customHeight="1" s="64">
      <c r="A673" s="88" t="n"/>
      <c r="B673" s="120">
        <f t="array" ref="B673:B673">IF(A673="","",IFERROR(INDEX('3.員工名單'!$B:$B,MATCH(A673,'3.員工名單'!$A:$A,0)),"查無此員工"))</f>
        <v/>
      </c>
      <c r="C673" s="120">
        <f t="array" ref="C673:C673">IF(A673="","",IFERROR(INDEX('3.員工名單'!$C:$C,MATCH(A673,'3.員工名單'!$A:$A,0)),""))</f>
        <v/>
      </c>
      <c r="D673" s="120">
        <f t="array" ref="D673:D673">IF(A673="","",IFERROR(INDEX('3.員工名單'!$D:$D,MATCH(A673,'3.員工名單'!$A:$A,0)),""))</f>
        <v/>
      </c>
      <c r="E673" s="120">
        <f t="array" ref="E673:E673">IF(F673="","",IFERROR(INDEX('1.職能辭典'!$A:$A,MATCH(F673,'1.職能辭典'!$C:$C,0)),""))</f>
        <v/>
      </c>
      <c r="F673" s="94" t="n"/>
      <c r="G673" s="120">
        <f t="array" ref="G673:G673">IF(OR(D673="",F673=""),"",IFERROR(IF(AND(OR(INDEX('1.職能辭典'!$J:$J,MATCH(F673,'1.職能辭典'!$C:$C,0))="全部",INDEX('3.員工名單'!$H:$H,MATCH(A673,'3.員工名單'!$A:$A,0))="兩款共用",INDEX('3.員工名單'!$H:$H,MATCH(A673,'3.員工名單'!$A:$A,0))=INDEX('1.職能辭典'!$J:$J,MATCH(F673,'1.職能辭典'!$C:$C,0))),OR(INDEX('1.職能辭典'!$K:$K,MATCH(F673,'1.職能辭典'!$C:$C,0))="全部",SUMPRODUCT(ISNUMBER(SEARCH({"經營","管理","財務","企劃","營運","技術","數據","美術","測試","客服"},INDEX('3.員工名單'!$I:$I,MATCH(A673,'3.員工名單'!$A:$A,0))))*ISNUMBER(SEARCH({"經營","管理","財務","企劃","營運","技術","數據","美術","測試","客服"},INDEX('1.職能辭典'!$K:$K,MATCH(F673,'1.職能辭典'!$C:$C,0)))))&gt;0)),INDEX('2.職務職能需求'!$B$2:$F$28,MATCH(F673,'2.職務職能需求'!$A$2:$A$28,0),MATCH(D673,'2.職務職能需求'!$B$1:$F$1,0)),0),""))</f>
        <v/>
      </c>
      <c r="H673" s="94" t="n"/>
      <c r="I673" s="94" t="n"/>
      <c r="J673" s="120">
        <f>IF(OR(G673="",I673="",G673=0),"",I673-G673)</f>
        <v/>
      </c>
      <c r="K673" s="120">
        <f>IF(G673="","",IF(G673=0,"不適用",IF(I673="","待評核",IF(I673&gt;=G673,IF(I673&gt;G673,"超越","達標"),"待發展"))))</f>
        <v/>
      </c>
      <c r="L673" s="91" t="n"/>
      <c r="M673" s="91" t="n"/>
      <c r="N673" s="88" t="n"/>
    </row>
    <row r="674" ht="15.75" customHeight="1" s="64">
      <c r="A674" s="88" t="n"/>
      <c r="B674" s="120">
        <f t="array" ref="B674:B674">IF(A674="","",IFERROR(INDEX('3.員工名單'!$B:$B,MATCH(A674,'3.員工名單'!$A:$A,0)),"查無此員工"))</f>
        <v/>
      </c>
      <c r="C674" s="120">
        <f t="array" ref="C674:C674">IF(A674="","",IFERROR(INDEX('3.員工名單'!$C:$C,MATCH(A674,'3.員工名單'!$A:$A,0)),""))</f>
        <v/>
      </c>
      <c r="D674" s="120">
        <f t="array" ref="D674:D674">IF(A674="","",IFERROR(INDEX('3.員工名單'!$D:$D,MATCH(A674,'3.員工名單'!$A:$A,0)),""))</f>
        <v/>
      </c>
      <c r="E674" s="120">
        <f t="array" ref="E674:E674">IF(F674="","",IFERROR(INDEX('1.職能辭典'!$A:$A,MATCH(F674,'1.職能辭典'!$C:$C,0)),""))</f>
        <v/>
      </c>
      <c r="F674" s="94" t="n"/>
      <c r="G674" s="120">
        <f t="array" ref="G674:G674">IF(OR(D674="",F674=""),"",IFERROR(IF(AND(OR(INDEX('1.職能辭典'!$J:$J,MATCH(F674,'1.職能辭典'!$C:$C,0))="全部",INDEX('3.員工名單'!$H:$H,MATCH(A674,'3.員工名單'!$A:$A,0))="兩款共用",INDEX('3.員工名單'!$H:$H,MATCH(A674,'3.員工名單'!$A:$A,0))=INDEX('1.職能辭典'!$J:$J,MATCH(F674,'1.職能辭典'!$C:$C,0))),OR(INDEX('1.職能辭典'!$K:$K,MATCH(F674,'1.職能辭典'!$C:$C,0))="全部",SUMPRODUCT(ISNUMBER(SEARCH({"經營","管理","財務","企劃","營運","技術","數據","美術","測試","客服"},INDEX('3.員工名單'!$I:$I,MATCH(A674,'3.員工名單'!$A:$A,0))))*ISNUMBER(SEARCH({"經營","管理","財務","企劃","營運","技術","數據","美術","測試","客服"},INDEX('1.職能辭典'!$K:$K,MATCH(F674,'1.職能辭典'!$C:$C,0)))))&gt;0)),INDEX('2.職務職能需求'!$B$2:$F$28,MATCH(F674,'2.職務職能需求'!$A$2:$A$28,0),MATCH(D674,'2.職務職能需求'!$B$1:$F$1,0)),0),""))</f>
        <v/>
      </c>
      <c r="H674" s="94" t="n"/>
      <c r="I674" s="94" t="n"/>
      <c r="J674" s="120">
        <f>IF(OR(G674="",I674="",G674=0),"",I674-G674)</f>
        <v/>
      </c>
      <c r="K674" s="120">
        <f>IF(G674="","",IF(G674=0,"不適用",IF(I674="","待評核",IF(I674&gt;=G674,IF(I674&gt;G674,"超越","達標"),"待發展"))))</f>
        <v/>
      </c>
      <c r="L674" s="91" t="n"/>
      <c r="M674" s="91" t="n"/>
      <c r="N674" s="88" t="n"/>
    </row>
    <row r="675" ht="15.75" customHeight="1" s="64">
      <c r="A675" s="88" t="n"/>
      <c r="B675" s="120">
        <f t="array" ref="B675:B675">IF(A675="","",IFERROR(INDEX('3.員工名單'!$B:$B,MATCH(A675,'3.員工名單'!$A:$A,0)),"查無此員工"))</f>
        <v/>
      </c>
      <c r="C675" s="120">
        <f t="array" ref="C675:C675">IF(A675="","",IFERROR(INDEX('3.員工名單'!$C:$C,MATCH(A675,'3.員工名單'!$A:$A,0)),""))</f>
        <v/>
      </c>
      <c r="D675" s="120">
        <f t="array" ref="D675:D675">IF(A675="","",IFERROR(INDEX('3.員工名單'!$D:$D,MATCH(A675,'3.員工名單'!$A:$A,0)),""))</f>
        <v/>
      </c>
      <c r="E675" s="120">
        <f t="array" ref="E675:E675">IF(F675="","",IFERROR(INDEX('1.職能辭典'!$A:$A,MATCH(F675,'1.職能辭典'!$C:$C,0)),""))</f>
        <v/>
      </c>
      <c r="F675" s="94" t="n"/>
      <c r="G675" s="120">
        <f t="array" ref="G675:G675">IF(OR(D675="",F675=""),"",IFERROR(IF(AND(OR(INDEX('1.職能辭典'!$J:$J,MATCH(F675,'1.職能辭典'!$C:$C,0))="全部",INDEX('3.員工名單'!$H:$H,MATCH(A675,'3.員工名單'!$A:$A,0))="兩款共用",INDEX('3.員工名單'!$H:$H,MATCH(A675,'3.員工名單'!$A:$A,0))=INDEX('1.職能辭典'!$J:$J,MATCH(F675,'1.職能辭典'!$C:$C,0))),OR(INDEX('1.職能辭典'!$K:$K,MATCH(F675,'1.職能辭典'!$C:$C,0))="全部",SUMPRODUCT(ISNUMBER(SEARCH({"經營","管理","財務","企劃","營運","技術","數據","美術","測試","客服"},INDEX('3.員工名單'!$I:$I,MATCH(A675,'3.員工名單'!$A:$A,0))))*ISNUMBER(SEARCH({"經營","管理","財務","企劃","營運","技術","數據","美術","測試","客服"},INDEX('1.職能辭典'!$K:$K,MATCH(F675,'1.職能辭典'!$C:$C,0)))))&gt;0)),INDEX('2.職務職能需求'!$B$2:$F$28,MATCH(F675,'2.職務職能需求'!$A$2:$A$28,0),MATCH(D675,'2.職務職能需求'!$B$1:$F$1,0)),0),""))</f>
        <v/>
      </c>
      <c r="H675" s="94" t="n"/>
      <c r="I675" s="94" t="n"/>
      <c r="J675" s="120">
        <f>IF(OR(G675="",I675="",G675=0),"",I675-G675)</f>
        <v/>
      </c>
      <c r="K675" s="120">
        <f>IF(G675="","",IF(G675=0,"不適用",IF(I675="","待評核",IF(I675&gt;=G675,IF(I675&gt;G675,"超越","達標"),"待發展"))))</f>
        <v/>
      </c>
      <c r="L675" s="91" t="n"/>
      <c r="M675" s="91" t="n"/>
      <c r="N675" s="88" t="n"/>
    </row>
    <row r="676" ht="15.75" customHeight="1" s="64">
      <c r="A676" s="88" t="n"/>
      <c r="B676" s="120">
        <f t="array" ref="B676:B676">IF(A676="","",IFERROR(INDEX('3.員工名單'!$B:$B,MATCH(A676,'3.員工名單'!$A:$A,0)),"查無此員工"))</f>
        <v/>
      </c>
      <c r="C676" s="120">
        <f t="array" ref="C676:C676">IF(A676="","",IFERROR(INDEX('3.員工名單'!$C:$C,MATCH(A676,'3.員工名單'!$A:$A,0)),""))</f>
        <v/>
      </c>
      <c r="D676" s="120">
        <f t="array" ref="D676:D676">IF(A676="","",IFERROR(INDEX('3.員工名單'!$D:$D,MATCH(A676,'3.員工名單'!$A:$A,0)),""))</f>
        <v/>
      </c>
      <c r="E676" s="120">
        <f t="array" ref="E676:E676">IF(F676="","",IFERROR(INDEX('1.職能辭典'!$A:$A,MATCH(F676,'1.職能辭典'!$C:$C,0)),""))</f>
        <v/>
      </c>
      <c r="F676" s="94" t="n"/>
      <c r="G676" s="120">
        <f t="array" ref="G676:G676">IF(OR(D676="",F676=""),"",IFERROR(IF(AND(OR(INDEX('1.職能辭典'!$J:$J,MATCH(F676,'1.職能辭典'!$C:$C,0))="全部",INDEX('3.員工名單'!$H:$H,MATCH(A676,'3.員工名單'!$A:$A,0))="兩款共用",INDEX('3.員工名單'!$H:$H,MATCH(A676,'3.員工名單'!$A:$A,0))=INDEX('1.職能辭典'!$J:$J,MATCH(F676,'1.職能辭典'!$C:$C,0))),OR(INDEX('1.職能辭典'!$K:$K,MATCH(F676,'1.職能辭典'!$C:$C,0))="全部",SUMPRODUCT(ISNUMBER(SEARCH({"經營","管理","財務","企劃","營運","技術","數據","美術","測試","客服"},INDEX('3.員工名單'!$I:$I,MATCH(A676,'3.員工名單'!$A:$A,0))))*ISNUMBER(SEARCH({"經營","管理","財務","企劃","營運","技術","數據","美術","測試","客服"},INDEX('1.職能辭典'!$K:$K,MATCH(F676,'1.職能辭典'!$C:$C,0)))))&gt;0)),INDEX('2.職務職能需求'!$B$2:$F$28,MATCH(F676,'2.職務職能需求'!$A$2:$A$28,0),MATCH(D676,'2.職務職能需求'!$B$1:$F$1,0)),0),""))</f>
        <v/>
      </c>
      <c r="H676" s="94" t="n"/>
      <c r="I676" s="94" t="n"/>
      <c r="J676" s="120">
        <f>IF(OR(G676="",I676="",G676=0),"",I676-G676)</f>
        <v/>
      </c>
      <c r="K676" s="120">
        <f>IF(G676="","",IF(G676=0,"不適用",IF(I676="","待評核",IF(I676&gt;=G676,IF(I676&gt;G676,"超越","達標"),"待發展"))))</f>
        <v/>
      </c>
      <c r="L676" s="91" t="n"/>
      <c r="M676" s="91" t="n"/>
      <c r="N676" s="88" t="n"/>
    </row>
    <row r="677" ht="15.75" customHeight="1" s="64">
      <c r="A677" s="88" t="n"/>
      <c r="B677" s="120">
        <f t="array" ref="B677:B677">IF(A677="","",IFERROR(INDEX('3.員工名單'!$B:$B,MATCH(A677,'3.員工名單'!$A:$A,0)),"查無此員工"))</f>
        <v/>
      </c>
      <c r="C677" s="120">
        <f t="array" ref="C677:C677">IF(A677="","",IFERROR(INDEX('3.員工名單'!$C:$C,MATCH(A677,'3.員工名單'!$A:$A,0)),""))</f>
        <v/>
      </c>
      <c r="D677" s="120">
        <f t="array" ref="D677:D677">IF(A677="","",IFERROR(INDEX('3.員工名單'!$D:$D,MATCH(A677,'3.員工名單'!$A:$A,0)),""))</f>
        <v/>
      </c>
      <c r="E677" s="120">
        <f t="array" ref="E677:E677">IF(F677="","",IFERROR(INDEX('1.職能辭典'!$A:$A,MATCH(F677,'1.職能辭典'!$C:$C,0)),""))</f>
        <v/>
      </c>
      <c r="F677" s="94" t="n"/>
      <c r="G677" s="120">
        <f t="array" ref="G677:G677">IF(OR(D677="",F677=""),"",IFERROR(IF(AND(OR(INDEX('1.職能辭典'!$J:$J,MATCH(F677,'1.職能辭典'!$C:$C,0))="全部",INDEX('3.員工名單'!$H:$H,MATCH(A677,'3.員工名單'!$A:$A,0))="兩款共用",INDEX('3.員工名單'!$H:$H,MATCH(A677,'3.員工名單'!$A:$A,0))=INDEX('1.職能辭典'!$J:$J,MATCH(F677,'1.職能辭典'!$C:$C,0))),OR(INDEX('1.職能辭典'!$K:$K,MATCH(F677,'1.職能辭典'!$C:$C,0))="全部",SUMPRODUCT(ISNUMBER(SEARCH({"經營","管理","財務","企劃","營運","技術","數據","美術","測試","客服"},INDEX('3.員工名單'!$I:$I,MATCH(A677,'3.員工名單'!$A:$A,0))))*ISNUMBER(SEARCH({"經營","管理","財務","企劃","營運","技術","數據","美術","測試","客服"},INDEX('1.職能辭典'!$K:$K,MATCH(F677,'1.職能辭典'!$C:$C,0)))))&gt;0)),INDEX('2.職務職能需求'!$B$2:$F$28,MATCH(F677,'2.職務職能需求'!$A$2:$A$28,0),MATCH(D677,'2.職務職能需求'!$B$1:$F$1,0)),0),""))</f>
        <v/>
      </c>
      <c r="H677" s="94" t="n"/>
      <c r="I677" s="94" t="n"/>
      <c r="J677" s="120">
        <f>IF(OR(G677="",I677="",G677=0),"",I677-G677)</f>
        <v/>
      </c>
      <c r="K677" s="120">
        <f>IF(G677="","",IF(G677=0,"不適用",IF(I677="","待評核",IF(I677&gt;=G677,IF(I677&gt;G677,"超越","達標"),"待發展"))))</f>
        <v/>
      </c>
      <c r="L677" s="91" t="n"/>
      <c r="M677" s="91" t="n"/>
      <c r="N677" s="88" t="n"/>
    </row>
    <row r="678" ht="15.75" customHeight="1" s="64">
      <c r="A678" s="88" t="n"/>
      <c r="B678" s="120">
        <f t="array" ref="B678:B678">IF(A678="","",IFERROR(INDEX('3.員工名單'!$B:$B,MATCH(A678,'3.員工名單'!$A:$A,0)),"查無此員工"))</f>
        <v/>
      </c>
      <c r="C678" s="120">
        <f t="array" ref="C678:C678">IF(A678="","",IFERROR(INDEX('3.員工名單'!$C:$C,MATCH(A678,'3.員工名單'!$A:$A,0)),""))</f>
        <v/>
      </c>
      <c r="D678" s="120">
        <f t="array" ref="D678:D678">IF(A678="","",IFERROR(INDEX('3.員工名單'!$D:$D,MATCH(A678,'3.員工名單'!$A:$A,0)),""))</f>
        <v/>
      </c>
      <c r="E678" s="120">
        <f t="array" ref="E678:E678">IF(F678="","",IFERROR(INDEX('1.職能辭典'!$A:$A,MATCH(F678,'1.職能辭典'!$C:$C,0)),""))</f>
        <v/>
      </c>
      <c r="F678" s="94" t="n"/>
      <c r="G678" s="120">
        <f t="array" ref="G678:G678">IF(OR(D678="",F678=""),"",IFERROR(IF(AND(OR(INDEX('1.職能辭典'!$J:$J,MATCH(F678,'1.職能辭典'!$C:$C,0))="全部",INDEX('3.員工名單'!$H:$H,MATCH(A678,'3.員工名單'!$A:$A,0))="兩款共用",INDEX('3.員工名單'!$H:$H,MATCH(A678,'3.員工名單'!$A:$A,0))=INDEX('1.職能辭典'!$J:$J,MATCH(F678,'1.職能辭典'!$C:$C,0))),OR(INDEX('1.職能辭典'!$K:$K,MATCH(F678,'1.職能辭典'!$C:$C,0))="全部",SUMPRODUCT(ISNUMBER(SEARCH({"經營","管理","財務","企劃","營運","技術","數據","美術","測試","客服"},INDEX('3.員工名單'!$I:$I,MATCH(A678,'3.員工名單'!$A:$A,0))))*ISNUMBER(SEARCH({"經營","管理","財務","企劃","營運","技術","數據","美術","測試","客服"},INDEX('1.職能辭典'!$K:$K,MATCH(F678,'1.職能辭典'!$C:$C,0)))))&gt;0)),INDEX('2.職務職能需求'!$B$2:$F$28,MATCH(F678,'2.職務職能需求'!$A$2:$A$28,0),MATCH(D678,'2.職務職能需求'!$B$1:$F$1,0)),0),""))</f>
        <v/>
      </c>
      <c r="H678" s="94" t="n"/>
      <c r="I678" s="94" t="n"/>
      <c r="J678" s="120">
        <f>IF(OR(G678="",I678="",G678=0),"",I678-G678)</f>
        <v/>
      </c>
      <c r="K678" s="120">
        <f>IF(G678="","",IF(G678=0,"不適用",IF(I678="","待評核",IF(I678&gt;=G678,IF(I678&gt;G678,"超越","達標"),"待發展"))))</f>
        <v/>
      </c>
      <c r="L678" s="91" t="n"/>
      <c r="M678" s="91" t="n"/>
      <c r="N678" s="88" t="n"/>
    </row>
    <row r="679" ht="15.75" customHeight="1" s="64">
      <c r="A679" s="88" t="n"/>
      <c r="B679" s="120">
        <f t="array" ref="B679:B679">IF(A679="","",IFERROR(INDEX('3.員工名單'!$B:$B,MATCH(A679,'3.員工名單'!$A:$A,0)),"查無此員工"))</f>
        <v/>
      </c>
      <c r="C679" s="120">
        <f t="array" ref="C679:C679">IF(A679="","",IFERROR(INDEX('3.員工名單'!$C:$C,MATCH(A679,'3.員工名單'!$A:$A,0)),""))</f>
        <v/>
      </c>
      <c r="D679" s="120">
        <f t="array" ref="D679:D679">IF(A679="","",IFERROR(INDEX('3.員工名單'!$D:$D,MATCH(A679,'3.員工名單'!$A:$A,0)),""))</f>
        <v/>
      </c>
      <c r="E679" s="120">
        <f t="array" ref="E679:E679">IF(F679="","",IFERROR(INDEX('1.職能辭典'!$A:$A,MATCH(F679,'1.職能辭典'!$C:$C,0)),""))</f>
        <v/>
      </c>
      <c r="F679" s="94" t="n"/>
      <c r="G679" s="120">
        <f t="array" ref="G679:G679">IF(OR(D679="",F679=""),"",IFERROR(IF(AND(OR(INDEX('1.職能辭典'!$J:$J,MATCH(F679,'1.職能辭典'!$C:$C,0))="全部",INDEX('3.員工名單'!$H:$H,MATCH(A679,'3.員工名單'!$A:$A,0))="兩款共用",INDEX('3.員工名單'!$H:$H,MATCH(A679,'3.員工名單'!$A:$A,0))=INDEX('1.職能辭典'!$J:$J,MATCH(F679,'1.職能辭典'!$C:$C,0))),OR(INDEX('1.職能辭典'!$K:$K,MATCH(F679,'1.職能辭典'!$C:$C,0))="全部",SUMPRODUCT(ISNUMBER(SEARCH({"經營","管理","財務","企劃","營運","技術","數據","美術","測試","客服"},INDEX('3.員工名單'!$I:$I,MATCH(A679,'3.員工名單'!$A:$A,0))))*ISNUMBER(SEARCH({"經營","管理","財務","企劃","營運","技術","數據","美術","測試","客服"},INDEX('1.職能辭典'!$K:$K,MATCH(F679,'1.職能辭典'!$C:$C,0)))))&gt;0)),INDEX('2.職務職能需求'!$B$2:$F$28,MATCH(F679,'2.職務職能需求'!$A$2:$A$28,0),MATCH(D679,'2.職務職能需求'!$B$1:$F$1,0)),0),""))</f>
        <v/>
      </c>
      <c r="H679" s="94" t="n"/>
      <c r="I679" s="94" t="n"/>
      <c r="J679" s="120">
        <f>IF(OR(G679="",I679="",G679=0),"",I679-G679)</f>
        <v/>
      </c>
      <c r="K679" s="120">
        <f>IF(G679="","",IF(G679=0,"不適用",IF(I679="","待評核",IF(I679&gt;=G679,IF(I679&gt;G679,"超越","達標"),"待發展"))))</f>
        <v/>
      </c>
      <c r="L679" s="91" t="n"/>
      <c r="M679" s="91" t="n"/>
      <c r="N679" s="88" t="n"/>
    </row>
    <row r="680" ht="15.75" customHeight="1" s="64">
      <c r="A680" s="88" t="n"/>
      <c r="B680" s="120">
        <f t="array" ref="B680:B680">IF(A680="","",IFERROR(INDEX('3.員工名單'!$B:$B,MATCH(A680,'3.員工名單'!$A:$A,0)),"查無此員工"))</f>
        <v/>
      </c>
      <c r="C680" s="120">
        <f t="array" ref="C680:C680">IF(A680="","",IFERROR(INDEX('3.員工名單'!$C:$C,MATCH(A680,'3.員工名單'!$A:$A,0)),""))</f>
        <v/>
      </c>
      <c r="D680" s="120">
        <f t="array" ref="D680:D680">IF(A680="","",IFERROR(INDEX('3.員工名單'!$D:$D,MATCH(A680,'3.員工名單'!$A:$A,0)),""))</f>
        <v/>
      </c>
      <c r="E680" s="120">
        <f t="array" ref="E680:E680">IF(F680="","",IFERROR(INDEX('1.職能辭典'!$A:$A,MATCH(F680,'1.職能辭典'!$C:$C,0)),""))</f>
        <v/>
      </c>
      <c r="F680" s="94" t="n"/>
      <c r="G680" s="120">
        <f t="array" ref="G680:G680">IF(OR(D680="",F680=""),"",IFERROR(IF(AND(OR(INDEX('1.職能辭典'!$J:$J,MATCH(F680,'1.職能辭典'!$C:$C,0))="全部",INDEX('3.員工名單'!$H:$H,MATCH(A680,'3.員工名單'!$A:$A,0))="兩款共用",INDEX('3.員工名單'!$H:$H,MATCH(A680,'3.員工名單'!$A:$A,0))=INDEX('1.職能辭典'!$J:$J,MATCH(F680,'1.職能辭典'!$C:$C,0))),OR(INDEX('1.職能辭典'!$K:$K,MATCH(F680,'1.職能辭典'!$C:$C,0))="全部",SUMPRODUCT(ISNUMBER(SEARCH({"經營","管理","財務","企劃","營運","技術","數據","美術","測試","客服"},INDEX('3.員工名單'!$I:$I,MATCH(A680,'3.員工名單'!$A:$A,0))))*ISNUMBER(SEARCH({"經營","管理","財務","企劃","營運","技術","數據","美術","測試","客服"},INDEX('1.職能辭典'!$K:$K,MATCH(F680,'1.職能辭典'!$C:$C,0)))))&gt;0)),INDEX('2.職務職能需求'!$B$2:$F$28,MATCH(F680,'2.職務職能需求'!$A$2:$A$28,0),MATCH(D680,'2.職務職能需求'!$B$1:$F$1,0)),0),""))</f>
        <v/>
      </c>
      <c r="H680" s="94" t="n"/>
      <c r="I680" s="94" t="n"/>
      <c r="J680" s="120">
        <f>IF(OR(G680="",I680="",G680=0),"",I680-G680)</f>
        <v/>
      </c>
      <c r="K680" s="120">
        <f>IF(G680="","",IF(G680=0,"不適用",IF(I680="","待評核",IF(I680&gt;=G680,IF(I680&gt;G680,"超越","達標"),"待發展"))))</f>
        <v/>
      </c>
      <c r="L680" s="91" t="n"/>
      <c r="M680" s="91" t="n"/>
      <c r="N680" s="88" t="n"/>
    </row>
    <row r="681" ht="15.75" customHeight="1" s="64">
      <c r="A681" s="88" t="n"/>
      <c r="B681" s="120">
        <f t="array" ref="B681:B681">IF(A681="","",IFERROR(INDEX('3.員工名單'!$B:$B,MATCH(A681,'3.員工名單'!$A:$A,0)),"查無此員工"))</f>
        <v/>
      </c>
      <c r="C681" s="120">
        <f t="array" ref="C681:C681">IF(A681="","",IFERROR(INDEX('3.員工名單'!$C:$C,MATCH(A681,'3.員工名單'!$A:$A,0)),""))</f>
        <v/>
      </c>
      <c r="D681" s="120">
        <f t="array" ref="D681:D681">IF(A681="","",IFERROR(INDEX('3.員工名單'!$D:$D,MATCH(A681,'3.員工名單'!$A:$A,0)),""))</f>
        <v/>
      </c>
      <c r="E681" s="120">
        <f t="array" ref="E681:E681">IF(F681="","",IFERROR(INDEX('1.職能辭典'!$A:$A,MATCH(F681,'1.職能辭典'!$C:$C,0)),""))</f>
        <v/>
      </c>
      <c r="F681" s="94" t="n"/>
      <c r="G681" s="120">
        <f t="array" ref="G681:G681">IF(OR(D681="",F681=""),"",IFERROR(IF(AND(OR(INDEX('1.職能辭典'!$J:$J,MATCH(F681,'1.職能辭典'!$C:$C,0))="全部",INDEX('3.員工名單'!$H:$H,MATCH(A681,'3.員工名單'!$A:$A,0))="兩款共用",INDEX('3.員工名單'!$H:$H,MATCH(A681,'3.員工名單'!$A:$A,0))=INDEX('1.職能辭典'!$J:$J,MATCH(F681,'1.職能辭典'!$C:$C,0))),OR(INDEX('1.職能辭典'!$K:$K,MATCH(F681,'1.職能辭典'!$C:$C,0))="全部",SUMPRODUCT(ISNUMBER(SEARCH({"經營","管理","財務","企劃","營運","技術","數據","美術","測試","客服"},INDEX('3.員工名單'!$I:$I,MATCH(A681,'3.員工名單'!$A:$A,0))))*ISNUMBER(SEARCH({"經營","管理","財務","企劃","營運","技術","數據","美術","測試","客服"},INDEX('1.職能辭典'!$K:$K,MATCH(F681,'1.職能辭典'!$C:$C,0)))))&gt;0)),INDEX('2.職務職能需求'!$B$2:$F$28,MATCH(F681,'2.職務職能需求'!$A$2:$A$28,0),MATCH(D681,'2.職務職能需求'!$B$1:$F$1,0)),0),""))</f>
        <v/>
      </c>
      <c r="H681" s="94" t="n"/>
      <c r="I681" s="94" t="n"/>
      <c r="J681" s="120">
        <f>IF(OR(G681="",I681="",G681=0),"",I681-G681)</f>
        <v/>
      </c>
      <c r="K681" s="120">
        <f>IF(G681="","",IF(G681=0,"不適用",IF(I681="","待評核",IF(I681&gt;=G681,IF(I681&gt;G681,"超越","達標"),"待發展"))))</f>
        <v/>
      </c>
      <c r="L681" s="91" t="n"/>
      <c r="M681" s="91" t="n"/>
      <c r="N681" s="88" t="n"/>
    </row>
    <row r="682" ht="15.75" customHeight="1" s="64">
      <c r="A682" s="88" t="n"/>
      <c r="B682" s="120">
        <f t="array" ref="B682:B682">IF(A682="","",IFERROR(INDEX('3.員工名單'!$B:$B,MATCH(A682,'3.員工名單'!$A:$A,0)),"查無此員工"))</f>
        <v/>
      </c>
      <c r="C682" s="120">
        <f t="array" ref="C682:C682">IF(A682="","",IFERROR(INDEX('3.員工名單'!$C:$C,MATCH(A682,'3.員工名單'!$A:$A,0)),""))</f>
        <v/>
      </c>
      <c r="D682" s="120">
        <f t="array" ref="D682:D682">IF(A682="","",IFERROR(INDEX('3.員工名單'!$D:$D,MATCH(A682,'3.員工名單'!$A:$A,0)),""))</f>
        <v/>
      </c>
      <c r="E682" s="120">
        <f t="array" ref="E682:E682">IF(F682="","",IFERROR(INDEX('1.職能辭典'!$A:$A,MATCH(F682,'1.職能辭典'!$C:$C,0)),""))</f>
        <v/>
      </c>
      <c r="F682" s="94" t="n"/>
      <c r="G682" s="120">
        <f t="array" ref="G682:G682">IF(OR(D682="",F682=""),"",IFERROR(IF(AND(OR(INDEX('1.職能辭典'!$J:$J,MATCH(F682,'1.職能辭典'!$C:$C,0))="全部",INDEX('3.員工名單'!$H:$H,MATCH(A682,'3.員工名單'!$A:$A,0))="兩款共用",INDEX('3.員工名單'!$H:$H,MATCH(A682,'3.員工名單'!$A:$A,0))=INDEX('1.職能辭典'!$J:$J,MATCH(F682,'1.職能辭典'!$C:$C,0))),OR(INDEX('1.職能辭典'!$K:$K,MATCH(F682,'1.職能辭典'!$C:$C,0))="全部",SUMPRODUCT(ISNUMBER(SEARCH({"經營","管理","財務","企劃","營運","技術","數據","美術","測試","客服"},INDEX('3.員工名單'!$I:$I,MATCH(A682,'3.員工名單'!$A:$A,0))))*ISNUMBER(SEARCH({"經營","管理","財務","企劃","營運","技術","數據","美術","測試","客服"},INDEX('1.職能辭典'!$K:$K,MATCH(F682,'1.職能辭典'!$C:$C,0)))))&gt;0)),INDEX('2.職務職能需求'!$B$2:$F$28,MATCH(F682,'2.職務職能需求'!$A$2:$A$28,0),MATCH(D682,'2.職務職能需求'!$B$1:$F$1,0)),0),""))</f>
        <v/>
      </c>
      <c r="H682" s="94" t="n"/>
      <c r="I682" s="94" t="n"/>
      <c r="J682" s="120">
        <f>IF(OR(G682="",I682="",G682=0),"",I682-G682)</f>
        <v/>
      </c>
      <c r="K682" s="120">
        <f>IF(G682="","",IF(G682=0,"不適用",IF(I682="","待評核",IF(I682&gt;=G682,IF(I682&gt;G682,"超越","達標"),"待發展"))))</f>
        <v/>
      </c>
      <c r="L682" s="91" t="n"/>
      <c r="M682" s="91" t="n"/>
      <c r="N682" s="88" t="n"/>
    </row>
    <row r="683" ht="15.75" customHeight="1" s="64">
      <c r="A683" s="88" t="n"/>
      <c r="B683" s="120">
        <f t="array" ref="B683:B683">IF(A683="","",IFERROR(INDEX('3.員工名單'!$B:$B,MATCH(A683,'3.員工名單'!$A:$A,0)),"查無此員工"))</f>
        <v/>
      </c>
      <c r="C683" s="120">
        <f t="array" ref="C683:C683">IF(A683="","",IFERROR(INDEX('3.員工名單'!$C:$C,MATCH(A683,'3.員工名單'!$A:$A,0)),""))</f>
        <v/>
      </c>
      <c r="D683" s="120">
        <f t="array" ref="D683:D683">IF(A683="","",IFERROR(INDEX('3.員工名單'!$D:$D,MATCH(A683,'3.員工名單'!$A:$A,0)),""))</f>
        <v/>
      </c>
      <c r="E683" s="120">
        <f t="array" ref="E683:E683">IF(F683="","",IFERROR(INDEX('1.職能辭典'!$A:$A,MATCH(F683,'1.職能辭典'!$C:$C,0)),""))</f>
        <v/>
      </c>
      <c r="F683" s="94" t="n"/>
      <c r="G683" s="120">
        <f t="array" ref="G683:G683">IF(OR(D683="",F683=""),"",IFERROR(IF(AND(OR(INDEX('1.職能辭典'!$J:$J,MATCH(F683,'1.職能辭典'!$C:$C,0))="全部",INDEX('3.員工名單'!$H:$H,MATCH(A683,'3.員工名單'!$A:$A,0))="兩款共用",INDEX('3.員工名單'!$H:$H,MATCH(A683,'3.員工名單'!$A:$A,0))=INDEX('1.職能辭典'!$J:$J,MATCH(F683,'1.職能辭典'!$C:$C,0))),OR(INDEX('1.職能辭典'!$K:$K,MATCH(F683,'1.職能辭典'!$C:$C,0))="全部",SUMPRODUCT(ISNUMBER(SEARCH({"經營","管理","財務","企劃","營運","技術","數據","美術","測試","客服"},INDEX('3.員工名單'!$I:$I,MATCH(A683,'3.員工名單'!$A:$A,0))))*ISNUMBER(SEARCH({"經營","管理","財務","企劃","營運","技術","數據","美術","測試","客服"},INDEX('1.職能辭典'!$K:$K,MATCH(F683,'1.職能辭典'!$C:$C,0)))))&gt;0)),INDEX('2.職務職能需求'!$B$2:$F$28,MATCH(F683,'2.職務職能需求'!$A$2:$A$28,0),MATCH(D683,'2.職務職能需求'!$B$1:$F$1,0)),0),""))</f>
        <v/>
      </c>
      <c r="H683" s="94" t="n"/>
      <c r="I683" s="94" t="n"/>
      <c r="J683" s="120">
        <f>IF(OR(G683="",I683="",G683=0),"",I683-G683)</f>
        <v/>
      </c>
      <c r="K683" s="120">
        <f>IF(G683="","",IF(G683=0,"不適用",IF(I683="","待評核",IF(I683&gt;=G683,IF(I683&gt;G683,"超越","達標"),"待發展"))))</f>
        <v/>
      </c>
      <c r="L683" s="91" t="n"/>
      <c r="M683" s="91" t="n"/>
      <c r="N683" s="88" t="n"/>
    </row>
    <row r="684" ht="15.75" customHeight="1" s="64">
      <c r="A684" s="88" t="n"/>
      <c r="B684" s="120">
        <f t="array" ref="B684:B684">IF(A684="","",IFERROR(INDEX('3.員工名單'!$B:$B,MATCH(A684,'3.員工名單'!$A:$A,0)),"查無此員工"))</f>
        <v/>
      </c>
      <c r="C684" s="120">
        <f t="array" ref="C684:C684">IF(A684="","",IFERROR(INDEX('3.員工名單'!$C:$C,MATCH(A684,'3.員工名單'!$A:$A,0)),""))</f>
        <v/>
      </c>
      <c r="D684" s="120">
        <f t="array" ref="D684:D684">IF(A684="","",IFERROR(INDEX('3.員工名單'!$D:$D,MATCH(A684,'3.員工名單'!$A:$A,0)),""))</f>
        <v/>
      </c>
      <c r="E684" s="120">
        <f t="array" ref="E684:E684">IF(F684="","",IFERROR(INDEX('1.職能辭典'!$A:$A,MATCH(F684,'1.職能辭典'!$C:$C,0)),""))</f>
        <v/>
      </c>
      <c r="F684" s="94" t="n"/>
      <c r="G684" s="120">
        <f t="array" ref="G684:G684">IF(OR(D684="",F684=""),"",IFERROR(IF(AND(OR(INDEX('1.職能辭典'!$J:$J,MATCH(F684,'1.職能辭典'!$C:$C,0))="全部",INDEX('3.員工名單'!$H:$H,MATCH(A684,'3.員工名單'!$A:$A,0))="兩款共用",INDEX('3.員工名單'!$H:$H,MATCH(A684,'3.員工名單'!$A:$A,0))=INDEX('1.職能辭典'!$J:$J,MATCH(F684,'1.職能辭典'!$C:$C,0))),OR(INDEX('1.職能辭典'!$K:$K,MATCH(F684,'1.職能辭典'!$C:$C,0))="全部",SUMPRODUCT(ISNUMBER(SEARCH({"經營","管理","財務","企劃","營運","技術","數據","美術","測試","客服"},INDEX('3.員工名單'!$I:$I,MATCH(A684,'3.員工名單'!$A:$A,0))))*ISNUMBER(SEARCH({"經營","管理","財務","企劃","營運","技術","數據","美術","測試","客服"},INDEX('1.職能辭典'!$K:$K,MATCH(F684,'1.職能辭典'!$C:$C,0)))))&gt;0)),INDEX('2.職務職能需求'!$B$2:$F$28,MATCH(F684,'2.職務職能需求'!$A$2:$A$28,0),MATCH(D684,'2.職務職能需求'!$B$1:$F$1,0)),0),""))</f>
        <v/>
      </c>
      <c r="H684" s="94" t="n"/>
      <c r="I684" s="94" t="n"/>
      <c r="J684" s="120">
        <f>IF(OR(G684="",I684="",G684=0),"",I684-G684)</f>
        <v/>
      </c>
      <c r="K684" s="120">
        <f>IF(G684="","",IF(G684=0,"不適用",IF(I684="","待評核",IF(I684&gt;=G684,IF(I684&gt;G684,"超越","達標"),"待發展"))))</f>
        <v/>
      </c>
      <c r="L684" s="91" t="n"/>
      <c r="M684" s="91" t="n"/>
      <c r="N684" s="88" t="n"/>
    </row>
    <row r="685" ht="15.75" customHeight="1" s="64">
      <c r="A685" s="88" t="n"/>
      <c r="B685" s="120">
        <f t="array" ref="B685:B685">IF(A685="","",IFERROR(INDEX('3.員工名單'!$B:$B,MATCH(A685,'3.員工名單'!$A:$A,0)),"查無此員工"))</f>
        <v/>
      </c>
      <c r="C685" s="120">
        <f t="array" ref="C685:C685">IF(A685="","",IFERROR(INDEX('3.員工名單'!$C:$C,MATCH(A685,'3.員工名單'!$A:$A,0)),""))</f>
        <v/>
      </c>
      <c r="D685" s="120">
        <f t="array" ref="D685:D685">IF(A685="","",IFERROR(INDEX('3.員工名單'!$D:$D,MATCH(A685,'3.員工名單'!$A:$A,0)),""))</f>
        <v/>
      </c>
      <c r="E685" s="120">
        <f t="array" ref="E685:E685">IF(F685="","",IFERROR(INDEX('1.職能辭典'!$A:$A,MATCH(F685,'1.職能辭典'!$C:$C,0)),""))</f>
        <v/>
      </c>
      <c r="F685" s="94" t="n"/>
      <c r="G685" s="120">
        <f t="array" ref="G685:G685">IF(OR(D685="",F685=""),"",IFERROR(IF(AND(OR(INDEX('1.職能辭典'!$J:$J,MATCH(F685,'1.職能辭典'!$C:$C,0))="全部",INDEX('3.員工名單'!$H:$H,MATCH(A685,'3.員工名單'!$A:$A,0))="兩款共用",INDEX('3.員工名單'!$H:$H,MATCH(A685,'3.員工名單'!$A:$A,0))=INDEX('1.職能辭典'!$J:$J,MATCH(F685,'1.職能辭典'!$C:$C,0))),OR(INDEX('1.職能辭典'!$K:$K,MATCH(F685,'1.職能辭典'!$C:$C,0))="全部",SUMPRODUCT(ISNUMBER(SEARCH({"經營","管理","財務","企劃","營運","技術","數據","美術","測試","客服"},INDEX('3.員工名單'!$I:$I,MATCH(A685,'3.員工名單'!$A:$A,0))))*ISNUMBER(SEARCH({"經營","管理","財務","企劃","營運","技術","數據","美術","測試","客服"},INDEX('1.職能辭典'!$K:$K,MATCH(F685,'1.職能辭典'!$C:$C,0)))))&gt;0)),INDEX('2.職務職能需求'!$B$2:$F$28,MATCH(F685,'2.職務職能需求'!$A$2:$A$28,0),MATCH(D685,'2.職務職能需求'!$B$1:$F$1,0)),0),""))</f>
        <v/>
      </c>
      <c r="H685" s="94" t="n"/>
      <c r="I685" s="94" t="n"/>
      <c r="J685" s="120">
        <f>IF(OR(G685="",I685="",G685=0),"",I685-G685)</f>
        <v/>
      </c>
      <c r="K685" s="120">
        <f>IF(G685="","",IF(G685=0,"不適用",IF(I685="","待評核",IF(I685&gt;=G685,IF(I685&gt;G685,"超越","達標"),"待發展"))))</f>
        <v/>
      </c>
      <c r="L685" s="91" t="n"/>
      <c r="M685" s="91" t="n"/>
      <c r="N685" s="88" t="n"/>
    </row>
    <row r="686" ht="15.75" customHeight="1" s="64">
      <c r="A686" s="88" t="n"/>
      <c r="B686" s="120">
        <f t="array" ref="B686:B686">IF(A686="","",IFERROR(INDEX('3.員工名單'!$B:$B,MATCH(A686,'3.員工名單'!$A:$A,0)),"查無此員工"))</f>
        <v/>
      </c>
      <c r="C686" s="120">
        <f t="array" ref="C686:C686">IF(A686="","",IFERROR(INDEX('3.員工名單'!$C:$C,MATCH(A686,'3.員工名單'!$A:$A,0)),""))</f>
        <v/>
      </c>
      <c r="D686" s="120">
        <f t="array" ref="D686:D686">IF(A686="","",IFERROR(INDEX('3.員工名單'!$D:$D,MATCH(A686,'3.員工名單'!$A:$A,0)),""))</f>
        <v/>
      </c>
      <c r="E686" s="120">
        <f t="array" ref="E686:E686">IF(F686="","",IFERROR(INDEX('1.職能辭典'!$A:$A,MATCH(F686,'1.職能辭典'!$C:$C,0)),""))</f>
        <v/>
      </c>
      <c r="F686" s="94" t="n"/>
      <c r="G686" s="120">
        <f t="array" ref="G686:G686">IF(OR(D686="",F686=""),"",IFERROR(IF(AND(OR(INDEX('1.職能辭典'!$J:$J,MATCH(F686,'1.職能辭典'!$C:$C,0))="全部",INDEX('3.員工名單'!$H:$H,MATCH(A686,'3.員工名單'!$A:$A,0))="兩款共用",INDEX('3.員工名單'!$H:$H,MATCH(A686,'3.員工名單'!$A:$A,0))=INDEX('1.職能辭典'!$J:$J,MATCH(F686,'1.職能辭典'!$C:$C,0))),OR(INDEX('1.職能辭典'!$K:$K,MATCH(F686,'1.職能辭典'!$C:$C,0))="全部",SUMPRODUCT(ISNUMBER(SEARCH({"經營","管理","財務","企劃","營運","技術","數據","美術","測試","客服"},INDEX('3.員工名單'!$I:$I,MATCH(A686,'3.員工名單'!$A:$A,0))))*ISNUMBER(SEARCH({"經營","管理","財務","企劃","營運","技術","數據","美術","測試","客服"},INDEX('1.職能辭典'!$K:$K,MATCH(F686,'1.職能辭典'!$C:$C,0)))))&gt;0)),INDEX('2.職務職能需求'!$B$2:$F$28,MATCH(F686,'2.職務職能需求'!$A$2:$A$28,0),MATCH(D686,'2.職務職能需求'!$B$1:$F$1,0)),0),""))</f>
        <v/>
      </c>
      <c r="H686" s="94" t="n"/>
      <c r="I686" s="94" t="n"/>
      <c r="J686" s="120">
        <f>IF(OR(G686="",I686="",G686=0),"",I686-G686)</f>
        <v/>
      </c>
      <c r="K686" s="120">
        <f>IF(G686="","",IF(G686=0,"不適用",IF(I686="","待評核",IF(I686&gt;=G686,IF(I686&gt;G686,"超越","達標"),"待發展"))))</f>
        <v/>
      </c>
      <c r="L686" s="91" t="n"/>
      <c r="M686" s="91" t="n"/>
      <c r="N686" s="88" t="n"/>
    </row>
    <row r="687" ht="15.75" customHeight="1" s="64">
      <c r="A687" s="88" t="n"/>
      <c r="B687" s="120">
        <f t="array" ref="B687:B687">IF(A687="","",IFERROR(INDEX('3.員工名單'!$B:$B,MATCH(A687,'3.員工名單'!$A:$A,0)),"查無此員工"))</f>
        <v/>
      </c>
      <c r="C687" s="120">
        <f t="array" ref="C687:C687">IF(A687="","",IFERROR(INDEX('3.員工名單'!$C:$C,MATCH(A687,'3.員工名單'!$A:$A,0)),""))</f>
        <v/>
      </c>
      <c r="D687" s="120">
        <f t="array" ref="D687:D687">IF(A687="","",IFERROR(INDEX('3.員工名單'!$D:$D,MATCH(A687,'3.員工名單'!$A:$A,0)),""))</f>
        <v/>
      </c>
      <c r="E687" s="120">
        <f t="array" ref="E687:E687">IF(F687="","",IFERROR(INDEX('1.職能辭典'!$A:$A,MATCH(F687,'1.職能辭典'!$C:$C,0)),""))</f>
        <v/>
      </c>
      <c r="F687" s="94" t="n"/>
      <c r="G687" s="120">
        <f t="array" ref="G687:G687">IF(OR(D687="",F687=""),"",IFERROR(IF(AND(OR(INDEX('1.職能辭典'!$J:$J,MATCH(F687,'1.職能辭典'!$C:$C,0))="全部",INDEX('3.員工名單'!$H:$H,MATCH(A687,'3.員工名單'!$A:$A,0))="兩款共用",INDEX('3.員工名單'!$H:$H,MATCH(A687,'3.員工名單'!$A:$A,0))=INDEX('1.職能辭典'!$J:$J,MATCH(F687,'1.職能辭典'!$C:$C,0))),OR(INDEX('1.職能辭典'!$K:$K,MATCH(F687,'1.職能辭典'!$C:$C,0))="全部",SUMPRODUCT(ISNUMBER(SEARCH({"經營","管理","財務","企劃","營運","技術","數據","美術","測試","客服"},INDEX('3.員工名單'!$I:$I,MATCH(A687,'3.員工名單'!$A:$A,0))))*ISNUMBER(SEARCH({"經營","管理","財務","企劃","營運","技術","數據","美術","測試","客服"},INDEX('1.職能辭典'!$K:$K,MATCH(F687,'1.職能辭典'!$C:$C,0)))))&gt;0)),INDEX('2.職務職能需求'!$B$2:$F$28,MATCH(F687,'2.職務職能需求'!$A$2:$A$28,0),MATCH(D687,'2.職務職能需求'!$B$1:$F$1,0)),0),""))</f>
        <v/>
      </c>
      <c r="H687" s="94" t="n"/>
      <c r="I687" s="94" t="n"/>
      <c r="J687" s="120">
        <f>IF(OR(G687="",I687="",G687=0),"",I687-G687)</f>
        <v/>
      </c>
      <c r="K687" s="120">
        <f>IF(G687="","",IF(G687=0,"不適用",IF(I687="","待評核",IF(I687&gt;=G687,IF(I687&gt;G687,"超越","達標"),"待發展"))))</f>
        <v/>
      </c>
      <c r="L687" s="91" t="n"/>
      <c r="M687" s="91" t="n"/>
      <c r="N687" s="88" t="n"/>
    </row>
    <row r="688" ht="15.75" customHeight="1" s="64">
      <c r="A688" s="88" t="n"/>
      <c r="B688" s="120">
        <f t="array" ref="B688:B688">IF(A688="","",IFERROR(INDEX('3.員工名單'!$B:$B,MATCH(A688,'3.員工名單'!$A:$A,0)),"查無此員工"))</f>
        <v/>
      </c>
      <c r="C688" s="120">
        <f t="array" ref="C688:C688">IF(A688="","",IFERROR(INDEX('3.員工名單'!$C:$C,MATCH(A688,'3.員工名單'!$A:$A,0)),""))</f>
        <v/>
      </c>
      <c r="D688" s="120">
        <f t="array" ref="D688:D688">IF(A688="","",IFERROR(INDEX('3.員工名單'!$D:$D,MATCH(A688,'3.員工名單'!$A:$A,0)),""))</f>
        <v/>
      </c>
      <c r="E688" s="120">
        <f t="array" ref="E688:E688">IF(F688="","",IFERROR(INDEX('1.職能辭典'!$A:$A,MATCH(F688,'1.職能辭典'!$C:$C,0)),""))</f>
        <v/>
      </c>
      <c r="F688" s="94" t="n"/>
      <c r="G688" s="120">
        <f t="array" ref="G688:G688">IF(OR(D688="",F688=""),"",IFERROR(IF(AND(OR(INDEX('1.職能辭典'!$J:$J,MATCH(F688,'1.職能辭典'!$C:$C,0))="全部",INDEX('3.員工名單'!$H:$H,MATCH(A688,'3.員工名單'!$A:$A,0))="兩款共用",INDEX('3.員工名單'!$H:$H,MATCH(A688,'3.員工名單'!$A:$A,0))=INDEX('1.職能辭典'!$J:$J,MATCH(F688,'1.職能辭典'!$C:$C,0))),OR(INDEX('1.職能辭典'!$K:$K,MATCH(F688,'1.職能辭典'!$C:$C,0))="全部",SUMPRODUCT(ISNUMBER(SEARCH({"經營","管理","財務","企劃","營運","技術","數據","美術","測試","客服"},INDEX('3.員工名單'!$I:$I,MATCH(A688,'3.員工名單'!$A:$A,0))))*ISNUMBER(SEARCH({"經營","管理","財務","企劃","營運","技術","數據","美術","測試","客服"},INDEX('1.職能辭典'!$K:$K,MATCH(F688,'1.職能辭典'!$C:$C,0)))))&gt;0)),INDEX('2.職務職能需求'!$B$2:$F$28,MATCH(F688,'2.職務職能需求'!$A$2:$A$28,0),MATCH(D688,'2.職務職能需求'!$B$1:$F$1,0)),0),""))</f>
        <v/>
      </c>
      <c r="H688" s="94" t="n"/>
      <c r="I688" s="94" t="n"/>
      <c r="J688" s="120">
        <f>IF(OR(G688="",I688="",G688=0),"",I688-G688)</f>
        <v/>
      </c>
      <c r="K688" s="120">
        <f>IF(G688="","",IF(G688=0,"不適用",IF(I688="","待評核",IF(I688&gt;=G688,IF(I688&gt;G688,"超越","達標"),"待發展"))))</f>
        <v/>
      </c>
      <c r="L688" s="91" t="n"/>
      <c r="M688" s="91" t="n"/>
      <c r="N688" s="88" t="n"/>
    </row>
    <row r="689" ht="15.75" customHeight="1" s="64">
      <c r="A689" s="88" t="n"/>
      <c r="B689" s="120">
        <f t="array" ref="B689:B689">IF(A689="","",IFERROR(INDEX('3.員工名單'!$B:$B,MATCH(A689,'3.員工名單'!$A:$A,0)),"查無此員工"))</f>
        <v/>
      </c>
      <c r="C689" s="120">
        <f t="array" ref="C689:C689">IF(A689="","",IFERROR(INDEX('3.員工名單'!$C:$C,MATCH(A689,'3.員工名單'!$A:$A,0)),""))</f>
        <v/>
      </c>
      <c r="D689" s="120">
        <f t="array" ref="D689:D689">IF(A689="","",IFERROR(INDEX('3.員工名單'!$D:$D,MATCH(A689,'3.員工名單'!$A:$A,0)),""))</f>
        <v/>
      </c>
      <c r="E689" s="120">
        <f t="array" ref="E689:E689">IF(F689="","",IFERROR(INDEX('1.職能辭典'!$A:$A,MATCH(F689,'1.職能辭典'!$C:$C,0)),""))</f>
        <v/>
      </c>
      <c r="F689" s="94" t="n"/>
      <c r="G689" s="120">
        <f t="array" ref="G689:G689">IF(OR(D689="",F689=""),"",IFERROR(IF(AND(OR(INDEX('1.職能辭典'!$J:$J,MATCH(F689,'1.職能辭典'!$C:$C,0))="全部",INDEX('3.員工名單'!$H:$H,MATCH(A689,'3.員工名單'!$A:$A,0))="兩款共用",INDEX('3.員工名單'!$H:$H,MATCH(A689,'3.員工名單'!$A:$A,0))=INDEX('1.職能辭典'!$J:$J,MATCH(F689,'1.職能辭典'!$C:$C,0))),OR(INDEX('1.職能辭典'!$K:$K,MATCH(F689,'1.職能辭典'!$C:$C,0))="全部",SUMPRODUCT(ISNUMBER(SEARCH({"經營","管理","財務","企劃","營運","技術","數據","美術","測試","客服"},INDEX('3.員工名單'!$I:$I,MATCH(A689,'3.員工名單'!$A:$A,0))))*ISNUMBER(SEARCH({"經營","管理","財務","企劃","營運","技術","數據","美術","測試","客服"},INDEX('1.職能辭典'!$K:$K,MATCH(F689,'1.職能辭典'!$C:$C,0)))))&gt;0)),INDEX('2.職務職能需求'!$B$2:$F$28,MATCH(F689,'2.職務職能需求'!$A$2:$A$28,0),MATCH(D689,'2.職務職能需求'!$B$1:$F$1,0)),0),""))</f>
        <v/>
      </c>
      <c r="H689" s="94" t="n"/>
      <c r="I689" s="94" t="n"/>
      <c r="J689" s="120">
        <f>IF(OR(G689="",I689="",G689=0),"",I689-G689)</f>
        <v/>
      </c>
      <c r="K689" s="120">
        <f>IF(G689="","",IF(G689=0,"不適用",IF(I689="","待評核",IF(I689&gt;=G689,IF(I689&gt;G689,"超越","達標"),"待發展"))))</f>
        <v/>
      </c>
      <c r="L689" s="91" t="n"/>
      <c r="M689" s="91" t="n"/>
      <c r="N689" s="88" t="n"/>
    </row>
    <row r="690" ht="15.75" customHeight="1" s="64">
      <c r="A690" s="88" t="n"/>
      <c r="B690" s="120">
        <f t="array" ref="B690:B690">IF(A690="","",IFERROR(INDEX('3.員工名單'!$B:$B,MATCH(A690,'3.員工名單'!$A:$A,0)),"查無此員工"))</f>
        <v/>
      </c>
      <c r="C690" s="120">
        <f t="array" ref="C690:C690">IF(A690="","",IFERROR(INDEX('3.員工名單'!$C:$C,MATCH(A690,'3.員工名單'!$A:$A,0)),""))</f>
        <v/>
      </c>
      <c r="D690" s="120">
        <f t="array" ref="D690:D690">IF(A690="","",IFERROR(INDEX('3.員工名單'!$D:$D,MATCH(A690,'3.員工名單'!$A:$A,0)),""))</f>
        <v/>
      </c>
      <c r="E690" s="120">
        <f t="array" ref="E690:E690">IF(F690="","",IFERROR(INDEX('1.職能辭典'!$A:$A,MATCH(F690,'1.職能辭典'!$C:$C,0)),""))</f>
        <v/>
      </c>
      <c r="F690" s="94" t="n"/>
      <c r="G690" s="120">
        <f t="array" ref="G690:G690">IF(OR(D690="",F690=""),"",IFERROR(IF(AND(OR(INDEX('1.職能辭典'!$J:$J,MATCH(F690,'1.職能辭典'!$C:$C,0))="全部",INDEX('3.員工名單'!$H:$H,MATCH(A690,'3.員工名單'!$A:$A,0))="兩款共用",INDEX('3.員工名單'!$H:$H,MATCH(A690,'3.員工名單'!$A:$A,0))=INDEX('1.職能辭典'!$J:$J,MATCH(F690,'1.職能辭典'!$C:$C,0))),OR(INDEX('1.職能辭典'!$K:$K,MATCH(F690,'1.職能辭典'!$C:$C,0))="全部",SUMPRODUCT(ISNUMBER(SEARCH({"經營","管理","財務","企劃","營運","技術","數據","美術","測試","客服"},INDEX('3.員工名單'!$I:$I,MATCH(A690,'3.員工名單'!$A:$A,0))))*ISNUMBER(SEARCH({"經營","管理","財務","企劃","營運","技術","數據","美術","測試","客服"},INDEX('1.職能辭典'!$K:$K,MATCH(F690,'1.職能辭典'!$C:$C,0)))))&gt;0)),INDEX('2.職務職能需求'!$B$2:$F$28,MATCH(F690,'2.職務職能需求'!$A$2:$A$28,0),MATCH(D690,'2.職務職能需求'!$B$1:$F$1,0)),0),""))</f>
        <v/>
      </c>
      <c r="H690" s="94" t="n"/>
      <c r="I690" s="94" t="n"/>
      <c r="J690" s="120">
        <f>IF(OR(G690="",I690="",G690=0),"",I690-G690)</f>
        <v/>
      </c>
      <c r="K690" s="120">
        <f>IF(G690="","",IF(G690=0,"不適用",IF(I690="","待評核",IF(I690&gt;=G690,IF(I690&gt;G690,"超越","達標"),"待發展"))))</f>
        <v/>
      </c>
      <c r="L690" s="91" t="n"/>
      <c r="M690" s="91" t="n"/>
      <c r="N690" s="88" t="n"/>
    </row>
    <row r="691" ht="15.75" customHeight="1" s="64">
      <c r="A691" s="88" t="n"/>
      <c r="B691" s="120">
        <f t="array" ref="B691:B691">IF(A691="","",IFERROR(INDEX('3.員工名單'!$B:$B,MATCH(A691,'3.員工名單'!$A:$A,0)),"查無此員工"))</f>
        <v/>
      </c>
      <c r="C691" s="120">
        <f t="array" ref="C691:C691">IF(A691="","",IFERROR(INDEX('3.員工名單'!$C:$C,MATCH(A691,'3.員工名單'!$A:$A,0)),""))</f>
        <v/>
      </c>
      <c r="D691" s="120">
        <f t="array" ref="D691:D691">IF(A691="","",IFERROR(INDEX('3.員工名單'!$D:$D,MATCH(A691,'3.員工名單'!$A:$A,0)),""))</f>
        <v/>
      </c>
      <c r="E691" s="120">
        <f t="array" ref="E691:E691">IF(F691="","",IFERROR(INDEX('1.職能辭典'!$A:$A,MATCH(F691,'1.職能辭典'!$C:$C,0)),""))</f>
        <v/>
      </c>
      <c r="F691" s="94" t="n"/>
      <c r="G691" s="120">
        <f t="array" ref="G691:G691">IF(OR(D691="",F691=""),"",IFERROR(IF(AND(OR(INDEX('1.職能辭典'!$J:$J,MATCH(F691,'1.職能辭典'!$C:$C,0))="全部",INDEX('3.員工名單'!$H:$H,MATCH(A691,'3.員工名單'!$A:$A,0))="兩款共用",INDEX('3.員工名單'!$H:$H,MATCH(A691,'3.員工名單'!$A:$A,0))=INDEX('1.職能辭典'!$J:$J,MATCH(F691,'1.職能辭典'!$C:$C,0))),OR(INDEX('1.職能辭典'!$K:$K,MATCH(F691,'1.職能辭典'!$C:$C,0))="全部",SUMPRODUCT(ISNUMBER(SEARCH({"經營","管理","財務","企劃","營運","技術","數據","美術","測試","客服"},INDEX('3.員工名單'!$I:$I,MATCH(A691,'3.員工名單'!$A:$A,0))))*ISNUMBER(SEARCH({"經營","管理","財務","企劃","營運","技術","數據","美術","測試","客服"},INDEX('1.職能辭典'!$K:$K,MATCH(F691,'1.職能辭典'!$C:$C,0)))))&gt;0)),INDEX('2.職務職能需求'!$B$2:$F$28,MATCH(F691,'2.職務職能需求'!$A$2:$A$28,0),MATCH(D691,'2.職務職能需求'!$B$1:$F$1,0)),0),""))</f>
        <v/>
      </c>
      <c r="H691" s="94" t="n"/>
      <c r="I691" s="94" t="n"/>
      <c r="J691" s="120">
        <f>IF(OR(G691="",I691="",G691=0),"",I691-G691)</f>
        <v/>
      </c>
      <c r="K691" s="120">
        <f>IF(G691="","",IF(G691=0,"不適用",IF(I691="","待評核",IF(I691&gt;=G691,IF(I691&gt;G691,"超越","達標"),"待發展"))))</f>
        <v/>
      </c>
      <c r="L691" s="91" t="n"/>
      <c r="M691" s="91" t="n"/>
      <c r="N691" s="88" t="n"/>
    </row>
    <row r="692" ht="15.75" customHeight="1" s="64">
      <c r="A692" s="88" t="n"/>
      <c r="B692" s="120">
        <f t="array" ref="B692:B692">IF(A692="","",IFERROR(INDEX('3.員工名單'!$B:$B,MATCH(A692,'3.員工名單'!$A:$A,0)),"查無此員工"))</f>
        <v/>
      </c>
      <c r="C692" s="120">
        <f t="array" ref="C692:C692">IF(A692="","",IFERROR(INDEX('3.員工名單'!$C:$C,MATCH(A692,'3.員工名單'!$A:$A,0)),""))</f>
        <v/>
      </c>
      <c r="D692" s="120">
        <f t="array" ref="D692:D692">IF(A692="","",IFERROR(INDEX('3.員工名單'!$D:$D,MATCH(A692,'3.員工名單'!$A:$A,0)),""))</f>
        <v/>
      </c>
      <c r="E692" s="120">
        <f t="array" ref="E692:E692">IF(F692="","",IFERROR(INDEX('1.職能辭典'!$A:$A,MATCH(F692,'1.職能辭典'!$C:$C,0)),""))</f>
        <v/>
      </c>
      <c r="F692" s="94" t="n"/>
      <c r="G692" s="120">
        <f t="array" ref="G692:G692">IF(OR(D692="",F692=""),"",IFERROR(IF(AND(OR(INDEX('1.職能辭典'!$J:$J,MATCH(F692,'1.職能辭典'!$C:$C,0))="全部",INDEX('3.員工名單'!$H:$H,MATCH(A692,'3.員工名單'!$A:$A,0))="兩款共用",INDEX('3.員工名單'!$H:$H,MATCH(A692,'3.員工名單'!$A:$A,0))=INDEX('1.職能辭典'!$J:$J,MATCH(F692,'1.職能辭典'!$C:$C,0))),OR(INDEX('1.職能辭典'!$K:$K,MATCH(F692,'1.職能辭典'!$C:$C,0))="全部",SUMPRODUCT(ISNUMBER(SEARCH({"經營","管理","財務","企劃","營運","技術","數據","美術","測試","客服"},INDEX('3.員工名單'!$I:$I,MATCH(A692,'3.員工名單'!$A:$A,0))))*ISNUMBER(SEARCH({"經營","管理","財務","企劃","營運","技術","數據","美術","測試","客服"},INDEX('1.職能辭典'!$K:$K,MATCH(F692,'1.職能辭典'!$C:$C,0)))))&gt;0)),INDEX('2.職務職能需求'!$B$2:$F$28,MATCH(F692,'2.職務職能需求'!$A$2:$A$28,0),MATCH(D692,'2.職務職能需求'!$B$1:$F$1,0)),0),""))</f>
        <v/>
      </c>
      <c r="H692" s="94" t="n"/>
      <c r="I692" s="94" t="n"/>
      <c r="J692" s="120">
        <f>IF(OR(G692="",I692="",G692=0),"",I692-G692)</f>
        <v/>
      </c>
      <c r="K692" s="120">
        <f>IF(G692="","",IF(G692=0,"不適用",IF(I692="","待評核",IF(I692&gt;=G692,IF(I692&gt;G692,"超越","達標"),"待發展"))))</f>
        <v/>
      </c>
      <c r="L692" s="91" t="n"/>
      <c r="M692" s="91" t="n"/>
      <c r="N692" s="88" t="n"/>
    </row>
    <row r="693" ht="15.75" customHeight="1" s="64">
      <c r="A693" s="88" t="n"/>
      <c r="B693" s="120">
        <f t="array" ref="B693:B693">IF(A693="","",IFERROR(INDEX('3.員工名單'!$B:$B,MATCH(A693,'3.員工名單'!$A:$A,0)),"查無此員工"))</f>
        <v/>
      </c>
      <c r="C693" s="120">
        <f t="array" ref="C693:C693">IF(A693="","",IFERROR(INDEX('3.員工名單'!$C:$C,MATCH(A693,'3.員工名單'!$A:$A,0)),""))</f>
        <v/>
      </c>
      <c r="D693" s="120">
        <f t="array" ref="D693:D693">IF(A693="","",IFERROR(INDEX('3.員工名單'!$D:$D,MATCH(A693,'3.員工名單'!$A:$A,0)),""))</f>
        <v/>
      </c>
      <c r="E693" s="120">
        <f t="array" ref="E693:E693">IF(F693="","",IFERROR(INDEX('1.職能辭典'!$A:$A,MATCH(F693,'1.職能辭典'!$C:$C,0)),""))</f>
        <v/>
      </c>
      <c r="F693" s="94" t="n"/>
      <c r="G693" s="120">
        <f t="array" ref="G693:G693">IF(OR(D693="",F693=""),"",IFERROR(IF(AND(OR(INDEX('1.職能辭典'!$J:$J,MATCH(F693,'1.職能辭典'!$C:$C,0))="全部",INDEX('3.員工名單'!$H:$H,MATCH(A693,'3.員工名單'!$A:$A,0))="兩款共用",INDEX('3.員工名單'!$H:$H,MATCH(A693,'3.員工名單'!$A:$A,0))=INDEX('1.職能辭典'!$J:$J,MATCH(F693,'1.職能辭典'!$C:$C,0))),OR(INDEX('1.職能辭典'!$K:$K,MATCH(F693,'1.職能辭典'!$C:$C,0))="全部",SUMPRODUCT(ISNUMBER(SEARCH({"經營","管理","財務","企劃","營運","技術","數據","美術","測試","客服"},INDEX('3.員工名單'!$I:$I,MATCH(A693,'3.員工名單'!$A:$A,0))))*ISNUMBER(SEARCH({"經營","管理","財務","企劃","營運","技術","數據","美術","測試","客服"},INDEX('1.職能辭典'!$K:$K,MATCH(F693,'1.職能辭典'!$C:$C,0)))))&gt;0)),INDEX('2.職務職能需求'!$B$2:$F$28,MATCH(F693,'2.職務職能需求'!$A$2:$A$28,0),MATCH(D693,'2.職務職能需求'!$B$1:$F$1,0)),0),""))</f>
        <v/>
      </c>
      <c r="H693" s="94" t="n"/>
      <c r="I693" s="94" t="n"/>
      <c r="J693" s="120">
        <f>IF(OR(G693="",I693="",G693=0),"",I693-G693)</f>
        <v/>
      </c>
      <c r="K693" s="120">
        <f>IF(G693="","",IF(G693=0,"不適用",IF(I693="","待評核",IF(I693&gt;=G693,IF(I693&gt;G693,"超越","達標"),"待發展"))))</f>
        <v/>
      </c>
      <c r="L693" s="91" t="n"/>
      <c r="M693" s="91" t="n"/>
      <c r="N693" s="88" t="n"/>
    </row>
    <row r="694" ht="15.75" customHeight="1" s="64">
      <c r="A694" s="88" t="n"/>
      <c r="B694" s="120">
        <f t="array" ref="B694:B694">IF(A694="","",IFERROR(INDEX('3.員工名單'!$B:$B,MATCH(A694,'3.員工名單'!$A:$A,0)),"查無此員工"))</f>
        <v/>
      </c>
      <c r="C694" s="120">
        <f t="array" ref="C694:C694">IF(A694="","",IFERROR(INDEX('3.員工名單'!$C:$C,MATCH(A694,'3.員工名單'!$A:$A,0)),""))</f>
        <v/>
      </c>
      <c r="D694" s="120">
        <f t="array" ref="D694:D694">IF(A694="","",IFERROR(INDEX('3.員工名單'!$D:$D,MATCH(A694,'3.員工名單'!$A:$A,0)),""))</f>
        <v/>
      </c>
      <c r="E694" s="120">
        <f t="array" ref="E694:E694">IF(F694="","",IFERROR(INDEX('1.職能辭典'!$A:$A,MATCH(F694,'1.職能辭典'!$C:$C,0)),""))</f>
        <v/>
      </c>
      <c r="F694" s="94" t="n"/>
      <c r="G694" s="120">
        <f t="array" ref="G694:G694">IF(OR(D694="",F694=""),"",IFERROR(IF(AND(OR(INDEX('1.職能辭典'!$J:$J,MATCH(F694,'1.職能辭典'!$C:$C,0))="全部",INDEX('3.員工名單'!$H:$H,MATCH(A694,'3.員工名單'!$A:$A,0))="兩款共用",INDEX('3.員工名單'!$H:$H,MATCH(A694,'3.員工名單'!$A:$A,0))=INDEX('1.職能辭典'!$J:$J,MATCH(F694,'1.職能辭典'!$C:$C,0))),OR(INDEX('1.職能辭典'!$K:$K,MATCH(F694,'1.職能辭典'!$C:$C,0))="全部",SUMPRODUCT(ISNUMBER(SEARCH({"經營","管理","財務","企劃","營運","技術","數據","美術","測試","客服"},INDEX('3.員工名單'!$I:$I,MATCH(A694,'3.員工名單'!$A:$A,0))))*ISNUMBER(SEARCH({"經營","管理","財務","企劃","營運","技術","數據","美術","測試","客服"},INDEX('1.職能辭典'!$K:$K,MATCH(F694,'1.職能辭典'!$C:$C,0)))))&gt;0)),INDEX('2.職務職能需求'!$B$2:$F$28,MATCH(F694,'2.職務職能需求'!$A$2:$A$28,0),MATCH(D694,'2.職務職能需求'!$B$1:$F$1,0)),0),""))</f>
        <v/>
      </c>
      <c r="H694" s="94" t="n"/>
      <c r="I694" s="94" t="n"/>
      <c r="J694" s="120">
        <f>IF(OR(G694="",I694="",G694=0),"",I694-G694)</f>
        <v/>
      </c>
      <c r="K694" s="120">
        <f>IF(G694="","",IF(G694=0,"不適用",IF(I694="","待評核",IF(I694&gt;=G694,IF(I694&gt;G694,"超越","達標"),"待發展"))))</f>
        <v/>
      </c>
      <c r="L694" s="91" t="n"/>
      <c r="M694" s="91" t="n"/>
      <c r="N694" s="88" t="n"/>
    </row>
    <row r="695" ht="15.75" customHeight="1" s="64">
      <c r="A695" s="88" t="n"/>
      <c r="B695" s="120">
        <f t="array" ref="B695:B695">IF(A695="","",IFERROR(INDEX('3.員工名單'!$B:$B,MATCH(A695,'3.員工名單'!$A:$A,0)),"查無此員工"))</f>
        <v/>
      </c>
      <c r="C695" s="120">
        <f t="array" ref="C695:C695">IF(A695="","",IFERROR(INDEX('3.員工名單'!$C:$C,MATCH(A695,'3.員工名單'!$A:$A,0)),""))</f>
        <v/>
      </c>
      <c r="D695" s="120">
        <f t="array" ref="D695:D695">IF(A695="","",IFERROR(INDEX('3.員工名單'!$D:$D,MATCH(A695,'3.員工名單'!$A:$A,0)),""))</f>
        <v/>
      </c>
      <c r="E695" s="120">
        <f t="array" ref="E695:E695">IF(F695="","",IFERROR(INDEX('1.職能辭典'!$A:$A,MATCH(F695,'1.職能辭典'!$C:$C,0)),""))</f>
        <v/>
      </c>
      <c r="F695" s="94" t="n"/>
      <c r="G695" s="120">
        <f t="array" ref="G695:G695">IF(OR(D695="",F695=""),"",IFERROR(IF(AND(OR(INDEX('1.職能辭典'!$J:$J,MATCH(F695,'1.職能辭典'!$C:$C,0))="全部",INDEX('3.員工名單'!$H:$H,MATCH(A695,'3.員工名單'!$A:$A,0))="兩款共用",INDEX('3.員工名單'!$H:$H,MATCH(A695,'3.員工名單'!$A:$A,0))=INDEX('1.職能辭典'!$J:$J,MATCH(F695,'1.職能辭典'!$C:$C,0))),OR(INDEX('1.職能辭典'!$K:$K,MATCH(F695,'1.職能辭典'!$C:$C,0))="全部",SUMPRODUCT(ISNUMBER(SEARCH({"經營","管理","財務","企劃","營運","技術","數據","美術","測試","客服"},INDEX('3.員工名單'!$I:$I,MATCH(A695,'3.員工名單'!$A:$A,0))))*ISNUMBER(SEARCH({"經營","管理","財務","企劃","營運","技術","數據","美術","測試","客服"},INDEX('1.職能辭典'!$K:$K,MATCH(F695,'1.職能辭典'!$C:$C,0)))))&gt;0)),INDEX('2.職務職能需求'!$B$2:$F$28,MATCH(F695,'2.職務職能需求'!$A$2:$A$28,0),MATCH(D695,'2.職務職能需求'!$B$1:$F$1,0)),0),""))</f>
        <v/>
      </c>
      <c r="H695" s="94" t="n"/>
      <c r="I695" s="94" t="n"/>
      <c r="J695" s="120">
        <f>IF(OR(G695="",I695="",G695=0),"",I695-G695)</f>
        <v/>
      </c>
      <c r="K695" s="120">
        <f>IF(G695="","",IF(G695=0,"不適用",IF(I695="","待評核",IF(I695&gt;=G695,IF(I695&gt;G695,"超越","達標"),"待發展"))))</f>
        <v/>
      </c>
      <c r="L695" s="91" t="n"/>
      <c r="M695" s="91" t="n"/>
      <c r="N695" s="88" t="n"/>
    </row>
    <row r="696" ht="15.75" customHeight="1" s="64">
      <c r="A696" s="88" t="n"/>
      <c r="B696" s="120">
        <f t="array" ref="B696:B696">IF(A696="","",IFERROR(INDEX('3.員工名單'!$B:$B,MATCH(A696,'3.員工名單'!$A:$A,0)),"查無此員工"))</f>
        <v/>
      </c>
      <c r="C696" s="120">
        <f t="array" ref="C696:C696">IF(A696="","",IFERROR(INDEX('3.員工名單'!$C:$C,MATCH(A696,'3.員工名單'!$A:$A,0)),""))</f>
        <v/>
      </c>
      <c r="D696" s="120">
        <f t="array" ref="D696:D696">IF(A696="","",IFERROR(INDEX('3.員工名單'!$D:$D,MATCH(A696,'3.員工名單'!$A:$A,0)),""))</f>
        <v/>
      </c>
      <c r="E696" s="120">
        <f t="array" ref="E696:E696">IF(F696="","",IFERROR(INDEX('1.職能辭典'!$A:$A,MATCH(F696,'1.職能辭典'!$C:$C,0)),""))</f>
        <v/>
      </c>
      <c r="F696" s="94" t="n"/>
      <c r="G696" s="120">
        <f t="array" ref="G696:G696">IF(OR(D696="",F696=""),"",IFERROR(IF(AND(OR(INDEX('1.職能辭典'!$J:$J,MATCH(F696,'1.職能辭典'!$C:$C,0))="全部",INDEX('3.員工名單'!$H:$H,MATCH(A696,'3.員工名單'!$A:$A,0))="兩款共用",INDEX('3.員工名單'!$H:$H,MATCH(A696,'3.員工名單'!$A:$A,0))=INDEX('1.職能辭典'!$J:$J,MATCH(F696,'1.職能辭典'!$C:$C,0))),OR(INDEX('1.職能辭典'!$K:$K,MATCH(F696,'1.職能辭典'!$C:$C,0))="全部",SUMPRODUCT(ISNUMBER(SEARCH({"經營","管理","財務","企劃","營運","技術","數據","美術","測試","客服"},INDEX('3.員工名單'!$I:$I,MATCH(A696,'3.員工名單'!$A:$A,0))))*ISNUMBER(SEARCH({"經營","管理","財務","企劃","營運","技術","數據","美術","測試","客服"},INDEX('1.職能辭典'!$K:$K,MATCH(F696,'1.職能辭典'!$C:$C,0)))))&gt;0)),INDEX('2.職務職能需求'!$B$2:$F$28,MATCH(F696,'2.職務職能需求'!$A$2:$A$28,0),MATCH(D696,'2.職務職能需求'!$B$1:$F$1,0)),0),""))</f>
        <v/>
      </c>
      <c r="H696" s="94" t="n"/>
      <c r="I696" s="94" t="n"/>
      <c r="J696" s="120">
        <f>IF(OR(G696="",I696="",G696=0),"",I696-G696)</f>
        <v/>
      </c>
      <c r="K696" s="120">
        <f>IF(G696="","",IF(G696=0,"不適用",IF(I696="","待評核",IF(I696&gt;=G696,IF(I696&gt;G696,"超越","達標"),"待發展"))))</f>
        <v/>
      </c>
      <c r="L696" s="91" t="n"/>
      <c r="M696" s="91" t="n"/>
      <c r="N696" s="88" t="n"/>
    </row>
    <row r="697" ht="15.75" customHeight="1" s="64">
      <c r="A697" s="88" t="n"/>
      <c r="B697" s="120">
        <f t="array" ref="B697:B697">IF(A697="","",IFERROR(INDEX('3.員工名單'!$B:$B,MATCH(A697,'3.員工名單'!$A:$A,0)),"查無此員工"))</f>
        <v/>
      </c>
      <c r="C697" s="120">
        <f t="array" ref="C697:C697">IF(A697="","",IFERROR(INDEX('3.員工名單'!$C:$C,MATCH(A697,'3.員工名單'!$A:$A,0)),""))</f>
        <v/>
      </c>
      <c r="D697" s="120">
        <f t="array" ref="D697:D697">IF(A697="","",IFERROR(INDEX('3.員工名單'!$D:$D,MATCH(A697,'3.員工名單'!$A:$A,0)),""))</f>
        <v/>
      </c>
      <c r="E697" s="120">
        <f t="array" ref="E697:E697">IF(F697="","",IFERROR(INDEX('1.職能辭典'!$A:$A,MATCH(F697,'1.職能辭典'!$C:$C,0)),""))</f>
        <v/>
      </c>
      <c r="F697" s="94" t="n"/>
      <c r="G697" s="120">
        <f t="array" ref="G697:G697">IF(OR(D697="",F697=""),"",IFERROR(IF(AND(OR(INDEX('1.職能辭典'!$J:$J,MATCH(F697,'1.職能辭典'!$C:$C,0))="全部",INDEX('3.員工名單'!$H:$H,MATCH(A697,'3.員工名單'!$A:$A,0))="兩款共用",INDEX('3.員工名單'!$H:$H,MATCH(A697,'3.員工名單'!$A:$A,0))=INDEX('1.職能辭典'!$J:$J,MATCH(F697,'1.職能辭典'!$C:$C,0))),OR(INDEX('1.職能辭典'!$K:$K,MATCH(F697,'1.職能辭典'!$C:$C,0))="全部",SUMPRODUCT(ISNUMBER(SEARCH({"經營","管理","財務","企劃","營運","技術","數據","美術","測試","客服"},INDEX('3.員工名單'!$I:$I,MATCH(A697,'3.員工名單'!$A:$A,0))))*ISNUMBER(SEARCH({"經營","管理","財務","企劃","營運","技術","數據","美術","測試","客服"},INDEX('1.職能辭典'!$K:$K,MATCH(F697,'1.職能辭典'!$C:$C,0)))))&gt;0)),INDEX('2.職務職能需求'!$B$2:$F$28,MATCH(F697,'2.職務職能需求'!$A$2:$A$28,0),MATCH(D697,'2.職務職能需求'!$B$1:$F$1,0)),0),""))</f>
        <v/>
      </c>
      <c r="H697" s="94" t="n"/>
      <c r="I697" s="94" t="n"/>
      <c r="J697" s="120">
        <f>IF(OR(G697="",I697="",G697=0),"",I697-G697)</f>
        <v/>
      </c>
      <c r="K697" s="120">
        <f>IF(G697="","",IF(G697=0,"不適用",IF(I697="","待評核",IF(I697&gt;=G697,IF(I697&gt;G697,"超越","達標"),"待發展"))))</f>
        <v/>
      </c>
      <c r="L697" s="91" t="n"/>
      <c r="M697" s="91" t="n"/>
      <c r="N697" s="88" t="n"/>
    </row>
    <row r="698" ht="15.75" customHeight="1" s="64">
      <c r="A698" s="88" t="n"/>
      <c r="B698" s="120">
        <f t="array" ref="B698:B698">IF(A698="","",IFERROR(INDEX('3.員工名單'!$B:$B,MATCH(A698,'3.員工名單'!$A:$A,0)),"查無此員工"))</f>
        <v/>
      </c>
      <c r="C698" s="120">
        <f t="array" ref="C698:C698">IF(A698="","",IFERROR(INDEX('3.員工名單'!$C:$C,MATCH(A698,'3.員工名單'!$A:$A,0)),""))</f>
        <v/>
      </c>
      <c r="D698" s="120">
        <f t="array" ref="D698:D698">IF(A698="","",IFERROR(INDEX('3.員工名單'!$D:$D,MATCH(A698,'3.員工名單'!$A:$A,0)),""))</f>
        <v/>
      </c>
      <c r="E698" s="120">
        <f t="array" ref="E698:E698">IF(F698="","",IFERROR(INDEX('1.職能辭典'!$A:$A,MATCH(F698,'1.職能辭典'!$C:$C,0)),""))</f>
        <v/>
      </c>
      <c r="F698" s="94" t="n"/>
      <c r="G698" s="120">
        <f t="array" ref="G698:G698">IF(OR(D698="",F698=""),"",IFERROR(IF(AND(OR(INDEX('1.職能辭典'!$J:$J,MATCH(F698,'1.職能辭典'!$C:$C,0))="全部",INDEX('3.員工名單'!$H:$H,MATCH(A698,'3.員工名單'!$A:$A,0))="兩款共用",INDEX('3.員工名單'!$H:$H,MATCH(A698,'3.員工名單'!$A:$A,0))=INDEX('1.職能辭典'!$J:$J,MATCH(F698,'1.職能辭典'!$C:$C,0))),OR(INDEX('1.職能辭典'!$K:$K,MATCH(F698,'1.職能辭典'!$C:$C,0))="全部",SUMPRODUCT(ISNUMBER(SEARCH({"經營","管理","財務","企劃","營運","技術","數據","美術","測試","客服"},INDEX('3.員工名單'!$I:$I,MATCH(A698,'3.員工名單'!$A:$A,0))))*ISNUMBER(SEARCH({"經營","管理","財務","企劃","營運","技術","數據","美術","測試","客服"},INDEX('1.職能辭典'!$K:$K,MATCH(F698,'1.職能辭典'!$C:$C,0)))))&gt;0)),INDEX('2.職務職能需求'!$B$2:$F$28,MATCH(F698,'2.職務職能需求'!$A$2:$A$28,0),MATCH(D698,'2.職務職能需求'!$B$1:$F$1,0)),0),""))</f>
        <v/>
      </c>
      <c r="H698" s="94" t="n"/>
      <c r="I698" s="94" t="n"/>
      <c r="J698" s="120">
        <f>IF(OR(G698="",I698="",G698=0),"",I698-G698)</f>
        <v/>
      </c>
      <c r="K698" s="120">
        <f>IF(G698="","",IF(G698=0,"不適用",IF(I698="","待評核",IF(I698&gt;=G698,IF(I698&gt;G698,"超越","達標"),"待發展"))))</f>
        <v/>
      </c>
      <c r="L698" s="91" t="n"/>
      <c r="M698" s="91" t="n"/>
      <c r="N698" s="88" t="n"/>
    </row>
    <row r="699" ht="15.75" customHeight="1" s="64">
      <c r="A699" s="88" t="n"/>
      <c r="B699" s="120">
        <f t="array" ref="B699:B699">IF(A699="","",IFERROR(INDEX('3.員工名單'!$B:$B,MATCH(A699,'3.員工名單'!$A:$A,0)),"查無此員工"))</f>
        <v/>
      </c>
      <c r="C699" s="120">
        <f t="array" ref="C699:C699">IF(A699="","",IFERROR(INDEX('3.員工名單'!$C:$C,MATCH(A699,'3.員工名單'!$A:$A,0)),""))</f>
        <v/>
      </c>
      <c r="D699" s="120">
        <f t="array" ref="D699:D699">IF(A699="","",IFERROR(INDEX('3.員工名單'!$D:$D,MATCH(A699,'3.員工名單'!$A:$A,0)),""))</f>
        <v/>
      </c>
      <c r="E699" s="120">
        <f t="array" ref="E699:E699">IF(F699="","",IFERROR(INDEX('1.職能辭典'!$A:$A,MATCH(F699,'1.職能辭典'!$C:$C,0)),""))</f>
        <v/>
      </c>
      <c r="F699" s="94" t="n"/>
      <c r="G699" s="120">
        <f t="array" ref="G699:G699">IF(OR(D699="",F699=""),"",IFERROR(IF(AND(OR(INDEX('1.職能辭典'!$J:$J,MATCH(F699,'1.職能辭典'!$C:$C,0))="全部",INDEX('3.員工名單'!$H:$H,MATCH(A699,'3.員工名單'!$A:$A,0))="兩款共用",INDEX('3.員工名單'!$H:$H,MATCH(A699,'3.員工名單'!$A:$A,0))=INDEX('1.職能辭典'!$J:$J,MATCH(F699,'1.職能辭典'!$C:$C,0))),OR(INDEX('1.職能辭典'!$K:$K,MATCH(F699,'1.職能辭典'!$C:$C,0))="全部",SUMPRODUCT(ISNUMBER(SEARCH({"經營","管理","財務","企劃","營運","技術","數據","美術","測試","客服"},INDEX('3.員工名單'!$I:$I,MATCH(A699,'3.員工名單'!$A:$A,0))))*ISNUMBER(SEARCH({"經營","管理","財務","企劃","營運","技術","數據","美術","測試","客服"},INDEX('1.職能辭典'!$K:$K,MATCH(F699,'1.職能辭典'!$C:$C,0)))))&gt;0)),INDEX('2.職務職能需求'!$B$2:$F$28,MATCH(F699,'2.職務職能需求'!$A$2:$A$28,0),MATCH(D699,'2.職務職能需求'!$B$1:$F$1,0)),0),""))</f>
        <v/>
      </c>
      <c r="H699" s="94" t="n"/>
      <c r="I699" s="94" t="n"/>
      <c r="J699" s="120">
        <f>IF(OR(G699="",I699="",G699=0),"",I699-G699)</f>
        <v/>
      </c>
      <c r="K699" s="120">
        <f>IF(G699="","",IF(G699=0,"不適用",IF(I699="","待評核",IF(I699&gt;=G699,IF(I699&gt;G699,"超越","達標"),"待發展"))))</f>
        <v/>
      </c>
      <c r="L699" s="91" t="n"/>
      <c r="M699" s="91" t="n"/>
      <c r="N699" s="88" t="n"/>
    </row>
    <row r="700" ht="15.75" customHeight="1" s="64">
      <c r="A700" s="88" t="n"/>
      <c r="B700" s="120">
        <f t="array" ref="B700:B700">IF(A700="","",IFERROR(INDEX('3.員工名單'!$B:$B,MATCH(A700,'3.員工名單'!$A:$A,0)),"查無此員工"))</f>
        <v/>
      </c>
      <c r="C700" s="120">
        <f t="array" ref="C700:C700">IF(A700="","",IFERROR(INDEX('3.員工名單'!$C:$C,MATCH(A700,'3.員工名單'!$A:$A,0)),""))</f>
        <v/>
      </c>
      <c r="D700" s="120">
        <f t="array" ref="D700:D700">IF(A700="","",IFERROR(INDEX('3.員工名單'!$D:$D,MATCH(A700,'3.員工名單'!$A:$A,0)),""))</f>
        <v/>
      </c>
      <c r="E700" s="120">
        <f t="array" ref="E700:E700">IF(F700="","",IFERROR(INDEX('1.職能辭典'!$A:$A,MATCH(F700,'1.職能辭典'!$C:$C,0)),""))</f>
        <v/>
      </c>
      <c r="F700" s="94" t="n"/>
      <c r="G700" s="120">
        <f t="array" ref="G700:G700">IF(OR(D700="",F700=""),"",IFERROR(IF(AND(OR(INDEX('1.職能辭典'!$J:$J,MATCH(F700,'1.職能辭典'!$C:$C,0))="全部",INDEX('3.員工名單'!$H:$H,MATCH(A700,'3.員工名單'!$A:$A,0))="兩款共用",INDEX('3.員工名單'!$H:$H,MATCH(A700,'3.員工名單'!$A:$A,0))=INDEX('1.職能辭典'!$J:$J,MATCH(F700,'1.職能辭典'!$C:$C,0))),OR(INDEX('1.職能辭典'!$K:$K,MATCH(F700,'1.職能辭典'!$C:$C,0))="全部",SUMPRODUCT(ISNUMBER(SEARCH({"經營","管理","財務","企劃","營運","技術","數據","美術","測試","客服"},INDEX('3.員工名單'!$I:$I,MATCH(A700,'3.員工名單'!$A:$A,0))))*ISNUMBER(SEARCH({"經營","管理","財務","企劃","營運","技術","數據","美術","測試","客服"},INDEX('1.職能辭典'!$K:$K,MATCH(F700,'1.職能辭典'!$C:$C,0)))))&gt;0)),INDEX('2.職務職能需求'!$B$2:$F$28,MATCH(F700,'2.職務職能需求'!$A$2:$A$28,0),MATCH(D700,'2.職務職能需求'!$B$1:$F$1,0)),0),""))</f>
        <v/>
      </c>
      <c r="H700" s="94" t="n"/>
      <c r="I700" s="94" t="n"/>
      <c r="J700" s="120">
        <f>IF(OR(G700="",I700="",G700=0),"",I700-G700)</f>
        <v/>
      </c>
      <c r="K700" s="120">
        <f>IF(G700="","",IF(G700=0,"不適用",IF(I700="","待評核",IF(I700&gt;=G700,IF(I700&gt;G700,"超越","達標"),"待發展"))))</f>
        <v/>
      </c>
      <c r="L700" s="91" t="n"/>
      <c r="M700" s="91" t="n"/>
      <c r="N700" s="88" t="n"/>
    </row>
    <row r="701" ht="15.75" customHeight="1" s="64">
      <c r="A701" s="88" t="n"/>
      <c r="B701" s="120">
        <f t="array" ref="B701:B701">IF(A701="","",IFERROR(INDEX('3.員工名單'!$B:$B,MATCH(A701,'3.員工名單'!$A:$A,0)),"查無此員工"))</f>
        <v/>
      </c>
      <c r="C701" s="120">
        <f t="array" ref="C701:C701">IF(A701="","",IFERROR(INDEX('3.員工名單'!$C:$C,MATCH(A701,'3.員工名單'!$A:$A,0)),""))</f>
        <v/>
      </c>
      <c r="D701" s="120">
        <f t="array" ref="D701:D701">IF(A701="","",IFERROR(INDEX('3.員工名單'!$D:$D,MATCH(A701,'3.員工名單'!$A:$A,0)),""))</f>
        <v/>
      </c>
      <c r="E701" s="120">
        <f t="array" ref="E701:E701">IF(F701="","",IFERROR(INDEX('1.職能辭典'!$A:$A,MATCH(F701,'1.職能辭典'!$C:$C,0)),""))</f>
        <v/>
      </c>
      <c r="F701" s="94" t="n"/>
      <c r="G701" s="120">
        <f t="array" ref="G701:G701">IF(OR(D701="",F701=""),"",IFERROR(IF(AND(OR(INDEX('1.職能辭典'!$J:$J,MATCH(F701,'1.職能辭典'!$C:$C,0))="全部",INDEX('3.員工名單'!$H:$H,MATCH(A701,'3.員工名單'!$A:$A,0))="兩款共用",INDEX('3.員工名單'!$H:$H,MATCH(A701,'3.員工名單'!$A:$A,0))=INDEX('1.職能辭典'!$J:$J,MATCH(F701,'1.職能辭典'!$C:$C,0))),OR(INDEX('1.職能辭典'!$K:$K,MATCH(F701,'1.職能辭典'!$C:$C,0))="全部",SUMPRODUCT(ISNUMBER(SEARCH({"經營","管理","財務","企劃","營運","技術","數據","美術","測試","客服"},INDEX('3.員工名單'!$I:$I,MATCH(A701,'3.員工名單'!$A:$A,0))))*ISNUMBER(SEARCH({"經營","管理","財務","企劃","營運","技術","數據","美術","測試","客服"},INDEX('1.職能辭典'!$K:$K,MATCH(F701,'1.職能辭典'!$C:$C,0)))))&gt;0)),INDEX('2.職務職能需求'!$B$2:$F$28,MATCH(F701,'2.職務職能需求'!$A$2:$A$28,0),MATCH(D701,'2.職務職能需求'!$B$1:$F$1,0)),0),""))</f>
        <v/>
      </c>
      <c r="H701" s="94" t="n"/>
      <c r="I701" s="94" t="n"/>
      <c r="J701" s="120">
        <f>IF(OR(G701="",I701="",G701=0),"",I701-G701)</f>
        <v/>
      </c>
      <c r="K701" s="120">
        <f>IF(G701="","",IF(G701=0,"不適用",IF(I701="","待評核",IF(I701&gt;=G701,IF(I701&gt;G701,"超越","達標"),"待發展"))))</f>
        <v/>
      </c>
      <c r="L701" s="91" t="n"/>
      <c r="M701" s="91" t="n"/>
      <c r="N701" s="88" t="n"/>
    </row>
    <row r="702" ht="15.75" customHeight="1" s="64">
      <c r="A702" s="88" t="n"/>
      <c r="B702" s="120">
        <f t="array" ref="B702:B702">IF(A702="","",IFERROR(INDEX('3.員工名單'!$B:$B,MATCH(A702,'3.員工名單'!$A:$A,0)),"查無此員工"))</f>
        <v/>
      </c>
      <c r="C702" s="120">
        <f t="array" ref="C702:C702">IF(A702="","",IFERROR(INDEX('3.員工名單'!$C:$C,MATCH(A702,'3.員工名單'!$A:$A,0)),""))</f>
        <v/>
      </c>
      <c r="D702" s="120">
        <f t="array" ref="D702:D702">IF(A702="","",IFERROR(INDEX('3.員工名單'!$D:$D,MATCH(A702,'3.員工名單'!$A:$A,0)),""))</f>
        <v/>
      </c>
      <c r="E702" s="120">
        <f t="array" ref="E702:E702">IF(F702="","",IFERROR(INDEX('1.職能辭典'!$A:$A,MATCH(F702,'1.職能辭典'!$C:$C,0)),""))</f>
        <v/>
      </c>
      <c r="F702" s="94" t="n"/>
      <c r="G702" s="120">
        <f t="array" ref="G702:G702">IF(OR(D702="",F702=""),"",IFERROR(IF(AND(OR(INDEX('1.職能辭典'!$J:$J,MATCH(F702,'1.職能辭典'!$C:$C,0))="全部",INDEX('3.員工名單'!$H:$H,MATCH(A702,'3.員工名單'!$A:$A,0))="兩款共用",INDEX('3.員工名單'!$H:$H,MATCH(A702,'3.員工名單'!$A:$A,0))=INDEX('1.職能辭典'!$J:$J,MATCH(F702,'1.職能辭典'!$C:$C,0))),OR(INDEX('1.職能辭典'!$K:$K,MATCH(F702,'1.職能辭典'!$C:$C,0))="全部",SUMPRODUCT(ISNUMBER(SEARCH({"經營","管理","財務","企劃","營運","技術","數據","美術","測試","客服"},INDEX('3.員工名單'!$I:$I,MATCH(A702,'3.員工名單'!$A:$A,0))))*ISNUMBER(SEARCH({"經營","管理","財務","企劃","營運","技術","數據","美術","測試","客服"},INDEX('1.職能辭典'!$K:$K,MATCH(F702,'1.職能辭典'!$C:$C,0)))))&gt;0)),INDEX('2.職務職能需求'!$B$2:$F$28,MATCH(F702,'2.職務職能需求'!$A$2:$A$28,0),MATCH(D702,'2.職務職能需求'!$B$1:$F$1,0)),0),""))</f>
        <v/>
      </c>
      <c r="H702" s="94" t="n"/>
      <c r="I702" s="94" t="n"/>
      <c r="J702" s="120">
        <f>IF(OR(G702="",I702="",G702=0),"",I702-G702)</f>
        <v/>
      </c>
      <c r="K702" s="120">
        <f>IF(G702="","",IF(G702=0,"不適用",IF(I702="","待評核",IF(I702&gt;=G702,IF(I702&gt;G702,"超越","達標"),"待發展"))))</f>
        <v/>
      </c>
      <c r="L702" s="91" t="n"/>
      <c r="M702" s="91" t="n"/>
      <c r="N702" s="88" t="n"/>
    </row>
    <row r="703" ht="15.75" customHeight="1" s="64">
      <c r="A703" s="88" t="n"/>
      <c r="B703" s="120">
        <f t="array" ref="B703:B703">IF(A703="","",IFERROR(INDEX('3.員工名單'!$B:$B,MATCH(A703,'3.員工名單'!$A:$A,0)),"查無此員工"))</f>
        <v/>
      </c>
      <c r="C703" s="120">
        <f t="array" ref="C703:C703">IF(A703="","",IFERROR(INDEX('3.員工名單'!$C:$C,MATCH(A703,'3.員工名單'!$A:$A,0)),""))</f>
        <v/>
      </c>
      <c r="D703" s="120">
        <f t="array" ref="D703:D703">IF(A703="","",IFERROR(INDEX('3.員工名單'!$D:$D,MATCH(A703,'3.員工名單'!$A:$A,0)),""))</f>
        <v/>
      </c>
      <c r="E703" s="120">
        <f t="array" ref="E703:E703">IF(F703="","",IFERROR(INDEX('1.職能辭典'!$A:$A,MATCH(F703,'1.職能辭典'!$C:$C,0)),""))</f>
        <v/>
      </c>
      <c r="F703" s="94" t="n"/>
      <c r="G703" s="120">
        <f t="array" ref="G703:G703">IF(OR(D703="",F703=""),"",IFERROR(IF(AND(OR(INDEX('1.職能辭典'!$J:$J,MATCH(F703,'1.職能辭典'!$C:$C,0))="全部",INDEX('3.員工名單'!$H:$H,MATCH(A703,'3.員工名單'!$A:$A,0))="兩款共用",INDEX('3.員工名單'!$H:$H,MATCH(A703,'3.員工名單'!$A:$A,0))=INDEX('1.職能辭典'!$J:$J,MATCH(F703,'1.職能辭典'!$C:$C,0))),OR(INDEX('1.職能辭典'!$K:$K,MATCH(F703,'1.職能辭典'!$C:$C,0))="全部",SUMPRODUCT(ISNUMBER(SEARCH({"經營","管理","財務","企劃","營運","技術","數據","美術","測試","客服"},INDEX('3.員工名單'!$I:$I,MATCH(A703,'3.員工名單'!$A:$A,0))))*ISNUMBER(SEARCH({"經營","管理","財務","企劃","營運","技術","數據","美術","測試","客服"},INDEX('1.職能辭典'!$K:$K,MATCH(F703,'1.職能辭典'!$C:$C,0)))))&gt;0)),INDEX('2.職務職能需求'!$B$2:$F$28,MATCH(F703,'2.職務職能需求'!$A$2:$A$28,0),MATCH(D703,'2.職務職能需求'!$B$1:$F$1,0)),0),""))</f>
        <v/>
      </c>
      <c r="H703" s="94" t="n"/>
      <c r="I703" s="94" t="n"/>
      <c r="J703" s="120">
        <f>IF(OR(G703="",I703="",G703=0),"",I703-G703)</f>
        <v/>
      </c>
      <c r="K703" s="120">
        <f>IF(G703="","",IF(G703=0,"不適用",IF(I703="","待評核",IF(I703&gt;=G703,IF(I703&gt;G703,"超越","達標"),"待發展"))))</f>
        <v/>
      </c>
      <c r="L703" s="91" t="n"/>
      <c r="M703" s="91" t="n"/>
      <c r="N703" s="88" t="n"/>
    </row>
    <row r="704" ht="15.75" customHeight="1" s="64">
      <c r="A704" s="88" t="n"/>
      <c r="B704" s="120">
        <f t="array" ref="B704:B704">IF(A704="","",IFERROR(INDEX('3.員工名單'!$B:$B,MATCH(A704,'3.員工名單'!$A:$A,0)),"查無此員工"))</f>
        <v/>
      </c>
      <c r="C704" s="120">
        <f t="array" ref="C704:C704">IF(A704="","",IFERROR(INDEX('3.員工名單'!$C:$C,MATCH(A704,'3.員工名單'!$A:$A,0)),""))</f>
        <v/>
      </c>
      <c r="D704" s="120">
        <f t="array" ref="D704:D704">IF(A704="","",IFERROR(INDEX('3.員工名單'!$D:$D,MATCH(A704,'3.員工名單'!$A:$A,0)),""))</f>
        <v/>
      </c>
      <c r="E704" s="120">
        <f t="array" ref="E704:E704">IF(F704="","",IFERROR(INDEX('1.職能辭典'!$A:$A,MATCH(F704,'1.職能辭典'!$C:$C,0)),""))</f>
        <v/>
      </c>
      <c r="F704" s="94" t="n"/>
      <c r="G704" s="120">
        <f t="array" ref="G704:G704">IF(OR(D704="",F704=""),"",IFERROR(IF(AND(OR(INDEX('1.職能辭典'!$J:$J,MATCH(F704,'1.職能辭典'!$C:$C,0))="全部",INDEX('3.員工名單'!$H:$H,MATCH(A704,'3.員工名單'!$A:$A,0))="兩款共用",INDEX('3.員工名單'!$H:$H,MATCH(A704,'3.員工名單'!$A:$A,0))=INDEX('1.職能辭典'!$J:$J,MATCH(F704,'1.職能辭典'!$C:$C,0))),OR(INDEX('1.職能辭典'!$K:$K,MATCH(F704,'1.職能辭典'!$C:$C,0))="全部",SUMPRODUCT(ISNUMBER(SEARCH({"經營","管理","財務","企劃","營運","技術","數據","美術","測試","客服"},INDEX('3.員工名單'!$I:$I,MATCH(A704,'3.員工名單'!$A:$A,0))))*ISNUMBER(SEARCH({"經營","管理","財務","企劃","營運","技術","數據","美術","測試","客服"},INDEX('1.職能辭典'!$K:$K,MATCH(F704,'1.職能辭典'!$C:$C,0)))))&gt;0)),INDEX('2.職務職能需求'!$B$2:$F$28,MATCH(F704,'2.職務職能需求'!$A$2:$A$28,0),MATCH(D704,'2.職務職能需求'!$B$1:$F$1,0)),0),""))</f>
        <v/>
      </c>
      <c r="H704" s="94" t="n"/>
      <c r="I704" s="94" t="n"/>
      <c r="J704" s="120">
        <f>IF(OR(G704="",I704="",G704=0),"",I704-G704)</f>
        <v/>
      </c>
      <c r="K704" s="120">
        <f>IF(G704="","",IF(G704=0,"不適用",IF(I704="","待評核",IF(I704&gt;=G704,IF(I704&gt;G704,"超越","達標"),"待發展"))))</f>
        <v/>
      </c>
      <c r="L704" s="91" t="n"/>
      <c r="M704" s="91" t="n"/>
      <c r="N704" s="88" t="n"/>
    </row>
    <row r="705" ht="15.75" customHeight="1" s="64">
      <c r="A705" s="88" t="n"/>
      <c r="B705" s="120">
        <f t="array" ref="B705:B705">IF(A705="","",IFERROR(INDEX('3.員工名單'!$B:$B,MATCH(A705,'3.員工名單'!$A:$A,0)),"查無此員工"))</f>
        <v/>
      </c>
      <c r="C705" s="120">
        <f t="array" ref="C705:C705">IF(A705="","",IFERROR(INDEX('3.員工名單'!$C:$C,MATCH(A705,'3.員工名單'!$A:$A,0)),""))</f>
        <v/>
      </c>
      <c r="D705" s="120">
        <f t="array" ref="D705:D705">IF(A705="","",IFERROR(INDEX('3.員工名單'!$D:$D,MATCH(A705,'3.員工名單'!$A:$A,0)),""))</f>
        <v/>
      </c>
      <c r="E705" s="120">
        <f t="array" ref="E705:E705">IF(F705="","",IFERROR(INDEX('1.職能辭典'!$A:$A,MATCH(F705,'1.職能辭典'!$C:$C,0)),""))</f>
        <v/>
      </c>
      <c r="F705" s="94" t="n"/>
      <c r="G705" s="120">
        <f t="array" ref="G705:G705">IF(OR(D705="",F705=""),"",IFERROR(IF(AND(OR(INDEX('1.職能辭典'!$J:$J,MATCH(F705,'1.職能辭典'!$C:$C,0))="全部",INDEX('3.員工名單'!$H:$H,MATCH(A705,'3.員工名單'!$A:$A,0))="兩款共用",INDEX('3.員工名單'!$H:$H,MATCH(A705,'3.員工名單'!$A:$A,0))=INDEX('1.職能辭典'!$J:$J,MATCH(F705,'1.職能辭典'!$C:$C,0))),OR(INDEX('1.職能辭典'!$K:$K,MATCH(F705,'1.職能辭典'!$C:$C,0))="全部",SUMPRODUCT(ISNUMBER(SEARCH({"經營","管理","財務","企劃","營運","技術","數據","美術","測試","客服"},INDEX('3.員工名單'!$I:$I,MATCH(A705,'3.員工名單'!$A:$A,0))))*ISNUMBER(SEARCH({"經營","管理","財務","企劃","營運","技術","數據","美術","測試","客服"},INDEX('1.職能辭典'!$K:$K,MATCH(F705,'1.職能辭典'!$C:$C,0)))))&gt;0)),INDEX('2.職務職能需求'!$B$2:$F$28,MATCH(F705,'2.職務職能需求'!$A$2:$A$28,0),MATCH(D705,'2.職務職能需求'!$B$1:$F$1,0)),0),""))</f>
        <v/>
      </c>
      <c r="H705" s="94" t="n"/>
      <c r="I705" s="94" t="n"/>
      <c r="J705" s="120">
        <f>IF(OR(G705="",I705="",G705=0),"",I705-G705)</f>
        <v/>
      </c>
      <c r="K705" s="120">
        <f>IF(G705="","",IF(G705=0,"不適用",IF(I705="","待評核",IF(I705&gt;=G705,IF(I705&gt;G705,"超越","達標"),"待發展"))))</f>
        <v/>
      </c>
      <c r="L705" s="91" t="n"/>
      <c r="M705" s="91" t="n"/>
      <c r="N705" s="88" t="n"/>
    </row>
    <row r="706" ht="15.75" customHeight="1" s="64">
      <c r="A706" s="88" t="n"/>
      <c r="B706" s="120">
        <f t="array" ref="B706:B706">IF(A706="","",IFERROR(INDEX('3.員工名單'!$B:$B,MATCH(A706,'3.員工名單'!$A:$A,0)),"查無此員工"))</f>
        <v/>
      </c>
      <c r="C706" s="120">
        <f t="array" ref="C706:C706">IF(A706="","",IFERROR(INDEX('3.員工名單'!$C:$C,MATCH(A706,'3.員工名單'!$A:$A,0)),""))</f>
        <v/>
      </c>
      <c r="D706" s="120">
        <f t="array" ref="D706:D706">IF(A706="","",IFERROR(INDEX('3.員工名單'!$D:$D,MATCH(A706,'3.員工名單'!$A:$A,0)),""))</f>
        <v/>
      </c>
      <c r="E706" s="120">
        <f t="array" ref="E706:E706">IF(F706="","",IFERROR(INDEX('1.職能辭典'!$A:$A,MATCH(F706,'1.職能辭典'!$C:$C,0)),""))</f>
        <v/>
      </c>
      <c r="F706" s="94" t="n"/>
      <c r="G706" s="120">
        <f t="array" ref="G706:G706">IF(OR(D706="",F706=""),"",IFERROR(IF(AND(OR(INDEX('1.職能辭典'!$J:$J,MATCH(F706,'1.職能辭典'!$C:$C,0))="全部",INDEX('3.員工名單'!$H:$H,MATCH(A706,'3.員工名單'!$A:$A,0))="兩款共用",INDEX('3.員工名單'!$H:$H,MATCH(A706,'3.員工名單'!$A:$A,0))=INDEX('1.職能辭典'!$J:$J,MATCH(F706,'1.職能辭典'!$C:$C,0))),OR(INDEX('1.職能辭典'!$K:$K,MATCH(F706,'1.職能辭典'!$C:$C,0))="全部",SUMPRODUCT(ISNUMBER(SEARCH({"經營","管理","財務","企劃","營運","技術","數據","美術","測試","客服"},INDEX('3.員工名單'!$I:$I,MATCH(A706,'3.員工名單'!$A:$A,0))))*ISNUMBER(SEARCH({"經營","管理","財務","企劃","營運","技術","數據","美術","測試","客服"},INDEX('1.職能辭典'!$K:$K,MATCH(F706,'1.職能辭典'!$C:$C,0)))))&gt;0)),INDEX('2.職務職能需求'!$B$2:$F$28,MATCH(F706,'2.職務職能需求'!$A$2:$A$28,0),MATCH(D706,'2.職務職能需求'!$B$1:$F$1,0)),0),""))</f>
        <v/>
      </c>
      <c r="H706" s="94" t="n"/>
      <c r="I706" s="94" t="n"/>
      <c r="J706" s="120">
        <f>IF(OR(G706="",I706="",G706=0),"",I706-G706)</f>
        <v/>
      </c>
      <c r="K706" s="120">
        <f>IF(G706="","",IF(G706=0,"不適用",IF(I706="","待評核",IF(I706&gt;=G706,IF(I706&gt;G706,"超越","達標"),"待發展"))))</f>
        <v/>
      </c>
      <c r="L706" s="91" t="n"/>
      <c r="M706" s="91" t="n"/>
      <c r="N706" s="88" t="n"/>
    </row>
    <row r="707" ht="15.75" customHeight="1" s="64">
      <c r="A707" s="88" t="n"/>
      <c r="B707" s="120">
        <f t="array" ref="B707:B707">IF(A707="","",IFERROR(INDEX('3.員工名單'!$B:$B,MATCH(A707,'3.員工名單'!$A:$A,0)),"查無此員工"))</f>
        <v/>
      </c>
      <c r="C707" s="120">
        <f t="array" ref="C707:C707">IF(A707="","",IFERROR(INDEX('3.員工名單'!$C:$C,MATCH(A707,'3.員工名單'!$A:$A,0)),""))</f>
        <v/>
      </c>
      <c r="D707" s="120">
        <f t="array" ref="D707:D707">IF(A707="","",IFERROR(INDEX('3.員工名單'!$D:$D,MATCH(A707,'3.員工名單'!$A:$A,0)),""))</f>
        <v/>
      </c>
      <c r="E707" s="120">
        <f t="array" ref="E707:E707">IF(F707="","",IFERROR(INDEX('1.職能辭典'!$A:$A,MATCH(F707,'1.職能辭典'!$C:$C,0)),""))</f>
        <v/>
      </c>
      <c r="F707" s="94" t="n"/>
      <c r="G707" s="120">
        <f t="array" ref="G707:G707">IF(OR(D707="",F707=""),"",IFERROR(IF(AND(OR(INDEX('1.職能辭典'!$J:$J,MATCH(F707,'1.職能辭典'!$C:$C,0))="全部",INDEX('3.員工名單'!$H:$H,MATCH(A707,'3.員工名單'!$A:$A,0))="兩款共用",INDEX('3.員工名單'!$H:$H,MATCH(A707,'3.員工名單'!$A:$A,0))=INDEX('1.職能辭典'!$J:$J,MATCH(F707,'1.職能辭典'!$C:$C,0))),OR(INDEX('1.職能辭典'!$K:$K,MATCH(F707,'1.職能辭典'!$C:$C,0))="全部",SUMPRODUCT(ISNUMBER(SEARCH({"經營","管理","財務","企劃","營運","技術","數據","美術","測試","客服"},INDEX('3.員工名單'!$I:$I,MATCH(A707,'3.員工名單'!$A:$A,0))))*ISNUMBER(SEARCH({"經營","管理","財務","企劃","營運","技術","數據","美術","測試","客服"},INDEX('1.職能辭典'!$K:$K,MATCH(F707,'1.職能辭典'!$C:$C,0)))))&gt;0)),INDEX('2.職務職能需求'!$B$2:$F$28,MATCH(F707,'2.職務職能需求'!$A$2:$A$28,0),MATCH(D707,'2.職務職能需求'!$B$1:$F$1,0)),0),""))</f>
        <v/>
      </c>
      <c r="H707" s="94" t="n"/>
      <c r="I707" s="94" t="n"/>
      <c r="J707" s="120">
        <f>IF(OR(G707="",I707="",G707=0),"",I707-G707)</f>
        <v/>
      </c>
      <c r="K707" s="120">
        <f>IF(G707="","",IF(G707=0,"不適用",IF(I707="","待評核",IF(I707&gt;=G707,IF(I707&gt;G707,"超越","達標"),"待發展"))))</f>
        <v/>
      </c>
      <c r="L707" s="91" t="n"/>
      <c r="M707" s="91" t="n"/>
      <c r="N707" s="88" t="n"/>
    </row>
    <row r="708" ht="15.75" customHeight="1" s="64">
      <c r="A708" s="88" t="n"/>
      <c r="B708" s="120">
        <f t="array" ref="B708:B708">IF(A708="","",IFERROR(INDEX('3.員工名單'!$B:$B,MATCH(A708,'3.員工名單'!$A:$A,0)),"查無此員工"))</f>
        <v/>
      </c>
      <c r="C708" s="120">
        <f t="array" ref="C708:C708">IF(A708="","",IFERROR(INDEX('3.員工名單'!$C:$C,MATCH(A708,'3.員工名單'!$A:$A,0)),""))</f>
        <v/>
      </c>
      <c r="D708" s="120">
        <f t="array" ref="D708:D708">IF(A708="","",IFERROR(INDEX('3.員工名單'!$D:$D,MATCH(A708,'3.員工名單'!$A:$A,0)),""))</f>
        <v/>
      </c>
      <c r="E708" s="120">
        <f t="array" ref="E708:E708">IF(F708="","",IFERROR(INDEX('1.職能辭典'!$A:$A,MATCH(F708,'1.職能辭典'!$C:$C,0)),""))</f>
        <v/>
      </c>
      <c r="F708" s="94" t="n"/>
      <c r="G708" s="120">
        <f t="array" ref="G708:G708">IF(OR(D708="",F708=""),"",IFERROR(IF(AND(OR(INDEX('1.職能辭典'!$J:$J,MATCH(F708,'1.職能辭典'!$C:$C,0))="全部",INDEX('3.員工名單'!$H:$H,MATCH(A708,'3.員工名單'!$A:$A,0))="兩款共用",INDEX('3.員工名單'!$H:$H,MATCH(A708,'3.員工名單'!$A:$A,0))=INDEX('1.職能辭典'!$J:$J,MATCH(F708,'1.職能辭典'!$C:$C,0))),OR(INDEX('1.職能辭典'!$K:$K,MATCH(F708,'1.職能辭典'!$C:$C,0))="全部",SUMPRODUCT(ISNUMBER(SEARCH({"經營","管理","財務","企劃","營運","技術","數據","美術","測試","客服"},INDEX('3.員工名單'!$I:$I,MATCH(A708,'3.員工名單'!$A:$A,0))))*ISNUMBER(SEARCH({"經營","管理","財務","企劃","營運","技術","數據","美術","測試","客服"},INDEX('1.職能辭典'!$K:$K,MATCH(F708,'1.職能辭典'!$C:$C,0)))))&gt;0)),INDEX('2.職務職能需求'!$B$2:$F$28,MATCH(F708,'2.職務職能需求'!$A$2:$A$28,0),MATCH(D708,'2.職務職能需求'!$B$1:$F$1,0)),0),""))</f>
        <v/>
      </c>
      <c r="H708" s="94" t="n"/>
      <c r="I708" s="94" t="n"/>
      <c r="J708" s="120">
        <f>IF(OR(G708="",I708="",G708=0),"",I708-G708)</f>
        <v/>
      </c>
      <c r="K708" s="120">
        <f>IF(G708="","",IF(G708=0,"不適用",IF(I708="","待評核",IF(I708&gt;=G708,IF(I708&gt;G708,"超越","達標"),"待發展"))))</f>
        <v/>
      </c>
      <c r="L708" s="91" t="n"/>
      <c r="M708" s="91" t="n"/>
      <c r="N708" s="88" t="n"/>
    </row>
    <row r="709" ht="15.75" customHeight="1" s="64">
      <c r="A709" s="88" t="n"/>
      <c r="B709" s="120">
        <f t="array" ref="B709:B709">IF(A709="","",IFERROR(INDEX('3.員工名單'!$B:$B,MATCH(A709,'3.員工名單'!$A:$A,0)),"查無此員工"))</f>
        <v/>
      </c>
      <c r="C709" s="120">
        <f t="array" ref="C709:C709">IF(A709="","",IFERROR(INDEX('3.員工名單'!$C:$C,MATCH(A709,'3.員工名單'!$A:$A,0)),""))</f>
        <v/>
      </c>
      <c r="D709" s="120">
        <f t="array" ref="D709:D709">IF(A709="","",IFERROR(INDEX('3.員工名單'!$D:$D,MATCH(A709,'3.員工名單'!$A:$A,0)),""))</f>
        <v/>
      </c>
      <c r="E709" s="120">
        <f t="array" ref="E709:E709">IF(F709="","",IFERROR(INDEX('1.職能辭典'!$A:$A,MATCH(F709,'1.職能辭典'!$C:$C,0)),""))</f>
        <v/>
      </c>
      <c r="F709" s="94" t="n"/>
      <c r="G709" s="120">
        <f t="array" ref="G709:G709">IF(OR(D709="",F709=""),"",IFERROR(IF(AND(OR(INDEX('1.職能辭典'!$J:$J,MATCH(F709,'1.職能辭典'!$C:$C,0))="全部",INDEX('3.員工名單'!$H:$H,MATCH(A709,'3.員工名單'!$A:$A,0))="兩款共用",INDEX('3.員工名單'!$H:$H,MATCH(A709,'3.員工名單'!$A:$A,0))=INDEX('1.職能辭典'!$J:$J,MATCH(F709,'1.職能辭典'!$C:$C,0))),OR(INDEX('1.職能辭典'!$K:$K,MATCH(F709,'1.職能辭典'!$C:$C,0))="全部",SUMPRODUCT(ISNUMBER(SEARCH({"經營","管理","財務","企劃","營運","技術","數據","美術","測試","客服"},INDEX('3.員工名單'!$I:$I,MATCH(A709,'3.員工名單'!$A:$A,0))))*ISNUMBER(SEARCH({"經營","管理","財務","企劃","營運","技術","數據","美術","測試","客服"},INDEX('1.職能辭典'!$K:$K,MATCH(F709,'1.職能辭典'!$C:$C,0)))))&gt;0)),INDEX('2.職務職能需求'!$B$2:$F$28,MATCH(F709,'2.職務職能需求'!$A$2:$A$28,0),MATCH(D709,'2.職務職能需求'!$B$1:$F$1,0)),0),""))</f>
        <v/>
      </c>
      <c r="H709" s="94" t="n"/>
      <c r="I709" s="94" t="n"/>
      <c r="J709" s="120">
        <f>IF(OR(G709="",I709="",G709=0),"",I709-G709)</f>
        <v/>
      </c>
      <c r="K709" s="120">
        <f>IF(G709="","",IF(G709=0,"不適用",IF(I709="","待評核",IF(I709&gt;=G709,IF(I709&gt;G709,"超越","達標"),"待發展"))))</f>
        <v/>
      </c>
      <c r="L709" s="91" t="n"/>
      <c r="M709" s="91" t="n"/>
      <c r="N709" s="88" t="n"/>
    </row>
    <row r="710" ht="15.75" customHeight="1" s="64">
      <c r="A710" s="88" t="n"/>
      <c r="B710" s="120">
        <f t="array" ref="B710:B710">IF(A710="","",IFERROR(INDEX('3.員工名單'!$B:$B,MATCH(A710,'3.員工名單'!$A:$A,0)),"查無此員工"))</f>
        <v/>
      </c>
      <c r="C710" s="120">
        <f t="array" ref="C710:C710">IF(A710="","",IFERROR(INDEX('3.員工名單'!$C:$C,MATCH(A710,'3.員工名單'!$A:$A,0)),""))</f>
        <v/>
      </c>
      <c r="D710" s="120">
        <f t="array" ref="D710:D710">IF(A710="","",IFERROR(INDEX('3.員工名單'!$D:$D,MATCH(A710,'3.員工名單'!$A:$A,0)),""))</f>
        <v/>
      </c>
      <c r="E710" s="120">
        <f t="array" ref="E710:E710">IF(F710="","",IFERROR(INDEX('1.職能辭典'!$A:$A,MATCH(F710,'1.職能辭典'!$C:$C,0)),""))</f>
        <v/>
      </c>
      <c r="F710" s="94" t="n"/>
      <c r="G710" s="120">
        <f t="array" ref="G710:G710">IF(OR(D710="",F710=""),"",IFERROR(IF(AND(OR(INDEX('1.職能辭典'!$J:$J,MATCH(F710,'1.職能辭典'!$C:$C,0))="全部",INDEX('3.員工名單'!$H:$H,MATCH(A710,'3.員工名單'!$A:$A,0))="兩款共用",INDEX('3.員工名單'!$H:$H,MATCH(A710,'3.員工名單'!$A:$A,0))=INDEX('1.職能辭典'!$J:$J,MATCH(F710,'1.職能辭典'!$C:$C,0))),OR(INDEX('1.職能辭典'!$K:$K,MATCH(F710,'1.職能辭典'!$C:$C,0))="全部",SUMPRODUCT(ISNUMBER(SEARCH({"經營","管理","財務","企劃","營運","技術","數據","美術","測試","客服"},INDEX('3.員工名單'!$I:$I,MATCH(A710,'3.員工名單'!$A:$A,0))))*ISNUMBER(SEARCH({"經營","管理","財務","企劃","營運","技術","數據","美術","測試","客服"},INDEX('1.職能辭典'!$K:$K,MATCH(F710,'1.職能辭典'!$C:$C,0)))))&gt;0)),INDEX('2.職務職能需求'!$B$2:$F$28,MATCH(F710,'2.職務職能需求'!$A$2:$A$28,0),MATCH(D710,'2.職務職能需求'!$B$1:$F$1,0)),0),""))</f>
        <v/>
      </c>
      <c r="H710" s="94" t="n"/>
      <c r="I710" s="94" t="n"/>
      <c r="J710" s="120">
        <f>IF(OR(G710="",I710="",G710=0),"",I710-G710)</f>
        <v/>
      </c>
      <c r="K710" s="120">
        <f>IF(G710="","",IF(G710=0,"不適用",IF(I710="","待評核",IF(I710&gt;=G710,IF(I710&gt;G710,"超越","達標"),"待發展"))))</f>
        <v/>
      </c>
      <c r="L710" s="91" t="n"/>
      <c r="M710" s="91" t="n"/>
      <c r="N710" s="88" t="n"/>
    </row>
    <row r="711" ht="15.75" customHeight="1" s="64">
      <c r="A711" s="88" t="n"/>
      <c r="B711" s="120">
        <f t="array" ref="B711:B711">IF(A711="","",IFERROR(INDEX('3.員工名單'!$B:$B,MATCH(A711,'3.員工名單'!$A:$A,0)),"查無此員工"))</f>
        <v/>
      </c>
      <c r="C711" s="120">
        <f t="array" ref="C711:C711">IF(A711="","",IFERROR(INDEX('3.員工名單'!$C:$C,MATCH(A711,'3.員工名單'!$A:$A,0)),""))</f>
        <v/>
      </c>
      <c r="D711" s="120">
        <f t="array" ref="D711:D711">IF(A711="","",IFERROR(INDEX('3.員工名單'!$D:$D,MATCH(A711,'3.員工名單'!$A:$A,0)),""))</f>
        <v/>
      </c>
      <c r="E711" s="120">
        <f t="array" ref="E711:E711">IF(F711="","",IFERROR(INDEX('1.職能辭典'!$A:$A,MATCH(F711,'1.職能辭典'!$C:$C,0)),""))</f>
        <v/>
      </c>
      <c r="F711" s="94" t="n"/>
      <c r="G711" s="120">
        <f t="array" ref="G711:G711">IF(OR(D711="",F711=""),"",IFERROR(IF(AND(OR(INDEX('1.職能辭典'!$J:$J,MATCH(F711,'1.職能辭典'!$C:$C,0))="全部",INDEX('3.員工名單'!$H:$H,MATCH(A711,'3.員工名單'!$A:$A,0))="兩款共用",INDEX('3.員工名單'!$H:$H,MATCH(A711,'3.員工名單'!$A:$A,0))=INDEX('1.職能辭典'!$J:$J,MATCH(F711,'1.職能辭典'!$C:$C,0))),OR(INDEX('1.職能辭典'!$K:$K,MATCH(F711,'1.職能辭典'!$C:$C,0))="全部",SUMPRODUCT(ISNUMBER(SEARCH({"經營","管理","財務","企劃","營運","技術","數據","美術","測試","客服"},INDEX('3.員工名單'!$I:$I,MATCH(A711,'3.員工名單'!$A:$A,0))))*ISNUMBER(SEARCH({"經營","管理","財務","企劃","營運","技術","數據","美術","測試","客服"},INDEX('1.職能辭典'!$K:$K,MATCH(F711,'1.職能辭典'!$C:$C,0)))))&gt;0)),INDEX('2.職務職能需求'!$B$2:$F$28,MATCH(F711,'2.職務職能需求'!$A$2:$A$28,0),MATCH(D711,'2.職務職能需求'!$B$1:$F$1,0)),0),""))</f>
        <v/>
      </c>
      <c r="H711" s="94" t="n"/>
      <c r="I711" s="94" t="n"/>
      <c r="J711" s="120">
        <f>IF(OR(G711="",I711="",G711=0),"",I711-G711)</f>
        <v/>
      </c>
      <c r="K711" s="120">
        <f>IF(G711="","",IF(G711=0,"不適用",IF(I711="","待評核",IF(I711&gt;=G711,IF(I711&gt;G711,"超越","達標"),"待發展"))))</f>
        <v/>
      </c>
      <c r="L711" s="91" t="n"/>
      <c r="M711" s="91" t="n"/>
      <c r="N711" s="88" t="n"/>
    </row>
    <row r="712" ht="15.75" customHeight="1" s="64">
      <c r="A712" s="88" t="n"/>
      <c r="B712" s="120">
        <f t="array" ref="B712:B712">IF(A712="","",IFERROR(INDEX('3.員工名單'!$B:$B,MATCH(A712,'3.員工名單'!$A:$A,0)),"查無此員工"))</f>
        <v/>
      </c>
      <c r="C712" s="120">
        <f t="array" ref="C712:C712">IF(A712="","",IFERROR(INDEX('3.員工名單'!$C:$C,MATCH(A712,'3.員工名單'!$A:$A,0)),""))</f>
        <v/>
      </c>
      <c r="D712" s="120">
        <f t="array" ref="D712:D712">IF(A712="","",IFERROR(INDEX('3.員工名單'!$D:$D,MATCH(A712,'3.員工名單'!$A:$A,0)),""))</f>
        <v/>
      </c>
      <c r="E712" s="120">
        <f t="array" ref="E712:E712">IF(F712="","",IFERROR(INDEX('1.職能辭典'!$A:$A,MATCH(F712,'1.職能辭典'!$C:$C,0)),""))</f>
        <v/>
      </c>
      <c r="F712" s="94" t="n"/>
      <c r="G712" s="120">
        <f t="array" ref="G712:G712">IF(OR(D712="",F712=""),"",IFERROR(IF(AND(OR(INDEX('1.職能辭典'!$J:$J,MATCH(F712,'1.職能辭典'!$C:$C,0))="全部",INDEX('3.員工名單'!$H:$H,MATCH(A712,'3.員工名單'!$A:$A,0))="兩款共用",INDEX('3.員工名單'!$H:$H,MATCH(A712,'3.員工名單'!$A:$A,0))=INDEX('1.職能辭典'!$J:$J,MATCH(F712,'1.職能辭典'!$C:$C,0))),OR(INDEX('1.職能辭典'!$K:$K,MATCH(F712,'1.職能辭典'!$C:$C,0))="全部",SUMPRODUCT(ISNUMBER(SEARCH({"經營","管理","財務","企劃","營運","技術","數據","美術","測試","客服"},INDEX('3.員工名單'!$I:$I,MATCH(A712,'3.員工名單'!$A:$A,0))))*ISNUMBER(SEARCH({"經營","管理","財務","企劃","營運","技術","數據","美術","測試","客服"},INDEX('1.職能辭典'!$K:$K,MATCH(F712,'1.職能辭典'!$C:$C,0)))))&gt;0)),INDEX('2.職務職能需求'!$B$2:$F$28,MATCH(F712,'2.職務職能需求'!$A$2:$A$28,0),MATCH(D712,'2.職務職能需求'!$B$1:$F$1,0)),0),""))</f>
        <v/>
      </c>
      <c r="H712" s="94" t="n"/>
      <c r="I712" s="94" t="n"/>
      <c r="J712" s="120">
        <f>IF(OR(G712="",I712="",G712=0),"",I712-G712)</f>
        <v/>
      </c>
      <c r="K712" s="120">
        <f>IF(G712="","",IF(G712=0,"不適用",IF(I712="","待評核",IF(I712&gt;=G712,IF(I712&gt;G712,"超越","達標"),"待發展"))))</f>
        <v/>
      </c>
      <c r="L712" s="91" t="n"/>
      <c r="M712" s="91" t="n"/>
      <c r="N712" s="88" t="n"/>
    </row>
    <row r="713" ht="15.75" customHeight="1" s="64">
      <c r="A713" s="88" t="n"/>
      <c r="B713" s="120">
        <f t="array" ref="B713:B713">IF(A713="","",IFERROR(INDEX('3.員工名單'!$B:$B,MATCH(A713,'3.員工名單'!$A:$A,0)),"查無此員工"))</f>
        <v/>
      </c>
      <c r="C713" s="120">
        <f t="array" ref="C713:C713">IF(A713="","",IFERROR(INDEX('3.員工名單'!$C:$C,MATCH(A713,'3.員工名單'!$A:$A,0)),""))</f>
        <v/>
      </c>
      <c r="D713" s="120">
        <f t="array" ref="D713:D713">IF(A713="","",IFERROR(INDEX('3.員工名單'!$D:$D,MATCH(A713,'3.員工名單'!$A:$A,0)),""))</f>
        <v/>
      </c>
      <c r="E713" s="120">
        <f t="array" ref="E713:E713">IF(F713="","",IFERROR(INDEX('1.職能辭典'!$A:$A,MATCH(F713,'1.職能辭典'!$C:$C,0)),""))</f>
        <v/>
      </c>
      <c r="F713" s="94" t="n"/>
      <c r="G713" s="120">
        <f t="array" ref="G713:G713">IF(OR(D713="",F713=""),"",IFERROR(IF(AND(OR(INDEX('1.職能辭典'!$J:$J,MATCH(F713,'1.職能辭典'!$C:$C,0))="全部",INDEX('3.員工名單'!$H:$H,MATCH(A713,'3.員工名單'!$A:$A,0))="兩款共用",INDEX('3.員工名單'!$H:$H,MATCH(A713,'3.員工名單'!$A:$A,0))=INDEX('1.職能辭典'!$J:$J,MATCH(F713,'1.職能辭典'!$C:$C,0))),OR(INDEX('1.職能辭典'!$K:$K,MATCH(F713,'1.職能辭典'!$C:$C,0))="全部",SUMPRODUCT(ISNUMBER(SEARCH({"經營","管理","財務","企劃","營運","技術","數據","美術","測試","客服"},INDEX('3.員工名單'!$I:$I,MATCH(A713,'3.員工名單'!$A:$A,0))))*ISNUMBER(SEARCH({"經營","管理","財務","企劃","營運","技術","數據","美術","測試","客服"},INDEX('1.職能辭典'!$K:$K,MATCH(F713,'1.職能辭典'!$C:$C,0)))))&gt;0)),INDEX('2.職務職能需求'!$B$2:$F$28,MATCH(F713,'2.職務職能需求'!$A$2:$A$28,0),MATCH(D713,'2.職務職能需求'!$B$1:$F$1,0)),0),""))</f>
        <v/>
      </c>
      <c r="H713" s="94" t="n"/>
      <c r="I713" s="94" t="n"/>
      <c r="J713" s="120">
        <f>IF(OR(G713="",I713="",G713=0),"",I713-G713)</f>
        <v/>
      </c>
      <c r="K713" s="120">
        <f>IF(G713="","",IF(G713=0,"不適用",IF(I713="","待評核",IF(I713&gt;=G713,IF(I713&gt;G713,"超越","達標"),"待發展"))))</f>
        <v/>
      </c>
      <c r="L713" s="91" t="n"/>
      <c r="M713" s="91" t="n"/>
      <c r="N713" s="88" t="n"/>
    </row>
    <row r="714" ht="15.75" customHeight="1" s="64">
      <c r="A714" s="88" t="n"/>
      <c r="B714" s="120">
        <f t="array" ref="B714:B714">IF(A714="","",IFERROR(INDEX('3.員工名單'!$B:$B,MATCH(A714,'3.員工名單'!$A:$A,0)),"查無此員工"))</f>
        <v/>
      </c>
      <c r="C714" s="120">
        <f t="array" ref="C714:C714">IF(A714="","",IFERROR(INDEX('3.員工名單'!$C:$C,MATCH(A714,'3.員工名單'!$A:$A,0)),""))</f>
        <v/>
      </c>
      <c r="D714" s="120">
        <f t="array" ref="D714:D714">IF(A714="","",IFERROR(INDEX('3.員工名單'!$D:$D,MATCH(A714,'3.員工名單'!$A:$A,0)),""))</f>
        <v/>
      </c>
      <c r="E714" s="120">
        <f t="array" ref="E714:E714">IF(F714="","",IFERROR(INDEX('1.職能辭典'!$A:$A,MATCH(F714,'1.職能辭典'!$C:$C,0)),""))</f>
        <v/>
      </c>
      <c r="F714" s="94" t="n"/>
      <c r="G714" s="120">
        <f t="array" ref="G714:G714">IF(OR(D714="",F714=""),"",IFERROR(IF(AND(OR(INDEX('1.職能辭典'!$J:$J,MATCH(F714,'1.職能辭典'!$C:$C,0))="全部",INDEX('3.員工名單'!$H:$H,MATCH(A714,'3.員工名單'!$A:$A,0))="兩款共用",INDEX('3.員工名單'!$H:$H,MATCH(A714,'3.員工名單'!$A:$A,0))=INDEX('1.職能辭典'!$J:$J,MATCH(F714,'1.職能辭典'!$C:$C,0))),OR(INDEX('1.職能辭典'!$K:$K,MATCH(F714,'1.職能辭典'!$C:$C,0))="全部",SUMPRODUCT(ISNUMBER(SEARCH({"經營","管理","財務","企劃","營運","技術","數據","美術","測試","客服"},INDEX('3.員工名單'!$I:$I,MATCH(A714,'3.員工名單'!$A:$A,0))))*ISNUMBER(SEARCH({"經營","管理","財務","企劃","營運","技術","數據","美術","測試","客服"},INDEX('1.職能辭典'!$K:$K,MATCH(F714,'1.職能辭典'!$C:$C,0)))))&gt;0)),INDEX('2.職務職能需求'!$B$2:$F$28,MATCH(F714,'2.職務職能需求'!$A$2:$A$28,0),MATCH(D714,'2.職務職能需求'!$B$1:$F$1,0)),0),""))</f>
        <v/>
      </c>
      <c r="H714" s="94" t="n"/>
      <c r="I714" s="94" t="n"/>
      <c r="J714" s="120">
        <f>IF(OR(G714="",I714="",G714=0),"",I714-G714)</f>
        <v/>
      </c>
      <c r="K714" s="120">
        <f>IF(G714="","",IF(G714=0,"不適用",IF(I714="","待評核",IF(I714&gt;=G714,IF(I714&gt;G714,"超越","達標"),"待發展"))))</f>
        <v/>
      </c>
      <c r="L714" s="91" t="n"/>
      <c r="M714" s="91" t="n"/>
      <c r="N714" s="88" t="n"/>
    </row>
    <row r="715" ht="15.75" customHeight="1" s="64">
      <c r="A715" s="88" t="n"/>
      <c r="B715" s="120">
        <f t="array" ref="B715:B715">IF(A715="","",IFERROR(INDEX('3.員工名單'!$B:$B,MATCH(A715,'3.員工名單'!$A:$A,0)),"查無此員工"))</f>
        <v/>
      </c>
      <c r="C715" s="120">
        <f t="array" ref="C715:C715">IF(A715="","",IFERROR(INDEX('3.員工名單'!$C:$C,MATCH(A715,'3.員工名單'!$A:$A,0)),""))</f>
        <v/>
      </c>
      <c r="D715" s="120">
        <f t="array" ref="D715:D715">IF(A715="","",IFERROR(INDEX('3.員工名單'!$D:$D,MATCH(A715,'3.員工名單'!$A:$A,0)),""))</f>
        <v/>
      </c>
      <c r="E715" s="120">
        <f t="array" ref="E715:E715">IF(F715="","",IFERROR(INDEX('1.職能辭典'!$A:$A,MATCH(F715,'1.職能辭典'!$C:$C,0)),""))</f>
        <v/>
      </c>
      <c r="F715" s="94" t="n"/>
      <c r="G715" s="120">
        <f t="array" ref="G715:G715">IF(OR(D715="",F715=""),"",IFERROR(IF(AND(OR(INDEX('1.職能辭典'!$J:$J,MATCH(F715,'1.職能辭典'!$C:$C,0))="全部",INDEX('3.員工名單'!$H:$H,MATCH(A715,'3.員工名單'!$A:$A,0))="兩款共用",INDEX('3.員工名單'!$H:$H,MATCH(A715,'3.員工名單'!$A:$A,0))=INDEX('1.職能辭典'!$J:$J,MATCH(F715,'1.職能辭典'!$C:$C,0))),OR(INDEX('1.職能辭典'!$K:$K,MATCH(F715,'1.職能辭典'!$C:$C,0))="全部",SUMPRODUCT(ISNUMBER(SEARCH({"經營","管理","財務","企劃","營運","技術","數據","美術","測試","客服"},INDEX('3.員工名單'!$I:$I,MATCH(A715,'3.員工名單'!$A:$A,0))))*ISNUMBER(SEARCH({"經營","管理","財務","企劃","營運","技術","數據","美術","測試","客服"},INDEX('1.職能辭典'!$K:$K,MATCH(F715,'1.職能辭典'!$C:$C,0)))))&gt;0)),INDEX('2.職務職能需求'!$B$2:$F$28,MATCH(F715,'2.職務職能需求'!$A$2:$A$28,0),MATCH(D715,'2.職務職能需求'!$B$1:$F$1,0)),0),""))</f>
        <v/>
      </c>
      <c r="H715" s="94" t="n"/>
      <c r="I715" s="94" t="n"/>
      <c r="J715" s="120">
        <f>IF(OR(G715="",I715="",G715=0),"",I715-G715)</f>
        <v/>
      </c>
      <c r="K715" s="120">
        <f>IF(G715="","",IF(G715=0,"不適用",IF(I715="","待評核",IF(I715&gt;=G715,IF(I715&gt;G715,"超越","達標"),"待發展"))))</f>
        <v/>
      </c>
      <c r="L715" s="91" t="n"/>
      <c r="M715" s="91" t="n"/>
      <c r="N715" s="88" t="n"/>
    </row>
    <row r="716" ht="15.75" customHeight="1" s="64">
      <c r="A716" s="88" t="n"/>
      <c r="B716" s="120">
        <f t="array" ref="B716:B716">IF(A716="","",IFERROR(INDEX('3.員工名單'!$B:$B,MATCH(A716,'3.員工名單'!$A:$A,0)),"查無此員工"))</f>
        <v/>
      </c>
      <c r="C716" s="120">
        <f t="array" ref="C716:C716">IF(A716="","",IFERROR(INDEX('3.員工名單'!$C:$C,MATCH(A716,'3.員工名單'!$A:$A,0)),""))</f>
        <v/>
      </c>
      <c r="D716" s="120">
        <f t="array" ref="D716:D716">IF(A716="","",IFERROR(INDEX('3.員工名單'!$D:$D,MATCH(A716,'3.員工名單'!$A:$A,0)),""))</f>
        <v/>
      </c>
      <c r="E716" s="120">
        <f t="array" ref="E716:E716">IF(F716="","",IFERROR(INDEX('1.職能辭典'!$A:$A,MATCH(F716,'1.職能辭典'!$C:$C,0)),""))</f>
        <v/>
      </c>
      <c r="F716" s="94" t="n"/>
      <c r="G716" s="120">
        <f t="array" ref="G716:G716">IF(OR(D716="",F716=""),"",IFERROR(IF(AND(OR(INDEX('1.職能辭典'!$J:$J,MATCH(F716,'1.職能辭典'!$C:$C,0))="全部",INDEX('3.員工名單'!$H:$H,MATCH(A716,'3.員工名單'!$A:$A,0))="兩款共用",INDEX('3.員工名單'!$H:$H,MATCH(A716,'3.員工名單'!$A:$A,0))=INDEX('1.職能辭典'!$J:$J,MATCH(F716,'1.職能辭典'!$C:$C,0))),OR(INDEX('1.職能辭典'!$K:$K,MATCH(F716,'1.職能辭典'!$C:$C,0))="全部",SUMPRODUCT(ISNUMBER(SEARCH({"經營","管理","財務","企劃","營運","技術","數據","美術","測試","客服"},INDEX('3.員工名單'!$I:$I,MATCH(A716,'3.員工名單'!$A:$A,0))))*ISNUMBER(SEARCH({"經營","管理","財務","企劃","營運","技術","數據","美術","測試","客服"},INDEX('1.職能辭典'!$K:$K,MATCH(F716,'1.職能辭典'!$C:$C,0)))))&gt;0)),INDEX('2.職務職能需求'!$B$2:$F$28,MATCH(F716,'2.職務職能需求'!$A$2:$A$28,0),MATCH(D716,'2.職務職能需求'!$B$1:$F$1,0)),0),""))</f>
        <v/>
      </c>
      <c r="H716" s="94" t="n"/>
      <c r="I716" s="94" t="n"/>
      <c r="J716" s="120">
        <f>IF(OR(G716="",I716="",G716=0),"",I716-G716)</f>
        <v/>
      </c>
      <c r="K716" s="120">
        <f>IF(G716="","",IF(G716=0,"不適用",IF(I716="","待評核",IF(I716&gt;=G716,IF(I716&gt;G716,"超越","達標"),"待發展"))))</f>
        <v/>
      </c>
      <c r="L716" s="91" t="n"/>
      <c r="M716" s="91" t="n"/>
      <c r="N716" s="88" t="n"/>
    </row>
    <row r="717" ht="15.75" customHeight="1" s="64">
      <c r="A717" s="88" t="n"/>
      <c r="B717" s="120">
        <f t="array" ref="B717:B717">IF(A717="","",IFERROR(INDEX('3.員工名單'!$B:$B,MATCH(A717,'3.員工名單'!$A:$A,0)),"查無此員工"))</f>
        <v/>
      </c>
      <c r="C717" s="120">
        <f t="array" ref="C717:C717">IF(A717="","",IFERROR(INDEX('3.員工名單'!$C:$C,MATCH(A717,'3.員工名單'!$A:$A,0)),""))</f>
        <v/>
      </c>
      <c r="D717" s="120">
        <f t="array" ref="D717:D717">IF(A717="","",IFERROR(INDEX('3.員工名單'!$D:$D,MATCH(A717,'3.員工名單'!$A:$A,0)),""))</f>
        <v/>
      </c>
      <c r="E717" s="120">
        <f t="array" ref="E717:E717">IF(F717="","",IFERROR(INDEX('1.職能辭典'!$A:$A,MATCH(F717,'1.職能辭典'!$C:$C,0)),""))</f>
        <v/>
      </c>
      <c r="F717" s="94" t="n"/>
      <c r="G717" s="120">
        <f t="array" ref="G717:G717">IF(OR(D717="",F717=""),"",IFERROR(IF(AND(OR(INDEX('1.職能辭典'!$J:$J,MATCH(F717,'1.職能辭典'!$C:$C,0))="全部",INDEX('3.員工名單'!$H:$H,MATCH(A717,'3.員工名單'!$A:$A,0))="兩款共用",INDEX('3.員工名單'!$H:$H,MATCH(A717,'3.員工名單'!$A:$A,0))=INDEX('1.職能辭典'!$J:$J,MATCH(F717,'1.職能辭典'!$C:$C,0))),OR(INDEX('1.職能辭典'!$K:$K,MATCH(F717,'1.職能辭典'!$C:$C,0))="全部",SUMPRODUCT(ISNUMBER(SEARCH({"經營","管理","財務","企劃","營運","技術","數據","美術","測試","客服"},INDEX('3.員工名單'!$I:$I,MATCH(A717,'3.員工名單'!$A:$A,0))))*ISNUMBER(SEARCH({"經營","管理","財務","企劃","營運","技術","數據","美術","測試","客服"},INDEX('1.職能辭典'!$K:$K,MATCH(F717,'1.職能辭典'!$C:$C,0)))))&gt;0)),INDEX('2.職務職能需求'!$B$2:$F$28,MATCH(F717,'2.職務職能需求'!$A$2:$A$28,0),MATCH(D717,'2.職務職能需求'!$B$1:$F$1,0)),0),""))</f>
        <v/>
      </c>
      <c r="H717" s="94" t="n"/>
      <c r="I717" s="94" t="n"/>
      <c r="J717" s="120">
        <f>IF(OR(G717="",I717="",G717=0),"",I717-G717)</f>
        <v/>
      </c>
      <c r="K717" s="120">
        <f>IF(G717="","",IF(G717=0,"不適用",IF(I717="","待評核",IF(I717&gt;=G717,IF(I717&gt;G717,"超越","達標"),"待發展"))))</f>
        <v/>
      </c>
      <c r="L717" s="91" t="n"/>
      <c r="M717" s="91" t="n"/>
      <c r="N717" s="88" t="n"/>
    </row>
    <row r="718" ht="15.75" customHeight="1" s="64">
      <c r="A718" s="88" t="n"/>
      <c r="B718" s="120">
        <f t="array" ref="B718:B718">IF(A718="","",IFERROR(INDEX('3.員工名單'!$B:$B,MATCH(A718,'3.員工名單'!$A:$A,0)),"查無此員工"))</f>
        <v/>
      </c>
      <c r="C718" s="120">
        <f t="array" ref="C718:C718">IF(A718="","",IFERROR(INDEX('3.員工名單'!$C:$C,MATCH(A718,'3.員工名單'!$A:$A,0)),""))</f>
        <v/>
      </c>
      <c r="D718" s="120">
        <f t="array" ref="D718:D718">IF(A718="","",IFERROR(INDEX('3.員工名單'!$D:$D,MATCH(A718,'3.員工名單'!$A:$A,0)),""))</f>
        <v/>
      </c>
      <c r="E718" s="120">
        <f t="array" ref="E718:E718">IF(F718="","",IFERROR(INDEX('1.職能辭典'!$A:$A,MATCH(F718,'1.職能辭典'!$C:$C,0)),""))</f>
        <v/>
      </c>
      <c r="F718" s="94" t="n"/>
      <c r="G718" s="120">
        <f t="array" ref="G718:G718">IF(OR(D718="",F718=""),"",IFERROR(IF(AND(OR(INDEX('1.職能辭典'!$J:$J,MATCH(F718,'1.職能辭典'!$C:$C,0))="全部",INDEX('3.員工名單'!$H:$H,MATCH(A718,'3.員工名單'!$A:$A,0))="兩款共用",INDEX('3.員工名單'!$H:$H,MATCH(A718,'3.員工名單'!$A:$A,0))=INDEX('1.職能辭典'!$J:$J,MATCH(F718,'1.職能辭典'!$C:$C,0))),OR(INDEX('1.職能辭典'!$K:$K,MATCH(F718,'1.職能辭典'!$C:$C,0))="全部",SUMPRODUCT(ISNUMBER(SEARCH({"經營","管理","財務","企劃","營運","技術","數據","美術","測試","客服"},INDEX('3.員工名單'!$I:$I,MATCH(A718,'3.員工名單'!$A:$A,0))))*ISNUMBER(SEARCH({"經營","管理","財務","企劃","營運","技術","數據","美術","測試","客服"},INDEX('1.職能辭典'!$K:$K,MATCH(F718,'1.職能辭典'!$C:$C,0)))))&gt;0)),INDEX('2.職務職能需求'!$B$2:$F$28,MATCH(F718,'2.職務職能需求'!$A$2:$A$28,0),MATCH(D718,'2.職務職能需求'!$B$1:$F$1,0)),0),""))</f>
        <v/>
      </c>
      <c r="H718" s="94" t="n"/>
      <c r="I718" s="94" t="n"/>
      <c r="J718" s="120">
        <f>IF(OR(G718="",I718="",G718=0),"",I718-G718)</f>
        <v/>
      </c>
      <c r="K718" s="120">
        <f>IF(G718="","",IF(G718=0,"不適用",IF(I718="","待評核",IF(I718&gt;=G718,IF(I718&gt;G718,"超越","達標"),"待發展"))))</f>
        <v/>
      </c>
      <c r="L718" s="91" t="n"/>
      <c r="M718" s="91" t="n"/>
      <c r="N718" s="88" t="n"/>
    </row>
    <row r="719" ht="15.75" customHeight="1" s="64">
      <c r="A719" s="88" t="n"/>
      <c r="B719" s="120">
        <f t="array" ref="B719:B719">IF(A719="","",IFERROR(INDEX('3.員工名單'!$B:$B,MATCH(A719,'3.員工名單'!$A:$A,0)),"查無此員工"))</f>
        <v/>
      </c>
      <c r="C719" s="120">
        <f t="array" ref="C719:C719">IF(A719="","",IFERROR(INDEX('3.員工名單'!$C:$C,MATCH(A719,'3.員工名單'!$A:$A,0)),""))</f>
        <v/>
      </c>
      <c r="D719" s="120">
        <f t="array" ref="D719:D719">IF(A719="","",IFERROR(INDEX('3.員工名單'!$D:$D,MATCH(A719,'3.員工名單'!$A:$A,0)),""))</f>
        <v/>
      </c>
      <c r="E719" s="120">
        <f t="array" ref="E719:E719">IF(F719="","",IFERROR(INDEX('1.職能辭典'!$A:$A,MATCH(F719,'1.職能辭典'!$C:$C,0)),""))</f>
        <v/>
      </c>
      <c r="F719" s="94" t="n"/>
      <c r="G719" s="120">
        <f t="array" ref="G719:G719">IF(OR(D719="",F719=""),"",IFERROR(IF(AND(OR(INDEX('1.職能辭典'!$J:$J,MATCH(F719,'1.職能辭典'!$C:$C,0))="全部",INDEX('3.員工名單'!$H:$H,MATCH(A719,'3.員工名單'!$A:$A,0))="兩款共用",INDEX('3.員工名單'!$H:$H,MATCH(A719,'3.員工名單'!$A:$A,0))=INDEX('1.職能辭典'!$J:$J,MATCH(F719,'1.職能辭典'!$C:$C,0))),OR(INDEX('1.職能辭典'!$K:$K,MATCH(F719,'1.職能辭典'!$C:$C,0))="全部",SUMPRODUCT(ISNUMBER(SEARCH({"經營","管理","財務","企劃","營運","技術","數據","美術","測試","客服"},INDEX('3.員工名單'!$I:$I,MATCH(A719,'3.員工名單'!$A:$A,0))))*ISNUMBER(SEARCH({"經營","管理","財務","企劃","營運","技術","數據","美術","測試","客服"},INDEX('1.職能辭典'!$K:$K,MATCH(F719,'1.職能辭典'!$C:$C,0)))))&gt;0)),INDEX('2.職務職能需求'!$B$2:$F$28,MATCH(F719,'2.職務職能需求'!$A$2:$A$28,0),MATCH(D719,'2.職務職能需求'!$B$1:$F$1,0)),0),""))</f>
        <v/>
      </c>
      <c r="H719" s="94" t="n"/>
      <c r="I719" s="94" t="n"/>
      <c r="J719" s="120">
        <f>IF(OR(G719="",I719="",G719=0),"",I719-G719)</f>
        <v/>
      </c>
      <c r="K719" s="120">
        <f>IF(G719="","",IF(G719=0,"不適用",IF(I719="","待評核",IF(I719&gt;=G719,IF(I719&gt;G719,"超越","達標"),"待發展"))))</f>
        <v/>
      </c>
      <c r="L719" s="91" t="n"/>
      <c r="M719" s="91" t="n"/>
      <c r="N719" s="88" t="n"/>
    </row>
    <row r="720" ht="15.75" customHeight="1" s="64">
      <c r="A720" s="88" t="n"/>
      <c r="B720" s="120">
        <f t="array" ref="B720:B720">IF(A720="","",IFERROR(INDEX('3.員工名單'!$B:$B,MATCH(A720,'3.員工名單'!$A:$A,0)),"查無此員工"))</f>
        <v/>
      </c>
      <c r="C720" s="120">
        <f t="array" ref="C720:C720">IF(A720="","",IFERROR(INDEX('3.員工名單'!$C:$C,MATCH(A720,'3.員工名單'!$A:$A,0)),""))</f>
        <v/>
      </c>
      <c r="D720" s="120">
        <f t="array" ref="D720:D720">IF(A720="","",IFERROR(INDEX('3.員工名單'!$D:$D,MATCH(A720,'3.員工名單'!$A:$A,0)),""))</f>
        <v/>
      </c>
      <c r="E720" s="120">
        <f t="array" ref="E720:E720">IF(F720="","",IFERROR(INDEX('1.職能辭典'!$A:$A,MATCH(F720,'1.職能辭典'!$C:$C,0)),""))</f>
        <v/>
      </c>
      <c r="F720" s="94" t="n"/>
      <c r="G720" s="120">
        <f t="array" ref="G720:G720">IF(OR(D720="",F720=""),"",IFERROR(IF(AND(OR(INDEX('1.職能辭典'!$J:$J,MATCH(F720,'1.職能辭典'!$C:$C,0))="全部",INDEX('3.員工名單'!$H:$H,MATCH(A720,'3.員工名單'!$A:$A,0))="兩款共用",INDEX('3.員工名單'!$H:$H,MATCH(A720,'3.員工名單'!$A:$A,0))=INDEX('1.職能辭典'!$J:$J,MATCH(F720,'1.職能辭典'!$C:$C,0))),OR(INDEX('1.職能辭典'!$K:$K,MATCH(F720,'1.職能辭典'!$C:$C,0))="全部",SUMPRODUCT(ISNUMBER(SEARCH({"經營","管理","財務","企劃","營運","技術","數據","美術","測試","客服"},INDEX('3.員工名單'!$I:$I,MATCH(A720,'3.員工名單'!$A:$A,0))))*ISNUMBER(SEARCH({"經營","管理","財務","企劃","營運","技術","數據","美術","測試","客服"},INDEX('1.職能辭典'!$K:$K,MATCH(F720,'1.職能辭典'!$C:$C,0)))))&gt;0)),INDEX('2.職務職能需求'!$B$2:$F$28,MATCH(F720,'2.職務職能需求'!$A$2:$A$28,0),MATCH(D720,'2.職務職能需求'!$B$1:$F$1,0)),0),""))</f>
        <v/>
      </c>
      <c r="H720" s="94" t="n"/>
      <c r="I720" s="94" t="n"/>
      <c r="J720" s="120">
        <f>IF(OR(G720="",I720="",G720=0),"",I720-G720)</f>
        <v/>
      </c>
      <c r="K720" s="120">
        <f>IF(G720="","",IF(G720=0,"不適用",IF(I720="","待評核",IF(I720&gt;=G720,IF(I720&gt;G720,"超越","達標"),"待發展"))))</f>
        <v/>
      </c>
      <c r="L720" s="91" t="n"/>
      <c r="M720" s="91" t="n"/>
      <c r="N720" s="88" t="n"/>
    </row>
    <row r="721" ht="15.75" customHeight="1" s="64">
      <c r="A721" s="88" t="n"/>
      <c r="B721" s="120">
        <f t="array" ref="B721:B721">IF(A721="","",IFERROR(INDEX('3.員工名單'!$B:$B,MATCH(A721,'3.員工名單'!$A:$A,0)),"查無此員工"))</f>
        <v/>
      </c>
      <c r="C721" s="120">
        <f t="array" ref="C721:C721">IF(A721="","",IFERROR(INDEX('3.員工名單'!$C:$C,MATCH(A721,'3.員工名單'!$A:$A,0)),""))</f>
        <v/>
      </c>
      <c r="D721" s="120">
        <f t="array" ref="D721:D721">IF(A721="","",IFERROR(INDEX('3.員工名單'!$D:$D,MATCH(A721,'3.員工名單'!$A:$A,0)),""))</f>
        <v/>
      </c>
      <c r="E721" s="120">
        <f t="array" ref="E721:E721">IF(F721="","",IFERROR(INDEX('1.職能辭典'!$A:$A,MATCH(F721,'1.職能辭典'!$C:$C,0)),""))</f>
        <v/>
      </c>
      <c r="F721" s="94" t="n"/>
      <c r="G721" s="120">
        <f t="array" ref="G721:G721">IF(OR(D721="",F721=""),"",IFERROR(IF(AND(OR(INDEX('1.職能辭典'!$J:$J,MATCH(F721,'1.職能辭典'!$C:$C,0))="全部",INDEX('3.員工名單'!$H:$H,MATCH(A721,'3.員工名單'!$A:$A,0))="兩款共用",INDEX('3.員工名單'!$H:$H,MATCH(A721,'3.員工名單'!$A:$A,0))=INDEX('1.職能辭典'!$J:$J,MATCH(F721,'1.職能辭典'!$C:$C,0))),OR(INDEX('1.職能辭典'!$K:$K,MATCH(F721,'1.職能辭典'!$C:$C,0))="全部",SUMPRODUCT(ISNUMBER(SEARCH({"經營","管理","財務","企劃","營運","技術","數據","美術","測試","客服"},INDEX('3.員工名單'!$I:$I,MATCH(A721,'3.員工名單'!$A:$A,0))))*ISNUMBER(SEARCH({"經營","管理","財務","企劃","營運","技術","數據","美術","測試","客服"},INDEX('1.職能辭典'!$K:$K,MATCH(F721,'1.職能辭典'!$C:$C,0)))))&gt;0)),INDEX('2.職務職能需求'!$B$2:$F$28,MATCH(F721,'2.職務職能需求'!$A$2:$A$28,0),MATCH(D721,'2.職務職能需求'!$B$1:$F$1,0)),0),""))</f>
        <v/>
      </c>
      <c r="H721" s="94" t="n"/>
      <c r="I721" s="94" t="n"/>
      <c r="J721" s="120">
        <f>IF(OR(G721="",I721="",G721=0),"",I721-G721)</f>
        <v/>
      </c>
      <c r="K721" s="120">
        <f>IF(G721="","",IF(G721=0,"不適用",IF(I721="","待評核",IF(I721&gt;=G721,IF(I721&gt;G721,"超越","達標"),"待發展"))))</f>
        <v/>
      </c>
      <c r="L721" s="91" t="n"/>
      <c r="M721" s="91" t="n"/>
      <c r="N721" s="88" t="n"/>
    </row>
    <row r="722" ht="15.75" customHeight="1" s="64">
      <c r="A722" s="88" t="n"/>
      <c r="B722" s="120">
        <f t="array" ref="B722:B722">IF(A722="","",IFERROR(INDEX('3.員工名單'!$B:$B,MATCH(A722,'3.員工名單'!$A:$A,0)),"查無此員工"))</f>
        <v/>
      </c>
      <c r="C722" s="120">
        <f t="array" ref="C722:C722">IF(A722="","",IFERROR(INDEX('3.員工名單'!$C:$C,MATCH(A722,'3.員工名單'!$A:$A,0)),""))</f>
        <v/>
      </c>
      <c r="D722" s="120">
        <f t="array" ref="D722:D722">IF(A722="","",IFERROR(INDEX('3.員工名單'!$D:$D,MATCH(A722,'3.員工名單'!$A:$A,0)),""))</f>
        <v/>
      </c>
      <c r="E722" s="120">
        <f t="array" ref="E722:E722">IF(F722="","",IFERROR(INDEX('1.職能辭典'!$A:$A,MATCH(F722,'1.職能辭典'!$C:$C,0)),""))</f>
        <v/>
      </c>
      <c r="F722" s="94" t="n"/>
      <c r="G722" s="120">
        <f t="array" ref="G722:G722">IF(OR(D722="",F722=""),"",IFERROR(IF(AND(OR(INDEX('1.職能辭典'!$J:$J,MATCH(F722,'1.職能辭典'!$C:$C,0))="全部",INDEX('3.員工名單'!$H:$H,MATCH(A722,'3.員工名單'!$A:$A,0))="兩款共用",INDEX('3.員工名單'!$H:$H,MATCH(A722,'3.員工名單'!$A:$A,0))=INDEX('1.職能辭典'!$J:$J,MATCH(F722,'1.職能辭典'!$C:$C,0))),OR(INDEX('1.職能辭典'!$K:$K,MATCH(F722,'1.職能辭典'!$C:$C,0))="全部",SUMPRODUCT(ISNUMBER(SEARCH({"經營","管理","財務","企劃","營運","技術","數據","美術","測試","客服"},INDEX('3.員工名單'!$I:$I,MATCH(A722,'3.員工名單'!$A:$A,0))))*ISNUMBER(SEARCH({"經營","管理","財務","企劃","營運","技術","數據","美術","測試","客服"},INDEX('1.職能辭典'!$K:$K,MATCH(F722,'1.職能辭典'!$C:$C,0)))))&gt;0)),INDEX('2.職務職能需求'!$B$2:$F$28,MATCH(F722,'2.職務職能需求'!$A$2:$A$28,0),MATCH(D722,'2.職務職能需求'!$B$1:$F$1,0)),0),""))</f>
        <v/>
      </c>
      <c r="H722" s="94" t="n"/>
      <c r="I722" s="94" t="n"/>
      <c r="J722" s="120">
        <f>IF(OR(G722="",I722="",G722=0),"",I722-G722)</f>
        <v/>
      </c>
      <c r="K722" s="120">
        <f>IF(G722="","",IF(G722=0,"不適用",IF(I722="","待評核",IF(I722&gt;=G722,IF(I722&gt;G722,"超越","達標"),"待發展"))))</f>
        <v/>
      </c>
      <c r="L722" s="91" t="n"/>
      <c r="M722" s="91" t="n"/>
      <c r="N722" s="88" t="n"/>
    </row>
    <row r="723" ht="15.75" customHeight="1" s="64">
      <c r="A723" s="88" t="n"/>
      <c r="B723" s="120">
        <f t="array" ref="B723:B723">IF(A723="","",IFERROR(INDEX('3.員工名單'!$B:$B,MATCH(A723,'3.員工名單'!$A:$A,0)),"查無此員工"))</f>
        <v/>
      </c>
      <c r="C723" s="120">
        <f t="array" ref="C723:C723">IF(A723="","",IFERROR(INDEX('3.員工名單'!$C:$C,MATCH(A723,'3.員工名單'!$A:$A,0)),""))</f>
        <v/>
      </c>
      <c r="D723" s="120">
        <f t="array" ref="D723:D723">IF(A723="","",IFERROR(INDEX('3.員工名單'!$D:$D,MATCH(A723,'3.員工名單'!$A:$A,0)),""))</f>
        <v/>
      </c>
      <c r="E723" s="120">
        <f t="array" ref="E723:E723">IF(F723="","",IFERROR(INDEX('1.職能辭典'!$A:$A,MATCH(F723,'1.職能辭典'!$C:$C,0)),""))</f>
        <v/>
      </c>
      <c r="F723" s="94" t="n"/>
      <c r="G723" s="120">
        <f t="array" ref="G723:G723">IF(OR(D723="",F723=""),"",IFERROR(IF(AND(OR(INDEX('1.職能辭典'!$J:$J,MATCH(F723,'1.職能辭典'!$C:$C,0))="全部",INDEX('3.員工名單'!$H:$H,MATCH(A723,'3.員工名單'!$A:$A,0))="兩款共用",INDEX('3.員工名單'!$H:$H,MATCH(A723,'3.員工名單'!$A:$A,0))=INDEX('1.職能辭典'!$J:$J,MATCH(F723,'1.職能辭典'!$C:$C,0))),OR(INDEX('1.職能辭典'!$K:$K,MATCH(F723,'1.職能辭典'!$C:$C,0))="全部",SUMPRODUCT(ISNUMBER(SEARCH({"經營","管理","財務","企劃","營運","技術","數據","美術","測試","客服"},INDEX('3.員工名單'!$I:$I,MATCH(A723,'3.員工名單'!$A:$A,0))))*ISNUMBER(SEARCH({"經營","管理","財務","企劃","營運","技術","數據","美術","測試","客服"},INDEX('1.職能辭典'!$K:$K,MATCH(F723,'1.職能辭典'!$C:$C,0)))))&gt;0)),INDEX('2.職務職能需求'!$B$2:$F$28,MATCH(F723,'2.職務職能需求'!$A$2:$A$28,0),MATCH(D723,'2.職務職能需求'!$B$1:$F$1,0)),0),""))</f>
        <v/>
      </c>
      <c r="H723" s="94" t="n"/>
      <c r="I723" s="94" t="n"/>
      <c r="J723" s="120">
        <f>IF(OR(G723="",I723="",G723=0),"",I723-G723)</f>
        <v/>
      </c>
      <c r="K723" s="120">
        <f>IF(G723="","",IF(G723=0,"不適用",IF(I723="","待評核",IF(I723&gt;=G723,IF(I723&gt;G723,"超越","達標"),"待發展"))))</f>
        <v/>
      </c>
      <c r="L723" s="91" t="n"/>
      <c r="M723" s="91" t="n"/>
      <c r="N723" s="88" t="n"/>
    </row>
    <row r="724" ht="15.75" customHeight="1" s="64">
      <c r="A724" s="88" t="n"/>
      <c r="B724" s="120">
        <f t="array" ref="B724:B724">IF(A724="","",IFERROR(INDEX('3.員工名單'!$B:$B,MATCH(A724,'3.員工名單'!$A:$A,0)),"查無此員工"))</f>
        <v/>
      </c>
      <c r="C724" s="120">
        <f t="array" ref="C724:C724">IF(A724="","",IFERROR(INDEX('3.員工名單'!$C:$C,MATCH(A724,'3.員工名單'!$A:$A,0)),""))</f>
        <v/>
      </c>
      <c r="D724" s="120">
        <f t="array" ref="D724:D724">IF(A724="","",IFERROR(INDEX('3.員工名單'!$D:$D,MATCH(A724,'3.員工名單'!$A:$A,0)),""))</f>
        <v/>
      </c>
      <c r="E724" s="120">
        <f t="array" ref="E724:E724">IF(F724="","",IFERROR(INDEX('1.職能辭典'!$A:$A,MATCH(F724,'1.職能辭典'!$C:$C,0)),""))</f>
        <v/>
      </c>
      <c r="F724" s="94" t="n"/>
      <c r="G724" s="120">
        <f t="array" ref="G724:G724">IF(OR(D724="",F724=""),"",IFERROR(IF(AND(OR(INDEX('1.職能辭典'!$J:$J,MATCH(F724,'1.職能辭典'!$C:$C,0))="全部",INDEX('3.員工名單'!$H:$H,MATCH(A724,'3.員工名單'!$A:$A,0))="兩款共用",INDEX('3.員工名單'!$H:$H,MATCH(A724,'3.員工名單'!$A:$A,0))=INDEX('1.職能辭典'!$J:$J,MATCH(F724,'1.職能辭典'!$C:$C,0))),OR(INDEX('1.職能辭典'!$K:$K,MATCH(F724,'1.職能辭典'!$C:$C,0))="全部",SUMPRODUCT(ISNUMBER(SEARCH({"經營","管理","財務","企劃","營運","技術","數據","美術","測試","客服"},INDEX('3.員工名單'!$I:$I,MATCH(A724,'3.員工名單'!$A:$A,0))))*ISNUMBER(SEARCH({"經營","管理","財務","企劃","營運","技術","數據","美術","測試","客服"},INDEX('1.職能辭典'!$K:$K,MATCH(F724,'1.職能辭典'!$C:$C,0)))))&gt;0)),INDEX('2.職務職能需求'!$B$2:$F$28,MATCH(F724,'2.職務職能需求'!$A$2:$A$28,0),MATCH(D724,'2.職務職能需求'!$B$1:$F$1,0)),0),""))</f>
        <v/>
      </c>
      <c r="H724" s="94" t="n"/>
      <c r="I724" s="94" t="n"/>
      <c r="J724" s="120">
        <f>IF(OR(G724="",I724="",G724=0),"",I724-G724)</f>
        <v/>
      </c>
      <c r="K724" s="120">
        <f>IF(G724="","",IF(G724=0,"不適用",IF(I724="","待評核",IF(I724&gt;=G724,IF(I724&gt;G724,"超越","達標"),"待發展"))))</f>
        <v/>
      </c>
      <c r="L724" s="91" t="n"/>
      <c r="M724" s="91" t="n"/>
      <c r="N724" s="88" t="n"/>
    </row>
    <row r="725" ht="15.75" customHeight="1" s="64">
      <c r="A725" s="88" t="n"/>
      <c r="B725" s="120">
        <f t="array" ref="B725:B725">IF(A725="","",IFERROR(INDEX('3.員工名單'!$B:$B,MATCH(A725,'3.員工名單'!$A:$A,0)),"查無此員工"))</f>
        <v/>
      </c>
      <c r="C725" s="120">
        <f t="array" ref="C725:C725">IF(A725="","",IFERROR(INDEX('3.員工名單'!$C:$C,MATCH(A725,'3.員工名單'!$A:$A,0)),""))</f>
        <v/>
      </c>
      <c r="D725" s="120">
        <f t="array" ref="D725:D725">IF(A725="","",IFERROR(INDEX('3.員工名單'!$D:$D,MATCH(A725,'3.員工名單'!$A:$A,0)),""))</f>
        <v/>
      </c>
      <c r="E725" s="120">
        <f t="array" ref="E725:E725">IF(F725="","",IFERROR(INDEX('1.職能辭典'!$A:$A,MATCH(F725,'1.職能辭典'!$C:$C,0)),""))</f>
        <v/>
      </c>
      <c r="F725" s="94" t="n"/>
      <c r="G725" s="120">
        <f t="array" ref="G725:G725">IF(OR(D725="",F725=""),"",IFERROR(IF(AND(OR(INDEX('1.職能辭典'!$J:$J,MATCH(F725,'1.職能辭典'!$C:$C,0))="全部",INDEX('3.員工名單'!$H:$H,MATCH(A725,'3.員工名單'!$A:$A,0))="兩款共用",INDEX('3.員工名單'!$H:$H,MATCH(A725,'3.員工名單'!$A:$A,0))=INDEX('1.職能辭典'!$J:$J,MATCH(F725,'1.職能辭典'!$C:$C,0))),OR(INDEX('1.職能辭典'!$K:$K,MATCH(F725,'1.職能辭典'!$C:$C,0))="全部",SUMPRODUCT(ISNUMBER(SEARCH({"經營","管理","財務","企劃","營運","技術","數據","美術","測試","客服"},INDEX('3.員工名單'!$I:$I,MATCH(A725,'3.員工名單'!$A:$A,0))))*ISNUMBER(SEARCH({"經營","管理","財務","企劃","營運","技術","數據","美術","測試","客服"},INDEX('1.職能辭典'!$K:$K,MATCH(F725,'1.職能辭典'!$C:$C,0)))))&gt;0)),INDEX('2.職務職能需求'!$B$2:$F$28,MATCH(F725,'2.職務職能需求'!$A$2:$A$28,0),MATCH(D725,'2.職務職能需求'!$B$1:$F$1,0)),0),""))</f>
        <v/>
      </c>
      <c r="H725" s="94" t="n"/>
      <c r="I725" s="94" t="n"/>
      <c r="J725" s="120">
        <f>IF(OR(G725="",I725="",G725=0),"",I725-G725)</f>
        <v/>
      </c>
      <c r="K725" s="120">
        <f>IF(G725="","",IF(G725=0,"不適用",IF(I725="","待評核",IF(I725&gt;=G725,IF(I725&gt;G725,"超越","達標"),"待發展"))))</f>
        <v/>
      </c>
      <c r="L725" s="91" t="n"/>
      <c r="M725" s="91" t="n"/>
      <c r="N725" s="88" t="n"/>
    </row>
    <row r="726" ht="15.75" customHeight="1" s="64">
      <c r="A726" s="88" t="n"/>
      <c r="B726" s="120">
        <f t="array" ref="B726:B726">IF(A726="","",IFERROR(INDEX('3.員工名單'!$B:$B,MATCH(A726,'3.員工名單'!$A:$A,0)),"查無此員工"))</f>
        <v/>
      </c>
      <c r="C726" s="120">
        <f t="array" ref="C726:C726">IF(A726="","",IFERROR(INDEX('3.員工名單'!$C:$C,MATCH(A726,'3.員工名單'!$A:$A,0)),""))</f>
        <v/>
      </c>
      <c r="D726" s="120">
        <f t="array" ref="D726:D726">IF(A726="","",IFERROR(INDEX('3.員工名單'!$D:$D,MATCH(A726,'3.員工名單'!$A:$A,0)),""))</f>
        <v/>
      </c>
      <c r="E726" s="120">
        <f t="array" ref="E726:E726">IF(F726="","",IFERROR(INDEX('1.職能辭典'!$A:$A,MATCH(F726,'1.職能辭典'!$C:$C,0)),""))</f>
        <v/>
      </c>
      <c r="F726" s="94" t="n"/>
      <c r="G726" s="120">
        <f t="array" ref="G726:G726">IF(OR(D726="",F726=""),"",IFERROR(IF(AND(OR(INDEX('1.職能辭典'!$J:$J,MATCH(F726,'1.職能辭典'!$C:$C,0))="全部",INDEX('3.員工名單'!$H:$H,MATCH(A726,'3.員工名單'!$A:$A,0))="兩款共用",INDEX('3.員工名單'!$H:$H,MATCH(A726,'3.員工名單'!$A:$A,0))=INDEX('1.職能辭典'!$J:$J,MATCH(F726,'1.職能辭典'!$C:$C,0))),OR(INDEX('1.職能辭典'!$K:$K,MATCH(F726,'1.職能辭典'!$C:$C,0))="全部",SUMPRODUCT(ISNUMBER(SEARCH({"經營","管理","財務","企劃","營運","技術","數據","美術","測試","客服"},INDEX('3.員工名單'!$I:$I,MATCH(A726,'3.員工名單'!$A:$A,0))))*ISNUMBER(SEARCH({"經營","管理","財務","企劃","營運","技術","數據","美術","測試","客服"},INDEX('1.職能辭典'!$K:$K,MATCH(F726,'1.職能辭典'!$C:$C,0)))))&gt;0)),INDEX('2.職務職能需求'!$B$2:$F$28,MATCH(F726,'2.職務職能需求'!$A$2:$A$28,0),MATCH(D726,'2.職務職能需求'!$B$1:$F$1,0)),0),""))</f>
        <v/>
      </c>
      <c r="H726" s="94" t="n"/>
      <c r="I726" s="94" t="n"/>
      <c r="J726" s="120">
        <f>IF(OR(G726="",I726="",G726=0),"",I726-G726)</f>
        <v/>
      </c>
      <c r="K726" s="120">
        <f>IF(G726="","",IF(G726=0,"不適用",IF(I726="","待評核",IF(I726&gt;=G726,IF(I726&gt;G726,"超越","達標"),"待發展"))))</f>
        <v/>
      </c>
      <c r="L726" s="91" t="n"/>
      <c r="M726" s="91" t="n"/>
      <c r="N726" s="88" t="n"/>
    </row>
    <row r="727" ht="15.75" customHeight="1" s="64">
      <c r="A727" s="88" t="n"/>
      <c r="B727" s="120">
        <f t="array" ref="B727:B727">IF(A727="","",IFERROR(INDEX('3.員工名單'!$B:$B,MATCH(A727,'3.員工名單'!$A:$A,0)),"查無此員工"))</f>
        <v/>
      </c>
      <c r="C727" s="120">
        <f t="array" ref="C727:C727">IF(A727="","",IFERROR(INDEX('3.員工名單'!$C:$C,MATCH(A727,'3.員工名單'!$A:$A,0)),""))</f>
        <v/>
      </c>
      <c r="D727" s="120">
        <f t="array" ref="D727:D727">IF(A727="","",IFERROR(INDEX('3.員工名單'!$D:$D,MATCH(A727,'3.員工名單'!$A:$A,0)),""))</f>
        <v/>
      </c>
      <c r="E727" s="120">
        <f t="array" ref="E727:E727">IF(F727="","",IFERROR(INDEX('1.職能辭典'!$A:$A,MATCH(F727,'1.職能辭典'!$C:$C,0)),""))</f>
        <v/>
      </c>
      <c r="F727" s="94" t="n"/>
      <c r="G727" s="120">
        <f t="array" ref="G727:G727">IF(OR(D727="",F727=""),"",IFERROR(IF(AND(OR(INDEX('1.職能辭典'!$J:$J,MATCH(F727,'1.職能辭典'!$C:$C,0))="全部",INDEX('3.員工名單'!$H:$H,MATCH(A727,'3.員工名單'!$A:$A,0))="兩款共用",INDEX('3.員工名單'!$H:$H,MATCH(A727,'3.員工名單'!$A:$A,0))=INDEX('1.職能辭典'!$J:$J,MATCH(F727,'1.職能辭典'!$C:$C,0))),OR(INDEX('1.職能辭典'!$K:$K,MATCH(F727,'1.職能辭典'!$C:$C,0))="全部",SUMPRODUCT(ISNUMBER(SEARCH({"經營","管理","財務","企劃","營運","技術","數據","美術","測試","客服"},INDEX('3.員工名單'!$I:$I,MATCH(A727,'3.員工名單'!$A:$A,0))))*ISNUMBER(SEARCH({"經營","管理","財務","企劃","營運","技術","數據","美術","測試","客服"},INDEX('1.職能辭典'!$K:$K,MATCH(F727,'1.職能辭典'!$C:$C,0)))))&gt;0)),INDEX('2.職務職能需求'!$B$2:$F$28,MATCH(F727,'2.職務職能需求'!$A$2:$A$28,0),MATCH(D727,'2.職務職能需求'!$B$1:$F$1,0)),0),""))</f>
        <v/>
      </c>
      <c r="H727" s="94" t="n"/>
      <c r="I727" s="94" t="n"/>
      <c r="J727" s="120">
        <f>IF(OR(G727="",I727="",G727=0),"",I727-G727)</f>
        <v/>
      </c>
      <c r="K727" s="120">
        <f>IF(G727="","",IF(G727=0,"不適用",IF(I727="","待評核",IF(I727&gt;=G727,IF(I727&gt;G727,"超越","達標"),"待發展"))))</f>
        <v/>
      </c>
      <c r="L727" s="91" t="n"/>
      <c r="M727" s="91" t="n"/>
      <c r="N727" s="88" t="n"/>
    </row>
    <row r="728" ht="15.75" customHeight="1" s="64">
      <c r="A728" s="88" t="n"/>
      <c r="B728" s="120">
        <f t="array" ref="B728:B728">IF(A728="","",IFERROR(INDEX('3.員工名單'!$B:$B,MATCH(A728,'3.員工名單'!$A:$A,0)),"查無此員工"))</f>
        <v/>
      </c>
      <c r="C728" s="120">
        <f t="array" ref="C728:C728">IF(A728="","",IFERROR(INDEX('3.員工名單'!$C:$C,MATCH(A728,'3.員工名單'!$A:$A,0)),""))</f>
        <v/>
      </c>
      <c r="D728" s="120">
        <f t="array" ref="D728:D728">IF(A728="","",IFERROR(INDEX('3.員工名單'!$D:$D,MATCH(A728,'3.員工名單'!$A:$A,0)),""))</f>
        <v/>
      </c>
      <c r="E728" s="120">
        <f t="array" ref="E728:E728">IF(F728="","",IFERROR(INDEX('1.職能辭典'!$A:$A,MATCH(F728,'1.職能辭典'!$C:$C,0)),""))</f>
        <v/>
      </c>
      <c r="F728" s="94" t="n"/>
      <c r="G728" s="120">
        <f t="array" ref="G728:G728">IF(OR(D728="",F728=""),"",IFERROR(IF(AND(OR(INDEX('1.職能辭典'!$J:$J,MATCH(F728,'1.職能辭典'!$C:$C,0))="全部",INDEX('3.員工名單'!$H:$H,MATCH(A728,'3.員工名單'!$A:$A,0))="兩款共用",INDEX('3.員工名單'!$H:$H,MATCH(A728,'3.員工名單'!$A:$A,0))=INDEX('1.職能辭典'!$J:$J,MATCH(F728,'1.職能辭典'!$C:$C,0))),OR(INDEX('1.職能辭典'!$K:$K,MATCH(F728,'1.職能辭典'!$C:$C,0))="全部",SUMPRODUCT(ISNUMBER(SEARCH({"經營","管理","財務","企劃","營運","技術","數據","美術","測試","客服"},INDEX('3.員工名單'!$I:$I,MATCH(A728,'3.員工名單'!$A:$A,0))))*ISNUMBER(SEARCH({"經營","管理","財務","企劃","營運","技術","數據","美術","測試","客服"},INDEX('1.職能辭典'!$K:$K,MATCH(F728,'1.職能辭典'!$C:$C,0)))))&gt;0)),INDEX('2.職務職能需求'!$B$2:$F$28,MATCH(F728,'2.職務職能需求'!$A$2:$A$28,0),MATCH(D728,'2.職務職能需求'!$B$1:$F$1,0)),0),""))</f>
        <v/>
      </c>
      <c r="H728" s="94" t="n"/>
      <c r="I728" s="94" t="n"/>
      <c r="J728" s="120">
        <f>IF(OR(G728="",I728="",G728=0),"",I728-G728)</f>
        <v/>
      </c>
      <c r="K728" s="120">
        <f>IF(G728="","",IF(G728=0,"不適用",IF(I728="","待評核",IF(I728&gt;=G728,IF(I728&gt;G728,"超越","達標"),"待發展"))))</f>
        <v/>
      </c>
      <c r="L728" s="91" t="n"/>
      <c r="M728" s="91" t="n"/>
      <c r="N728" s="88" t="n"/>
    </row>
    <row r="729" ht="15.75" customHeight="1" s="64">
      <c r="A729" s="88" t="n"/>
      <c r="B729" s="120">
        <f t="array" ref="B729:B729">IF(A729="","",IFERROR(INDEX('3.員工名單'!$B:$B,MATCH(A729,'3.員工名單'!$A:$A,0)),"查無此員工"))</f>
        <v/>
      </c>
      <c r="C729" s="120">
        <f t="array" ref="C729:C729">IF(A729="","",IFERROR(INDEX('3.員工名單'!$C:$C,MATCH(A729,'3.員工名單'!$A:$A,0)),""))</f>
        <v/>
      </c>
      <c r="D729" s="120">
        <f t="array" ref="D729:D729">IF(A729="","",IFERROR(INDEX('3.員工名單'!$D:$D,MATCH(A729,'3.員工名單'!$A:$A,0)),""))</f>
        <v/>
      </c>
      <c r="E729" s="120">
        <f t="array" ref="E729:E729">IF(F729="","",IFERROR(INDEX('1.職能辭典'!$A:$A,MATCH(F729,'1.職能辭典'!$C:$C,0)),""))</f>
        <v/>
      </c>
      <c r="F729" s="94" t="n"/>
      <c r="G729" s="120">
        <f t="array" ref="G729:G729">IF(OR(D729="",F729=""),"",IFERROR(IF(AND(OR(INDEX('1.職能辭典'!$J:$J,MATCH(F729,'1.職能辭典'!$C:$C,0))="全部",INDEX('3.員工名單'!$H:$H,MATCH(A729,'3.員工名單'!$A:$A,0))="兩款共用",INDEX('3.員工名單'!$H:$H,MATCH(A729,'3.員工名單'!$A:$A,0))=INDEX('1.職能辭典'!$J:$J,MATCH(F729,'1.職能辭典'!$C:$C,0))),OR(INDEX('1.職能辭典'!$K:$K,MATCH(F729,'1.職能辭典'!$C:$C,0))="全部",SUMPRODUCT(ISNUMBER(SEARCH({"經營","管理","財務","企劃","營運","技術","數據","美術","測試","客服"},INDEX('3.員工名單'!$I:$I,MATCH(A729,'3.員工名單'!$A:$A,0))))*ISNUMBER(SEARCH({"經營","管理","財務","企劃","營運","技術","數據","美術","測試","客服"},INDEX('1.職能辭典'!$K:$K,MATCH(F729,'1.職能辭典'!$C:$C,0)))))&gt;0)),INDEX('2.職務職能需求'!$B$2:$F$28,MATCH(F729,'2.職務職能需求'!$A$2:$A$28,0),MATCH(D729,'2.職務職能需求'!$B$1:$F$1,0)),0),""))</f>
        <v/>
      </c>
      <c r="H729" s="94" t="n"/>
      <c r="I729" s="94" t="n"/>
      <c r="J729" s="120">
        <f>IF(OR(G729="",I729="",G729=0),"",I729-G729)</f>
        <v/>
      </c>
      <c r="K729" s="120">
        <f>IF(G729="","",IF(G729=0,"不適用",IF(I729="","待評核",IF(I729&gt;=G729,IF(I729&gt;G729,"超越","達標"),"待發展"))))</f>
        <v/>
      </c>
      <c r="L729" s="91" t="n"/>
      <c r="M729" s="91" t="n"/>
      <c r="N729" s="88" t="n"/>
    </row>
    <row r="730" ht="15.75" customHeight="1" s="64">
      <c r="A730" s="88" t="n"/>
      <c r="B730" s="120">
        <f t="array" ref="B730:B730">IF(A730="","",IFERROR(INDEX('3.員工名單'!$B:$B,MATCH(A730,'3.員工名單'!$A:$A,0)),"查無此員工"))</f>
        <v/>
      </c>
      <c r="C730" s="120">
        <f t="array" ref="C730:C730">IF(A730="","",IFERROR(INDEX('3.員工名單'!$C:$C,MATCH(A730,'3.員工名單'!$A:$A,0)),""))</f>
        <v/>
      </c>
      <c r="D730" s="120">
        <f t="array" ref="D730:D730">IF(A730="","",IFERROR(INDEX('3.員工名單'!$D:$D,MATCH(A730,'3.員工名單'!$A:$A,0)),""))</f>
        <v/>
      </c>
      <c r="E730" s="120">
        <f t="array" ref="E730:E730">IF(F730="","",IFERROR(INDEX('1.職能辭典'!$A:$A,MATCH(F730,'1.職能辭典'!$C:$C,0)),""))</f>
        <v/>
      </c>
      <c r="F730" s="94" t="n"/>
      <c r="G730" s="120">
        <f t="array" ref="G730:G730">IF(OR(D730="",F730=""),"",IFERROR(IF(AND(OR(INDEX('1.職能辭典'!$J:$J,MATCH(F730,'1.職能辭典'!$C:$C,0))="全部",INDEX('3.員工名單'!$H:$H,MATCH(A730,'3.員工名單'!$A:$A,0))="兩款共用",INDEX('3.員工名單'!$H:$H,MATCH(A730,'3.員工名單'!$A:$A,0))=INDEX('1.職能辭典'!$J:$J,MATCH(F730,'1.職能辭典'!$C:$C,0))),OR(INDEX('1.職能辭典'!$K:$K,MATCH(F730,'1.職能辭典'!$C:$C,0))="全部",SUMPRODUCT(ISNUMBER(SEARCH({"經營","管理","財務","企劃","營運","技術","數據","美術","測試","客服"},INDEX('3.員工名單'!$I:$I,MATCH(A730,'3.員工名單'!$A:$A,0))))*ISNUMBER(SEARCH({"經營","管理","財務","企劃","營運","技術","數據","美術","測試","客服"},INDEX('1.職能辭典'!$K:$K,MATCH(F730,'1.職能辭典'!$C:$C,0)))))&gt;0)),INDEX('2.職務職能需求'!$B$2:$F$28,MATCH(F730,'2.職務職能需求'!$A$2:$A$28,0),MATCH(D730,'2.職務職能需求'!$B$1:$F$1,0)),0),""))</f>
        <v/>
      </c>
      <c r="H730" s="94" t="n"/>
      <c r="I730" s="94" t="n"/>
      <c r="J730" s="120">
        <f>IF(OR(G730="",I730="",G730=0),"",I730-G730)</f>
        <v/>
      </c>
      <c r="K730" s="120">
        <f>IF(G730="","",IF(G730=0,"不適用",IF(I730="","待評核",IF(I730&gt;=G730,IF(I730&gt;G730,"超越","達標"),"待發展"))))</f>
        <v/>
      </c>
      <c r="L730" s="91" t="n"/>
      <c r="M730" s="91" t="n"/>
      <c r="N730" s="88" t="n"/>
    </row>
    <row r="731" ht="15.75" customHeight="1" s="64">
      <c r="A731" s="88" t="n"/>
      <c r="B731" s="120">
        <f t="array" ref="B731:B731">IF(A731="","",IFERROR(INDEX('3.員工名單'!$B:$B,MATCH(A731,'3.員工名單'!$A:$A,0)),"查無此員工"))</f>
        <v/>
      </c>
      <c r="C731" s="120">
        <f t="array" ref="C731:C731">IF(A731="","",IFERROR(INDEX('3.員工名單'!$C:$C,MATCH(A731,'3.員工名單'!$A:$A,0)),""))</f>
        <v/>
      </c>
      <c r="D731" s="120">
        <f t="array" ref="D731:D731">IF(A731="","",IFERROR(INDEX('3.員工名單'!$D:$D,MATCH(A731,'3.員工名單'!$A:$A,0)),""))</f>
        <v/>
      </c>
      <c r="E731" s="120">
        <f t="array" ref="E731:E731">IF(F731="","",IFERROR(INDEX('1.職能辭典'!$A:$A,MATCH(F731,'1.職能辭典'!$C:$C,0)),""))</f>
        <v/>
      </c>
      <c r="F731" s="94" t="n"/>
      <c r="G731" s="120">
        <f t="array" ref="G731:G731">IF(OR(D731="",F731=""),"",IFERROR(IF(AND(OR(INDEX('1.職能辭典'!$J:$J,MATCH(F731,'1.職能辭典'!$C:$C,0))="全部",INDEX('3.員工名單'!$H:$H,MATCH(A731,'3.員工名單'!$A:$A,0))="兩款共用",INDEX('3.員工名單'!$H:$H,MATCH(A731,'3.員工名單'!$A:$A,0))=INDEX('1.職能辭典'!$J:$J,MATCH(F731,'1.職能辭典'!$C:$C,0))),OR(INDEX('1.職能辭典'!$K:$K,MATCH(F731,'1.職能辭典'!$C:$C,0))="全部",SUMPRODUCT(ISNUMBER(SEARCH({"經營","管理","財務","企劃","營運","技術","數據","美術","測試","客服"},INDEX('3.員工名單'!$I:$I,MATCH(A731,'3.員工名單'!$A:$A,0))))*ISNUMBER(SEARCH({"經營","管理","財務","企劃","營運","技術","數據","美術","測試","客服"},INDEX('1.職能辭典'!$K:$K,MATCH(F731,'1.職能辭典'!$C:$C,0)))))&gt;0)),INDEX('2.職務職能需求'!$B$2:$F$28,MATCH(F731,'2.職務職能需求'!$A$2:$A$28,0),MATCH(D731,'2.職務職能需求'!$B$1:$F$1,0)),0),""))</f>
        <v/>
      </c>
      <c r="H731" s="94" t="n"/>
      <c r="I731" s="94" t="n"/>
      <c r="J731" s="120">
        <f>IF(OR(G731="",I731="",G731=0),"",I731-G731)</f>
        <v/>
      </c>
      <c r="K731" s="120">
        <f>IF(G731="","",IF(G731=0,"不適用",IF(I731="","待評核",IF(I731&gt;=G731,IF(I731&gt;G731,"超越","達標"),"待發展"))))</f>
        <v/>
      </c>
      <c r="L731" s="91" t="n"/>
      <c r="M731" s="91" t="n"/>
      <c r="N731" s="88" t="n"/>
    </row>
    <row r="732" ht="15.75" customHeight="1" s="64">
      <c r="A732" s="88" t="n"/>
      <c r="B732" s="120">
        <f t="array" ref="B732:B732">IF(A732="","",IFERROR(INDEX('3.員工名單'!$B:$B,MATCH(A732,'3.員工名單'!$A:$A,0)),"查無此員工"))</f>
        <v/>
      </c>
      <c r="C732" s="120">
        <f t="array" ref="C732:C732">IF(A732="","",IFERROR(INDEX('3.員工名單'!$C:$C,MATCH(A732,'3.員工名單'!$A:$A,0)),""))</f>
        <v/>
      </c>
      <c r="D732" s="120">
        <f t="array" ref="D732:D732">IF(A732="","",IFERROR(INDEX('3.員工名單'!$D:$D,MATCH(A732,'3.員工名單'!$A:$A,0)),""))</f>
        <v/>
      </c>
      <c r="E732" s="120">
        <f t="array" ref="E732:E732">IF(F732="","",IFERROR(INDEX('1.職能辭典'!$A:$A,MATCH(F732,'1.職能辭典'!$C:$C,0)),""))</f>
        <v/>
      </c>
      <c r="F732" s="94" t="n"/>
      <c r="G732" s="120">
        <f t="array" ref="G732:G732">IF(OR(D732="",F732=""),"",IFERROR(IF(AND(OR(INDEX('1.職能辭典'!$J:$J,MATCH(F732,'1.職能辭典'!$C:$C,0))="全部",INDEX('3.員工名單'!$H:$H,MATCH(A732,'3.員工名單'!$A:$A,0))="兩款共用",INDEX('3.員工名單'!$H:$H,MATCH(A732,'3.員工名單'!$A:$A,0))=INDEX('1.職能辭典'!$J:$J,MATCH(F732,'1.職能辭典'!$C:$C,0))),OR(INDEX('1.職能辭典'!$K:$K,MATCH(F732,'1.職能辭典'!$C:$C,0))="全部",SUMPRODUCT(ISNUMBER(SEARCH({"經營","管理","財務","企劃","營運","技術","數據","美術","測試","客服"},INDEX('3.員工名單'!$I:$I,MATCH(A732,'3.員工名單'!$A:$A,0))))*ISNUMBER(SEARCH({"經營","管理","財務","企劃","營運","技術","數據","美術","測試","客服"},INDEX('1.職能辭典'!$K:$K,MATCH(F732,'1.職能辭典'!$C:$C,0)))))&gt;0)),INDEX('2.職務職能需求'!$B$2:$F$28,MATCH(F732,'2.職務職能需求'!$A$2:$A$28,0),MATCH(D732,'2.職務職能需求'!$B$1:$F$1,0)),0),""))</f>
        <v/>
      </c>
      <c r="H732" s="94" t="n"/>
      <c r="I732" s="94" t="n"/>
      <c r="J732" s="120">
        <f>IF(OR(G732="",I732="",G732=0),"",I732-G732)</f>
        <v/>
      </c>
      <c r="K732" s="120">
        <f>IF(G732="","",IF(G732=0,"不適用",IF(I732="","待評核",IF(I732&gt;=G732,IF(I732&gt;G732,"超越","達標"),"待發展"))))</f>
        <v/>
      </c>
      <c r="L732" s="91" t="n"/>
      <c r="M732" s="91" t="n"/>
      <c r="N732" s="88" t="n"/>
    </row>
    <row r="733" ht="15.75" customHeight="1" s="64">
      <c r="A733" s="88" t="n"/>
      <c r="B733" s="120">
        <f t="array" ref="B733:B733">IF(A733="","",IFERROR(INDEX('3.員工名單'!$B:$B,MATCH(A733,'3.員工名單'!$A:$A,0)),"查無此員工"))</f>
        <v/>
      </c>
      <c r="C733" s="120">
        <f t="array" ref="C733:C733">IF(A733="","",IFERROR(INDEX('3.員工名單'!$C:$C,MATCH(A733,'3.員工名單'!$A:$A,0)),""))</f>
        <v/>
      </c>
      <c r="D733" s="120">
        <f t="array" ref="D733:D733">IF(A733="","",IFERROR(INDEX('3.員工名單'!$D:$D,MATCH(A733,'3.員工名單'!$A:$A,0)),""))</f>
        <v/>
      </c>
      <c r="E733" s="120">
        <f t="array" ref="E733:E733">IF(F733="","",IFERROR(INDEX('1.職能辭典'!$A:$A,MATCH(F733,'1.職能辭典'!$C:$C,0)),""))</f>
        <v/>
      </c>
      <c r="F733" s="94" t="n"/>
      <c r="G733" s="120">
        <f t="array" ref="G733:G733">IF(OR(D733="",F733=""),"",IFERROR(IF(AND(OR(INDEX('1.職能辭典'!$J:$J,MATCH(F733,'1.職能辭典'!$C:$C,0))="全部",INDEX('3.員工名單'!$H:$H,MATCH(A733,'3.員工名單'!$A:$A,0))="兩款共用",INDEX('3.員工名單'!$H:$H,MATCH(A733,'3.員工名單'!$A:$A,0))=INDEX('1.職能辭典'!$J:$J,MATCH(F733,'1.職能辭典'!$C:$C,0))),OR(INDEX('1.職能辭典'!$K:$K,MATCH(F733,'1.職能辭典'!$C:$C,0))="全部",SUMPRODUCT(ISNUMBER(SEARCH({"經營","管理","財務","企劃","營運","技術","數據","美術","測試","客服"},INDEX('3.員工名單'!$I:$I,MATCH(A733,'3.員工名單'!$A:$A,0))))*ISNUMBER(SEARCH({"經營","管理","財務","企劃","營運","技術","數據","美術","測試","客服"},INDEX('1.職能辭典'!$K:$K,MATCH(F733,'1.職能辭典'!$C:$C,0)))))&gt;0)),INDEX('2.職務職能需求'!$B$2:$F$28,MATCH(F733,'2.職務職能需求'!$A$2:$A$28,0),MATCH(D733,'2.職務職能需求'!$B$1:$F$1,0)),0),""))</f>
        <v/>
      </c>
      <c r="H733" s="94" t="n"/>
      <c r="I733" s="94" t="n"/>
      <c r="J733" s="120">
        <f>IF(OR(G733="",I733="",G733=0),"",I733-G733)</f>
        <v/>
      </c>
      <c r="K733" s="120">
        <f>IF(G733="","",IF(G733=0,"不適用",IF(I733="","待評核",IF(I733&gt;=G733,IF(I733&gt;G733,"超越","達標"),"待發展"))))</f>
        <v/>
      </c>
      <c r="L733" s="91" t="n"/>
      <c r="M733" s="91" t="n"/>
      <c r="N733" s="88" t="n"/>
    </row>
    <row r="734" ht="15.75" customHeight="1" s="64">
      <c r="A734" s="88" t="n"/>
      <c r="B734" s="120">
        <f t="array" ref="B734:B734">IF(A734="","",IFERROR(INDEX('3.員工名單'!$B:$B,MATCH(A734,'3.員工名單'!$A:$A,0)),"查無此員工"))</f>
        <v/>
      </c>
      <c r="C734" s="120">
        <f t="array" ref="C734:C734">IF(A734="","",IFERROR(INDEX('3.員工名單'!$C:$C,MATCH(A734,'3.員工名單'!$A:$A,0)),""))</f>
        <v/>
      </c>
      <c r="D734" s="120">
        <f t="array" ref="D734:D734">IF(A734="","",IFERROR(INDEX('3.員工名單'!$D:$D,MATCH(A734,'3.員工名單'!$A:$A,0)),""))</f>
        <v/>
      </c>
      <c r="E734" s="120">
        <f t="array" ref="E734:E734">IF(F734="","",IFERROR(INDEX('1.職能辭典'!$A:$A,MATCH(F734,'1.職能辭典'!$C:$C,0)),""))</f>
        <v/>
      </c>
      <c r="F734" s="94" t="n"/>
      <c r="G734" s="120">
        <f t="array" ref="G734:G734">IF(OR(D734="",F734=""),"",IFERROR(IF(AND(OR(INDEX('1.職能辭典'!$J:$J,MATCH(F734,'1.職能辭典'!$C:$C,0))="全部",INDEX('3.員工名單'!$H:$H,MATCH(A734,'3.員工名單'!$A:$A,0))="兩款共用",INDEX('3.員工名單'!$H:$H,MATCH(A734,'3.員工名單'!$A:$A,0))=INDEX('1.職能辭典'!$J:$J,MATCH(F734,'1.職能辭典'!$C:$C,0))),OR(INDEX('1.職能辭典'!$K:$K,MATCH(F734,'1.職能辭典'!$C:$C,0))="全部",SUMPRODUCT(ISNUMBER(SEARCH({"經營","管理","財務","企劃","營運","技術","數據","美術","測試","客服"},INDEX('3.員工名單'!$I:$I,MATCH(A734,'3.員工名單'!$A:$A,0))))*ISNUMBER(SEARCH({"經營","管理","財務","企劃","營運","技術","數據","美術","測試","客服"},INDEX('1.職能辭典'!$K:$K,MATCH(F734,'1.職能辭典'!$C:$C,0)))))&gt;0)),INDEX('2.職務職能需求'!$B$2:$F$28,MATCH(F734,'2.職務職能需求'!$A$2:$A$28,0),MATCH(D734,'2.職務職能需求'!$B$1:$F$1,0)),0),""))</f>
        <v/>
      </c>
      <c r="H734" s="94" t="n"/>
      <c r="I734" s="94" t="n"/>
      <c r="J734" s="120">
        <f>IF(OR(G734="",I734="",G734=0),"",I734-G734)</f>
        <v/>
      </c>
      <c r="K734" s="120">
        <f>IF(G734="","",IF(G734=0,"不適用",IF(I734="","待評核",IF(I734&gt;=G734,IF(I734&gt;G734,"超越","達標"),"待發展"))))</f>
        <v/>
      </c>
      <c r="L734" s="91" t="n"/>
      <c r="M734" s="91" t="n"/>
      <c r="N734" s="88" t="n"/>
    </row>
    <row r="735" ht="15.75" customHeight="1" s="64">
      <c r="A735" s="88" t="n"/>
      <c r="B735" s="120">
        <f t="array" ref="B735:B735">IF(A735="","",IFERROR(INDEX('3.員工名單'!$B:$B,MATCH(A735,'3.員工名單'!$A:$A,0)),"查無此員工"))</f>
        <v/>
      </c>
      <c r="C735" s="120">
        <f t="array" ref="C735:C735">IF(A735="","",IFERROR(INDEX('3.員工名單'!$C:$C,MATCH(A735,'3.員工名單'!$A:$A,0)),""))</f>
        <v/>
      </c>
      <c r="D735" s="120">
        <f t="array" ref="D735:D735">IF(A735="","",IFERROR(INDEX('3.員工名單'!$D:$D,MATCH(A735,'3.員工名單'!$A:$A,0)),""))</f>
        <v/>
      </c>
      <c r="E735" s="120">
        <f t="array" ref="E735:E735">IF(F735="","",IFERROR(INDEX('1.職能辭典'!$A:$A,MATCH(F735,'1.職能辭典'!$C:$C,0)),""))</f>
        <v/>
      </c>
      <c r="F735" s="94" t="n"/>
      <c r="G735" s="120">
        <f t="array" ref="G735:G735">IF(OR(D735="",F735=""),"",IFERROR(IF(AND(OR(INDEX('1.職能辭典'!$J:$J,MATCH(F735,'1.職能辭典'!$C:$C,0))="全部",INDEX('3.員工名單'!$H:$H,MATCH(A735,'3.員工名單'!$A:$A,0))="兩款共用",INDEX('3.員工名單'!$H:$H,MATCH(A735,'3.員工名單'!$A:$A,0))=INDEX('1.職能辭典'!$J:$J,MATCH(F735,'1.職能辭典'!$C:$C,0))),OR(INDEX('1.職能辭典'!$K:$K,MATCH(F735,'1.職能辭典'!$C:$C,0))="全部",SUMPRODUCT(ISNUMBER(SEARCH({"經營","管理","財務","企劃","營運","技術","數據","美術","測試","客服"},INDEX('3.員工名單'!$I:$I,MATCH(A735,'3.員工名單'!$A:$A,0))))*ISNUMBER(SEARCH({"經營","管理","財務","企劃","營運","技術","數據","美術","測試","客服"},INDEX('1.職能辭典'!$K:$K,MATCH(F735,'1.職能辭典'!$C:$C,0)))))&gt;0)),INDEX('2.職務職能需求'!$B$2:$F$28,MATCH(F735,'2.職務職能需求'!$A$2:$A$28,0),MATCH(D735,'2.職務職能需求'!$B$1:$F$1,0)),0),""))</f>
        <v/>
      </c>
      <c r="H735" s="94" t="n"/>
      <c r="I735" s="94" t="n"/>
      <c r="J735" s="120">
        <f>IF(OR(G735="",I735="",G735=0),"",I735-G735)</f>
        <v/>
      </c>
      <c r="K735" s="120">
        <f>IF(G735="","",IF(G735=0,"不適用",IF(I735="","待評核",IF(I735&gt;=G735,IF(I735&gt;G735,"超越","達標"),"待發展"))))</f>
        <v/>
      </c>
      <c r="L735" s="91" t="n"/>
      <c r="M735" s="91" t="n"/>
      <c r="N735" s="88" t="n"/>
    </row>
    <row r="736" ht="15.75" customHeight="1" s="64">
      <c r="A736" s="88" t="n"/>
      <c r="B736" s="120">
        <f t="array" ref="B736:B736">IF(A736="","",IFERROR(INDEX('3.員工名單'!$B:$B,MATCH(A736,'3.員工名單'!$A:$A,0)),"查無此員工"))</f>
        <v/>
      </c>
      <c r="C736" s="120">
        <f t="array" ref="C736:C736">IF(A736="","",IFERROR(INDEX('3.員工名單'!$C:$C,MATCH(A736,'3.員工名單'!$A:$A,0)),""))</f>
        <v/>
      </c>
      <c r="D736" s="120">
        <f t="array" ref="D736:D736">IF(A736="","",IFERROR(INDEX('3.員工名單'!$D:$D,MATCH(A736,'3.員工名單'!$A:$A,0)),""))</f>
        <v/>
      </c>
      <c r="E736" s="120">
        <f t="array" ref="E736:E736">IF(F736="","",IFERROR(INDEX('1.職能辭典'!$A:$A,MATCH(F736,'1.職能辭典'!$C:$C,0)),""))</f>
        <v/>
      </c>
      <c r="F736" s="94" t="n"/>
      <c r="G736" s="120">
        <f t="array" ref="G736:G736">IF(OR(D736="",F736=""),"",IFERROR(IF(AND(OR(INDEX('1.職能辭典'!$J:$J,MATCH(F736,'1.職能辭典'!$C:$C,0))="全部",INDEX('3.員工名單'!$H:$H,MATCH(A736,'3.員工名單'!$A:$A,0))="兩款共用",INDEX('3.員工名單'!$H:$H,MATCH(A736,'3.員工名單'!$A:$A,0))=INDEX('1.職能辭典'!$J:$J,MATCH(F736,'1.職能辭典'!$C:$C,0))),OR(INDEX('1.職能辭典'!$K:$K,MATCH(F736,'1.職能辭典'!$C:$C,0))="全部",SUMPRODUCT(ISNUMBER(SEARCH({"經營","管理","財務","企劃","營運","技術","數據","美術","測試","客服"},INDEX('3.員工名單'!$I:$I,MATCH(A736,'3.員工名單'!$A:$A,0))))*ISNUMBER(SEARCH({"經營","管理","財務","企劃","營運","技術","數據","美術","測試","客服"},INDEX('1.職能辭典'!$K:$K,MATCH(F736,'1.職能辭典'!$C:$C,0)))))&gt;0)),INDEX('2.職務職能需求'!$B$2:$F$28,MATCH(F736,'2.職務職能需求'!$A$2:$A$28,0),MATCH(D736,'2.職務職能需求'!$B$1:$F$1,0)),0),""))</f>
        <v/>
      </c>
      <c r="H736" s="94" t="n"/>
      <c r="I736" s="94" t="n"/>
      <c r="J736" s="120">
        <f>IF(OR(G736="",I736="",G736=0),"",I736-G736)</f>
        <v/>
      </c>
      <c r="K736" s="120">
        <f>IF(G736="","",IF(G736=0,"不適用",IF(I736="","待評核",IF(I736&gt;=G736,IF(I736&gt;G736,"超越","達標"),"待發展"))))</f>
        <v/>
      </c>
      <c r="L736" s="91" t="n"/>
      <c r="M736" s="91" t="n"/>
      <c r="N736" s="88" t="n"/>
    </row>
    <row r="737" ht="15.75" customHeight="1" s="64">
      <c r="A737" s="88" t="n"/>
      <c r="B737" s="120">
        <f t="array" ref="B737:B737">IF(A737="","",IFERROR(INDEX('3.員工名單'!$B:$B,MATCH(A737,'3.員工名單'!$A:$A,0)),"查無此員工"))</f>
        <v/>
      </c>
      <c r="C737" s="120">
        <f t="array" ref="C737:C737">IF(A737="","",IFERROR(INDEX('3.員工名單'!$C:$C,MATCH(A737,'3.員工名單'!$A:$A,0)),""))</f>
        <v/>
      </c>
      <c r="D737" s="120">
        <f t="array" ref="D737:D737">IF(A737="","",IFERROR(INDEX('3.員工名單'!$D:$D,MATCH(A737,'3.員工名單'!$A:$A,0)),""))</f>
        <v/>
      </c>
      <c r="E737" s="120">
        <f t="array" ref="E737:E737">IF(F737="","",IFERROR(INDEX('1.職能辭典'!$A:$A,MATCH(F737,'1.職能辭典'!$C:$C,0)),""))</f>
        <v/>
      </c>
      <c r="F737" s="94" t="n"/>
      <c r="G737" s="120">
        <f t="array" ref="G737:G737">IF(OR(D737="",F737=""),"",IFERROR(IF(AND(OR(INDEX('1.職能辭典'!$J:$J,MATCH(F737,'1.職能辭典'!$C:$C,0))="全部",INDEX('3.員工名單'!$H:$H,MATCH(A737,'3.員工名單'!$A:$A,0))="兩款共用",INDEX('3.員工名單'!$H:$H,MATCH(A737,'3.員工名單'!$A:$A,0))=INDEX('1.職能辭典'!$J:$J,MATCH(F737,'1.職能辭典'!$C:$C,0))),OR(INDEX('1.職能辭典'!$K:$K,MATCH(F737,'1.職能辭典'!$C:$C,0))="全部",SUMPRODUCT(ISNUMBER(SEARCH({"經營","管理","財務","企劃","營運","技術","數據","美術","測試","客服"},INDEX('3.員工名單'!$I:$I,MATCH(A737,'3.員工名單'!$A:$A,0))))*ISNUMBER(SEARCH({"經營","管理","財務","企劃","營運","技術","數據","美術","測試","客服"},INDEX('1.職能辭典'!$K:$K,MATCH(F737,'1.職能辭典'!$C:$C,0)))))&gt;0)),INDEX('2.職務職能需求'!$B$2:$F$28,MATCH(F737,'2.職務職能需求'!$A$2:$A$28,0),MATCH(D737,'2.職務職能需求'!$B$1:$F$1,0)),0),""))</f>
        <v/>
      </c>
      <c r="H737" s="94" t="n"/>
      <c r="I737" s="94" t="n"/>
      <c r="J737" s="120">
        <f>IF(OR(G737="",I737="",G737=0),"",I737-G737)</f>
        <v/>
      </c>
      <c r="K737" s="120">
        <f>IF(G737="","",IF(G737=0,"不適用",IF(I737="","待評核",IF(I737&gt;=G737,IF(I737&gt;G737,"超越","達標"),"待發展"))))</f>
        <v/>
      </c>
      <c r="L737" s="91" t="n"/>
      <c r="M737" s="91" t="n"/>
      <c r="N737" s="88" t="n"/>
    </row>
    <row r="738" ht="15.75" customHeight="1" s="64">
      <c r="A738" s="88" t="n"/>
      <c r="B738" s="120">
        <f t="array" ref="B738:B738">IF(A738="","",IFERROR(INDEX('3.員工名單'!$B:$B,MATCH(A738,'3.員工名單'!$A:$A,0)),"查無此員工"))</f>
        <v/>
      </c>
      <c r="C738" s="120">
        <f t="array" ref="C738:C738">IF(A738="","",IFERROR(INDEX('3.員工名單'!$C:$C,MATCH(A738,'3.員工名單'!$A:$A,0)),""))</f>
        <v/>
      </c>
      <c r="D738" s="120">
        <f t="array" ref="D738:D738">IF(A738="","",IFERROR(INDEX('3.員工名單'!$D:$D,MATCH(A738,'3.員工名單'!$A:$A,0)),""))</f>
        <v/>
      </c>
      <c r="E738" s="120">
        <f t="array" ref="E738:E738">IF(F738="","",IFERROR(INDEX('1.職能辭典'!$A:$A,MATCH(F738,'1.職能辭典'!$C:$C,0)),""))</f>
        <v/>
      </c>
      <c r="F738" s="94" t="n"/>
      <c r="G738" s="120">
        <f t="array" ref="G738:G738">IF(OR(D738="",F738=""),"",IFERROR(IF(AND(OR(INDEX('1.職能辭典'!$J:$J,MATCH(F738,'1.職能辭典'!$C:$C,0))="全部",INDEX('3.員工名單'!$H:$H,MATCH(A738,'3.員工名單'!$A:$A,0))="兩款共用",INDEX('3.員工名單'!$H:$H,MATCH(A738,'3.員工名單'!$A:$A,0))=INDEX('1.職能辭典'!$J:$J,MATCH(F738,'1.職能辭典'!$C:$C,0))),OR(INDEX('1.職能辭典'!$K:$K,MATCH(F738,'1.職能辭典'!$C:$C,0))="全部",SUMPRODUCT(ISNUMBER(SEARCH({"經營","管理","財務","企劃","營運","技術","數據","美術","測試","客服"},INDEX('3.員工名單'!$I:$I,MATCH(A738,'3.員工名單'!$A:$A,0))))*ISNUMBER(SEARCH({"經營","管理","財務","企劃","營運","技術","數據","美術","測試","客服"},INDEX('1.職能辭典'!$K:$K,MATCH(F738,'1.職能辭典'!$C:$C,0)))))&gt;0)),INDEX('2.職務職能需求'!$B$2:$F$28,MATCH(F738,'2.職務職能需求'!$A$2:$A$28,0),MATCH(D738,'2.職務職能需求'!$B$1:$F$1,0)),0),""))</f>
        <v/>
      </c>
      <c r="H738" s="94" t="n"/>
      <c r="I738" s="94" t="n"/>
      <c r="J738" s="120">
        <f>IF(OR(G738="",I738="",G738=0),"",I738-G738)</f>
        <v/>
      </c>
      <c r="K738" s="120">
        <f>IF(G738="","",IF(G738=0,"不適用",IF(I738="","待評核",IF(I738&gt;=G738,IF(I738&gt;G738,"超越","達標"),"待發展"))))</f>
        <v/>
      </c>
      <c r="L738" s="91" t="n"/>
      <c r="M738" s="91" t="n"/>
      <c r="N738" s="88" t="n"/>
    </row>
    <row r="739" ht="15.75" customHeight="1" s="64">
      <c r="A739" s="88" t="n"/>
      <c r="B739" s="120">
        <f t="array" ref="B739:B739">IF(A739="","",IFERROR(INDEX('3.員工名單'!$B:$B,MATCH(A739,'3.員工名單'!$A:$A,0)),"查無此員工"))</f>
        <v/>
      </c>
      <c r="C739" s="120">
        <f t="array" ref="C739:C739">IF(A739="","",IFERROR(INDEX('3.員工名單'!$C:$C,MATCH(A739,'3.員工名單'!$A:$A,0)),""))</f>
        <v/>
      </c>
      <c r="D739" s="120">
        <f t="array" ref="D739:D739">IF(A739="","",IFERROR(INDEX('3.員工名單'!$D:$D,MATCH(A739,'3.員工名單'!$A:$A,0)),""))</f>
        <v/>
      </c>
      <c r="E739" s="120">
        <f t="array" ref="E739:E739">IF(F739="","",IFERROR(INDEX('1.職能辭典'!$A:$A,MATCH(F739,'1.職能辭典'!$C:$C,0)),""))</f>
        <v/>
      </c>
      <c r="F739" s="94" t="n"/>
      <c r="G739" s="120">
        <f t="array" ref="G739:G739">IF(OR(D739="",F739=""),"",IFERROR(IF(AND(OR(INDEX('1.職能辭典'!$J:$J,MATCH(F739,'1.職能辭典'!$C:$C,0))="全部",INDEX('3.員工名單'!$H:$H,MATCH(A739,'3.員工名單'!$A:$A,0))="兩款共用",INDEX('3.員工名單'!$H:$H,MATCH(A739,'3.員工名單'!$A:$A,0))=INDEX('1.職能辭典'!$J:$J,MATCH(F739,'1.職能辭典'!$C:$C,0))),OR(INDEX('1.職能辭典'!$K:$K,MATCH(F739,'1.職能辭典'!$C:$C,0))="全部",SUMPRODUCT(ISNUMBER(SEARCH({"經營","管理","財務","企劃","營運","技術","數據","美術","測試","客服"},INDEX('3.員工名單'!$I:$I,MATCH(A739,'3.員工名單'!$A:$A,0))))*ISNUMBER(SEARCH({"經營","管理","財務","企劃","營運","技術","數據","美術","測試","客服"},INDEX('1.職能辭典'!$K:$K,MATCH(F739,'1.職能辭典'!$C:$C,0)))))&gt;0)),INDEX('2.職務職能需求'!$B$2:$F$28,MATCH(F739,'2.職務職能需求'!$A$2:$A$28,0),MATCH(D739,'2.職務職能需求'!$B$1:$F$1,0)),0),""))</f>
        <v/>
      </c>
      <c r="H739" s="94" t="n"/>
      <c r="I739" s="94" t="n"/>
      <c r="J739" s="120">
        <f>IF(OR(G739="",I739="",G739=0),"",I739-G739)</f>
        <v/>
      </c>
      <c r="K739" s="120">
        <f>IF(G739="","",IF(G739=0,"不適用",IF(I739="","待評核",IF(I739&gt;=G739,IF(I739&gt;G739,"超越","達標"),"待發展"))))</f>
        <v/>
      </c>
      <c r="L739" s="91" t="n"/>
      <c r="M739" s="91" t="n"/>
      <c r="N739" s="88" t="n"/>
    </row>
    <row r="740" ht="15.75" customHeight="1" s="64">
      <c r="A740" s="88" t="n"/>
      <c r="B740" s="120">
        <f t="array" ref="B740:B740">IF(A740="","",IFERROR(INDEX('3.員工名單'!$B:$B,MATCH(A740,'3.員工名單'!$A:$A,0)),"查無此員工"))</f>
        <v/>
      </c>
      <c r="C740" s="120">
        <f t="array" ref="C740:C740">IF(A740="","",IFERROR(INDEX('3.員工名單'!$C:$C,MATCH(A740,'3.員工名單'!$A:$A,0)),""))</f>
        <v/>
      </c>
      <c r="D740" s="120">
        <f t="array" ref="D740:D740">IF(A740="","",IFERROR(INDEX('3.員工名單'!$D:$D,MATCH(A740,'3.員工名單'!$A:$A,0)),""))</f>
        <v/>
      </c>
      <c r="E740" s="120">
        <f t="array" ref="E740:E740">IF(F740="","",IFERROR(INDEX('1.職能辭典'!$A:$A,MATCH(F740,'1.職能辭典'!$C:$C,0)),""))</f>
        <v/>
      </c>
      <c r="F740" s="94" t="n"/>
      <c r="G740" s="120">
        <f t="array" ref="G740:G740">IF(OR(D740="",F740=""),"",IFERROR(IF(AND(OR(INDEX('1.職能辭典'!$J:$J,MATCH(F740,'1.職能辭典'!$C:$C,0))="全部",INDEX('3.員工名單'!$H:$H,MATCH(A740,'3.員工名單'!$A:$A,0))="兩款共用",INDEX('3.員工名單'!$H:$H,MATCH(A740,'3.員工名單'!$A:$A,0))=INDEX('1.職能辭典'!$J:$J,MATCH(F740,'1.職能辭典'!$C:$C,0))),OR(INDEX('1.職能辭典'!$K:$K,MATCH(F740,'1.職能辭典'!$C:$C,0))="全部",SUMPRODUCT(ISNUMBER(SEARCH({"經營","管理","財務","企劃","營運","技術","數據","美術","測試","客服"},INDEX('3.員工名單'!$I:$I,MATCH(A740,'3.員工名單'!$A:$A,0))))*ISNUMBER(SEARCH({"經營","管理","財務","企劃","營運","技術","數據","美術","測試","客服"},INDEX('1.職能辭典'!$K:$K,MATCH(F740,'1.職能辭典'!$C:$C,0)))))&gt;0)),INDEX('2.職務職能需求'!$B$2:$F$28,MATCH(F740,'2.職務職能需求'!$A$2:$A$28,0),MATCH(D740,'2.職務職能需求'!$B$1:$F$1,0)),0),""))</f>
        <v/>
      </c>
      <c r="H740" s="94" t="n"/>
      <c r="I740" s="94" t="n"/>
      <c r="J740" s="120">
        <f>IF(OR(G740="",I740="",G740=0),"",I740-G740)</f>
        <v/>
      </c>
      <c r="K740" s="120">
        <f>IF(G740="","",IF(G740=0,"不適用",IF(I740="","待評核",IF(I740&gt;=G740,IF(I740&gt;G740,"超越","達標"),"待發展"))))</f>
        <v/>
      </c>
      <c r="L740" s="91" t="n"/>
      <c r="M740" s="91" t="n"/>
      <c r="N740" s="88" t="n"/>
    </row>
    <row r="741" ht="15.75" customHeight="1" s="64">
      <c r="A741" s="88" t="n"/>
      <c r="B741" s="120">
        <f t="array" ref="B741:B741">IF(A741="","",IFERROR(INDEX('3.員工名單'!$B:$B,MATCH(A741,'3.員工名單'!$A:$A,0)),"查無此員工"))</f>
        <v/>
      </c>
      <c r="C741" s="120">
        <f t="array" ref="C741:C741">IF(A741="","",IFERROR(INDEX('3.員工名單'!$C:$C,MATCH(A741,'3.員工名單'!$A:$A,0)),""))</f>
        <v/>
      </c>
      <c r="D741" s="120">
        <f t="array" ref="D741:D741">IF(A741="","",IFERROR(INDEX('3.員工名單'!$D:$D,MATCH(A741,'3.員工名單'!$A:$A,0)),""))</f>
        <v/>
      </c>
      <c r="E741" s="120">
        <f t="array" ref="E741:E741">IF(F741="","",IFERROR(INDEX('1.職能辭典'!$A:$A,MATCH(F741,'1.職能辭典'!$C:$C,0)),""))</f>
        <v/>
      </c>
      <c r="F741" s="94" t="n"/>
      <c r="G741" s="120">
        <f t="array" ref="G741:G741">IF(OR(D741="",F741=""),"",IFERROR(IF(AND(OR(INDEX('1.職能辭典'!$J:$J,MATCH(F741,'1.職能辭典'!$C:$C,0))="全部",INDEX('3.員工名單'!$H:$H,MATCH(A741,'3.員工名單'!$A:$A,0))="兩款共用",INDEX('3.員工名單'!$H:$H,MATCH(A741,'3.員工名單'!$A:$A,0))=INDEX('1.職能辭典'!$J:$J,MATCH(F741,'1.職能辭典'!$C:$C,0))),OR(INDEX('1.職能辭典'!$K:$K,MATCH(F741,'1.職能辭典'!$C:$C,0))="全部",SUMPRODUCT(ISNUMBER(SEARCH({"經營","管理","財務","企劃","營運","技術","數據","美術","測試","客服"},INDEX('3.員工名單'!$I:$I,MATCH(A741,'3.員工名單'!$A:$A,0))))*ISNUMBER(SEARCH({"經營","管理","財務","企劃","營運","技術","數據","美術","測試","客服"},INDEX('1.職能辭典'!$K:$K,MATCH(F741,'1.職能辭典'!$C:$C,0)))))&gt;0)),INDEX('2.職務職能需求'!$B$2:$F$28,MATCH(F741,'2.職務職能需求'!$A$2:$A$28,0),MATCH(D741,'2.職務職能需求'!$B$1:$F$1,0)),0),""))</f>
        <v/>
      </c>
      <c r="H741" s="94" t="n"/>
      <c r="I741" s="94" t="n"/>
      <c r="J741" s="120">
        <f>IF(OR(G741="",I741="",G741=0),"",I741-G741)</f>
        <v/>
      </c>
      <c r="K741" s="120">
        <f>IF(G741="","",IF(G741=0,"不適用",IF(I741="","待評核",IF(I741&gt;=G741,IF(I741&gt;G741,"超越","達標"),"待發展"))))</f>
        <v/>
      </c>
      <c r="L741" s="91" t="n"/>
      <c r="M741" s="91" t="n"/>
      <c r="N741" s="88" t="n"/>
    </row>
    <row r="742" ht="15.75" customHeight="1" s="64">
      <c r="A742" s="88" t="n"/>
      <c r="B742" s="120">
        <f t="array" ref="B742:B742">IF(A742="","",IFERROR(INDEX('3.員工名單'!$B:$B,MATCH(A742,'3.員工名單'!$A:$A,0)),"查無此員工"))</f>
        <v/>
      </c>
      <c r="C742" s="120">
        <f t="array" ref="C742:C742">IF(A742="","",IFERROR(INDEX('3.員工名單'!$C:$C,MATCH(A742,'3.員工名單'!$A:$A,0)),""))</f>
        <v/>
      </c>
      <c r="D742" s="120">
        <f t="array" ref="D742:D742">IF(A742="","",IFERROR(INDEX('3.員工名單'!$D:$D,MATCH(A742,'3.員工名單'!$A:$A,0)),""))</f>
        <v/>
      </c>
      <c r="E742" s="120">
        <f t="array" ref="E742:E742">IF(F742="","",IFERROR(INDEX('1.職能辭典'!$A:$A,MATCH(F742,'1.職能辭典'!$C:$C,0)),""))</f>
        <v/>
      </c>
      <c r="F742" s="94" t="n"/>
      <c r="G742" s="120">
        <f t="array" ref="G742:G742">IF(OR(D742="",F742=""),"",IFERROR(IF(AND(OR(INDEX('1.職能辭典'!$J:$J,MATCH(F742,'1.職能辭典'!$C:$C,0))="全部",INDEX('3.員工名單'!$H:$H,MATCH(A742,'3.員工名單'!$A:$A,0))="兩款共用",INDEX('3.員工名單'!$H:$H,MATCH(A742,'3.員工名單'!$A:$A,0))=INDEX('1.職能辭典'!$J:$J,MATCH(F742,'1.職能辭典'!$C:$C,0))),OR(INDEX('1.職能辭典'!$K:$K,MATCH(F742,'1.職能辭典'!$C:$C,0))="全部",SUMPRODUCT(ISNUMBER(SEARCH({"經營","管理","財務","企劃","營運","技術","數據","美術","測試","客服"},INDEX('3.員工名單'!$I:$I,MATCH(A742,'3.員工名單'!$A:$A,0))))*ISNUMBER(SEARCH({"經營","管理","財務","企劃","營運","技術","數據","美術","測試","客服"},INDEX('1.職能辭典'!$K:$K,MATCH(F742,'1.職能辭典'!$C:$C,0)))))&gt;0)),INDEX('2.職務職能需求'!$B$2:$F$28,MATCH(F742,'2.職務職能需求'!$A$2:$A$28,0),MATCH(D742,'2.職務職能需求'!$B$1:$F$1,0)),0),""))</f>
        <v/>
      </c>
      <c r="H742" s="94" t="n"/>
      <c r="I742" s="94" t="n"/>
      <c r="J742" s="120">
        <f>IF(OR(G742="",I742="",G742=0),"",I742-G742)</f>
        <v/>
      </c>
      <c r="K742" s="120">
        <f>IF(G742="","",IF(G742=0,"不適用",IF(I742="","待評核",IF(I742&gt;=G742,IF(I742&gt;G742,"超越","達標"),"待發展"))))</f>
        <v/>
      </c>
      <c r="L742" s="91" t="n"/>
      <c r="M742" s="91" t="n"/>
      <c r="N742" s="88" t="n"/>
    </row>
    <row r="743" ht="15.75" customHeight="1" s="64">
      <c r="A743" s="88" t="n"/>
      <c r="B743" s="120">
        <f t="array" ref="B743:B743">IF(A743="","",IFERROR(INDEX('3.員工名單'!$B:$B,MATCH(A743,'3.員工名單'!$A:$A,0)),"查無此員工"))</f>
        <v/>
      </c>
      <c r="C743" s="120">
        <f t="array" ref="C743:C743">IF(A743="","",IFERROR(INDEX('3.員工名單'!$C:$C,MATCH(A743,'3.員工名單'!$A:$A,0)),""))</f>
        <v/>
      </c>
      <c r="D743" s="120">
        <f t="array" ref="D743:D743">IF(A743="","",IFERROR(INDEX('3.員工名單'!$D:$D,MATCH(A743,'3.員工名單'!$A:$A,0)),""))</f>
        <v/>
      </c>
      <c r="E743" s="120">
        <f t="array" ref="E743:E743">IF(F743="","",IFERROR(INDEX('1.職能辭典'!$A:$A,MATCH(F743,'1.職能辭典'!$C:$C,0)),""))</f>
        <v/>
      </c>
      <c r="F743" s="94" t="n"/>
      <c r="G743" s="120">
        <f t="array" ref="G743:G743">IF(OR(D743="",F743=""),"",IFERROR(IF(AND(OR(INDEX('1.職能辭典'!$J:$J,MATCH(F743,'1.職能辭典'!$C:$C,0))="全部",INDEX('3.員工名單'!$H:$H,MATCH(A743,'3.員工名單'!$A:$A,0))="兩款共用",INDEX('3.員工名單'!$H:$H,MATCH(A743,'3.員工名單'!$A:$A,0))=INDEX('1.職能辭典'!$J:$J,MATCH(F743,'1.職能辭典'!$C:$C,0))),OR(INDEX('1.職能辭典'!$K:$K,MATCH(F743,'1.職能辭典'!$C:$C,0))="全部",SUMPRODUCT(ISNUMBER(SEARCH({"經營","管理","財務","企劃","營運","技術","數據","美術","測試","客服"},INDEX('3.員工名單'!$I:$I,MATCH(A743,'3.員工名單'!$A:$A,0))))*ISNUMBER(SEARCH({"經營","管理","財務","企劃","營運","技術","數據","美術","測試","客服"},INDEX('1.職能辭典'!$K:$K,MATCH(F743,'1.職能辭典'!$C:$C,0)))))&gt;0)),INDEX('2.職務職能需求'!$B$2:$F$28,MATCH(F743,'2.職務職能需求'!$A$2:$A$28,0),MATCH(D743,'2.職務職能需求'!$B$1:$F$1,0)),0),""))</f>
        <v/>
      </c>
      <c r="H743" s="94" t="n"/>
      <c r="I743" s="94" t="n"/>
      <c r="J743" s="120">
        <f>IF(OR(G743="",I743="",G743=0),"",I743-G743)</f>
        <v/>
      </c>
      <c r="K743" s="120">
        <f>IF(G743="","",IF(G743=0,"不適用",IF(I743="","待評核",IF(I743&gt;=G743,IF(I743&gt;G743,"超越","達標"),"待發展"))))</f>
        <v/>
      </c>
      <c r="L743" s="91" t="n"/>
      <c r="M743" s="91" t="n"/>
      <c r="N743" s="88" t="n"/>
    </row>
    <row r="744" ht="15.75" customHeight="1" s="64">
      <c r="A744" s="88" t="n"/>
      <c r="B744" s="120">
        <f t="array" ref="B744:B744">IF(A744="","",IFERROR(INDEX('3.員工名單'!$B:$B,MATCH(A744,'3.員工名單'!$A:$A,0)),"查無此員工"))</f>
        <v/>
      </c>
      <c r="C744" s="120">
        <f t="array" ref="C744:C744">IF(A744="","",IFERROR(INDEX('3.員工名單'!$C:$C,MATCH(A744,'3.員工名單'!$A:$A,0)),""))</f>
        <v/>
      </c>
      <c r="D744" s="120">
        <f t="array" ref="D744:D744">IF(A744="","",IFERROR(INDEX('3.員工名單'!$D:$D,MATCH(A744,'3.員工名單'!$A:$A,0)),""))</f>
        <v/>
      </c>
      <c r="E744" s="120">
        <f t="array" ref="E744:E744">IF(F744="","",IFERROR(INDEX('1.職能辭典'!$A:$A,MATCH(F744,'1.職能辭典'!$C:$C,0)),""))</f>
        <v/>
      </c>
      <c r="F744" s="94" t="n"/>
      <c r="G744" s="120">
        <f t="array" ref="G744:G744">IF(OR(D744="",F744=""),"",IFERROR(IF(AND(OR(INDEX('1.職能辭典'!$J:$J,MATCH(F744,'1.職能辭典'!$C:$C,0))="全部",INDEX('3.員工名單'!$H:$H,MATCH(A744,'3.員工名單'!$A:$A,0))="兩款共用",INDEX('3.員工名單'!$H:$H,MATCH(A744,'3.員工名單'!$A:$A,0))=INDEX('1.職能辭典'!$J:$J,MATCH(F744,'1.職能辭典'!$C:$C,0))),OR(INDEX('1.職能辭典'!$K:$K,MATCH(F744,'1.職能辭典'!$C:$C,0))="全部",SUMPRODUCT(ISNUMBER(SEARCH({"經營","管理","財務","企劃","營運","技術","數據","美術","測試","客服"},INDEX('3.員工名單'!$I:$I,MATCH(A744,'3.員工名單'!$A:$A,0))))*ISNUMBER(SEARCH({"經營","管理","財務","企劃","營運","技術","數據","美術","測試","客服"},INDEX('1.職能辭典'!$K:$K,MATCH(F744,'1.職能辭典'!$C:$C,0)))))&gt;0)),INDEX('2.職務職能需求'!$B$2:$F$28,MATCH(F744,'2.職務職能需求'!$A$2:$A$28,0),MATCH(D744,'2.職務職能需求'!$B$1:$F$1,0)),0),""))</f>
        <v/>
      </c>
      <c r="H744" s="94" t="n"/>
      <c r="I744" s="94" t="n"/>
      <c r="J744" s="120">
        <f>IF(OR(G744="",I744="",G744=0),"",I744-G744)</f>
        <v/>
      </c>
      <c r="K744" s="120">
        <f>IF(G744="","",IF(G744=0,"不適用",IF(I744="","待評核",IF(I744&gt;=G744,IF(I744&gt;G744,"超越","達標"),"待發展"))))</f>
        <v/>
      </c>
      <c r="L744" s="91" t="n"/>
      <c r="M744" s="91" t="n"/>
      <c r="N744" s="88" t="n"/>
    </row>
    <row r="745" ht="15.75" customHeight="1" s="64">
      <c r="A745" s="88" t="n"/>
      <c r="B745" s="120">
        <f t="array" ref="B745:B745">IF(A745="","",IFERROR(INDEX('3.員工名單'!$B:$B,MATCH(A745,'3.員工名單'!$A:$A,0)),"查無此員工"))</f>
        <v/>
      </c>
      <c r="C745" s="120">
        <f t="array" ref="C745:C745">IF(A745="","",IFERROR(INDEX('3.員工名單'!$C:$C,MATCH(A745,'3.員工名單'!$A:$A,0)),""))</f>
        <v/>
      </c>
      <c r="D745" s="120">
        <f t="array" ref="D745:D745">IF(A745="","",IFERROR(INDEX('3.員工名單'!$D:$D,MATCH(A745,'3.員工名單'!$A:$A,0)),""))</f>
        <v/>
      </c>
      <c r="E745" s="120">
        <f t="array" ref="E745:E745">IF(F745="","",IFERROR(INDEX('1.職能辭典'!$A:$A,MATCH(F745,'1.職能辭典'!$C:$C,0)),""))</f>
        <v/>
      </c>
      <c r="F745" s="94" t="n"/>
      <c r="G745" s="120">
        <f t="array" ref="G745:G745">IF(OR(D745="",F745=""),"",IFERROR(IF(AND(OR(INDEX('1.職能辭典'!$J:$J,MATCH(F745,'1.職能辭典'!$C:$C,0))="全部",INDEX('3.員工名單'!$H:$H,MATCH(A745,'3.員工名單'!$A:$A,0))="兩款共用",INDEX('3.員工名單'!$H:$H,MATCH(A745,'3.員工名單'!$A:$A,0))=INDEX('1.職能辭典'!$J:$J,MATCH(F745,'1.職能辭典'!$C:$C,0))),OR(INDEX('1.職能辭典'!$K:$K,MATCH(F745,'1.職能辭典'!$C:$C,0))="全部",SUMPRODUCT(ISNUMBER(SEARCH({"經營","管理","財務","企劃","營運","技術","數據","美術","測試","客服"},INDEX('3.員工名單'!$I:$I,MATCH(A745,'3.員工名單'!$A:$A,0))))*ISNUMBER(SEARCH({"經營","管理","財務","企劃","營運","技術","數據","美術","測試","客服"},INDEX('1.職能辭典'!$K:$K,MATCH(F745,'1.職能辭典'!$C:$C,0)))))&gt;0)),INDEX('2.職務職能需求'!$B$2:$F$28,MATCH(F745,'2.職務職能需求'!$A$2:$A$28,0),MATCH(D745,'2.職務職能需求'!$B$1:$F$1,0)),0),""))</f>
        <v/>
      </c>
      <c r="H745" s="94" t="n"/>
      <c r="I745" s="94" t="n"/>
      <c r="J745" s="120">
        <f>IF(OR(G745="",I745="",G745=0),"",I745-G745)</f>
        <v/>
      </c>
      <c r="K745" s="120">
        <f>IF(G745="","",IF(G745=0,"不適用",IF(I745="","待評核",IF(I745&gt;=G745,IF(I745&gt;G745,"超越","達標"),"待發展"))))</f>
        <v/>
      </c>
      <c r="L745" s="91" t="n"/>
      <c r="M745" s="91" t="n"/>
      <c r="N745" s="88" t="n"/>
    </row>
    <row r="746" ht="15.75" customHeight="1" s="64">
      <c r="A746" s="88" t="n"/>
      <c r="B746" s="120">
        <f t="array" ref="B746:B746">IF(A746="","",IFERROR(INDEX('3.員工名單'!$B:$B,MATCH(A746,'3.員工名單'!$A:$A,0)),"查無此員工"))</f>
        <v/>
      </c>
      <c r="C746" s="120">
        <f t="array" ref="C746:C746">IF(A746="","",IFERROR(INDEX('3.員工名單'!$C:$C,MATCH(A746,'3.員工名單'!$A:$A,0)),""))</f>
        <v/>
      </c>
      <c r="D746" s="120">
        <f t="array" ref="D746:D746">IF(A746="","",IFERROR(INDEX('3.員工名單'!$D:$D,MATCH(A746,'3.員工名單'!$A:$A,0)),""))</f>
        <v/>
      </c>
      <c r="E746" s="120">
        <f t="array" ref="E746:E746">IF(F746="","",IFERROR(INDEX('1.職能辭典'!$A:$A,MATCH(F746,'1.職能辭典'!$C:$C,0)),""))</f>
        <v/>
      </c>
      <c r="F746" s="94" t="n"/>
      <c r="G746" s="120">
        <f t="array" ref="G746:G746">IF(OR(D746="",F746=""),"",IFERROR(IF(AND(OR(INDEX('1.職能辭典'!$J:$J,MATCH(F746,'1.職能辭典'!$C:$C,0))="全部",INDEX('3.員工名單'!$H:$H,MATCH(A746,'3.員工名單'!$A:$A,0))="兩款共用",INDEX('3.員工名單'!$H:$H,MATCH(A746,'3.員工名單'!$A:$A,0))=INDEX('1.職能辭典'!$J:$J,MATCH(F746,'1.職能辭典'!$C:$C,0))),OR(INDEX('1.職能辭典'!$K:$K,MATCH(F746,'1.職能辭典'!$C:$C,0))="全部",SUMPRODUCT(ISNUMBER(SEARCH({"經營","管理","財務","企劃","營運","技術","數據","美術","測試","客服"},INDEX('3.員工名單'!$I:$I,MATCH(A746,'3.員工名單'!$A:$A,0))))*ISNUMBER(SEARCH({"經營","管理","財務","企劃","營運","技術","數據","美術","測試","客服"},INDEX('1.職能辭典'!$K:$K,MATCH(F746,'1.職能辭典'!$C:$C,0)))))&gt;0)),INDEX('2.職務職能需求'!$B$2:$F$28,MATCH(F746,'2.職務職能需求'!$A$2:$A$28,0),MATCH(D746,'2.職務職能需求'!$B$1:$F$1,0)),0),""))</f>
        <v/>
      </c>
      <c r="H746" s="94" t="n"/>
      <c r="I746" s="94" t="n"/>
      <c r="J746" s="120">
        <f>IF(OR(G746="",I746="",G746=0),"",I746-G746)</f>
        <v/>
      </c>
      <c r="K746" s="120">
        <f>IF(G746="","",IF(G746=0,"不適用",IF(I746="","待評核",IF(I746&gt;=G746,IF(I746&gt;G746,"超越","達標"),"待發展"))))</f>
        <v/>
      </c>
      <c r="L746" s="91" t="n"/>
      <c r="M746" s="91" t="n"/>
      <c r="N746" s="88" t="n"/>
    </row>
    <row r="747" ht="15.75" customHeight="1" s="64">
      <c r="A747" s="88" t="n"/>
      <c r="B747" s="120">
        <f t="array" ref="B747:B747">IF(A747="","",IFERROR(INDEX('3.員工名單'!$B:$B,MATCH(A747,'3.員工名單'!$A:$A,0)),"查無此員工"))</f>
        <v/>
      </c>
      <c r="C747" s="120">
        <f t="array" ref="C747:C747">IF(A747="","",IFERROR(INDEX('3.員工名單'!$C:$C,MATCH(A747,'3.員工名單'!$A:$A,0)),""))</f>
        <v/>
      </c>
      <c r="D747" s="120">
        <f t="array" ref="D747:D747">IF(A747="","",IFERROR(INDEX('3.員工名單'!$D:$D,MATCH(A747,'3.員工名單'!$A:$A,0)),""))</f>
        <v/>
      </c>
      <c r="E747" s="120">
        <f t="array" ref="E747:E747">IF(F747="","",IFERROR(INDEX('1.職能辭典'!$A:$A,MATCH(F747,'1.職能辭典'!$C:$C,0)),""))</f>
        <v/>
      </c>
      <c r="F747" s="94" t="n"/>
      <c r="G747" s="120">
        <f t="array" ref="G747:G747">IF(OR(D747="",F747=""),"",IFERROR(IF(AND(OR(INDEX('1.職能辭典'!$J:$J,MATCH(F747,'1.職能辭典'!$C:$C,0))="全部",INDEX('3.員工名單'!$H:$H,MATCH(A747,'3.員工名單'!$A:$A,0))="兩款共用",INDEX('3.員工名單'!$H:$H,MATCH(A747,'3.員工名單'!$A:$A,0))=INDEX('1.職能辭典'!$J:$J,MATCH(F747,'1.職能辭典'!$C:$C,0))),OR(INDEX('1.職能辭典'!$K:$K,MATCH(F747,'1.職能辭典'!$C:$C,0))="全部",SUMPRODUCT(ISNUMBER(SEARCH({"經營","管理","財務","企劃","營運","技術","數據","美術","測試","客服"},INDEX('3.員工名單'!$I:$I,MATCH(A747,'3.員工名單'!$A:$A,0))))*ISNUMBER(SEARCH({"經營","管理","財務","企劃","營運","技術","數據","美術","測試","客服"},INDEX('1.職能辭典'!$K:$K,MATCH(F747,'1.職能辭典'!$C:$C,0)))))&gt;0)),INDEX('2.職務職能需求'!$B$2:$F$28,MATCH(F747,'2.職務職能需求'!$A$2:$A$28,0),MATCH(D747,'2.職務職能需求'!$B$1:$F$1,0)),0),""))</f>
        <v/>
      </c>
      <c r="H747" s="94" t="n"/>
      <c r="I747" s="94" t="n"/>
      <c r="J747" s="120">
        <f>IF(OR(G747="",I747="",G747=0),"",I747-G747)</f>
        <v/>
      </c>
      <c r="K747" s="120">
        <f>IF(G747="","",IF(G747=0,"不適用",IF(I747="","待評核",IF(I747&gt;=G747,IF(I747&gt;G747,"超越","達標"),"待發展"))))</f>
        <v/>
      </c>
      <c r="L747" s="91" t="n"/>
      <c r="M747" s="91" t="n"/>
      <c r="N747" s="88" t="n"/>
    </row>
    <row r="748" ht="15.75" customHeight="1" s="64">
      <c r="A748" s="88" t="n"/>
      <c r="B748" s="120">
        <f t="array" ref="B748:B748">IF(A748="","",IFERROR(INDEX('3.員工名單'!$B:$B,MATCH(A748,'3.員工名單'!$A:$A,0)),"查無此員工"))</f>
        <v/>
      </c>
      <c r="C748" s="120">
        <f t="array" ref="C748:C748">IF(A748="","",IFERROR(INDEX('3.員工名單'!$C:$C,MATCH(A748,'3.員工名單'!$A:$A,0)),""))</f>
        <v/>
      </c>
      <c r="D748" s="120">
        <f t="array" ref="D748:D748">IF(A748="","",IFERROR(INDEX('3.員工名單'!$D:$D,MATCH(A748,'3.員工名單'!$A:$A,0)),""))</f>
        <v/>
      </c>
      <c r="E748" s="120">
        <f t="array" ref="E748:E748">IF(F748="","",IFERROR(INDEX('1.職能辭典'!$A:$A,MATCH(F748,'1.職能辭典'!$C:$C,0)),""))</f>
        <v/>
      </c>
      <c r="F748" s="94" t="n"/>
      <c r="G748" s="120">
        <f t="array" ref="G748:G748">IF(OR(D748="",F748=""),"",IFERROR(IF(AND(OR(INDEX('1.職能辭典'!$J:$J,MATCH(F748,'1.職能辭典'!$C:$C,0))="全部",INDEX('3.員工名單'!$H:$H,MATCH(A748,'3.員工名單'!$A:$A,0))="兩款共用",INDEX('3.員工名單'!$H:$H,MATCH(A748,'3.員工名單'!$A:$A,0))=INDEX('1.職能辭典'!$J:$J,MATCH(F748,'1.職能辭典'!$C:$C,0))),OR(INDEX('1.職能辭典'!$K:$K,MATCH(F748,'1.職能辭典'!$C:$C,0))="全部",SUMPRODUCT(ISNUMBER(SEARCH({"經營","管理","財務","企劃","營運","技術","數據","美術","測試","客服"},INDEX('3.員工名單'!$I:$I,MATCH(A748,'3.員工名單'!$A:$A,0))))*ISNUMBER(SEARCH({"經營","管理","財務","企劃","營運","技術","數據","美術","測試","客服"},INDEX('1.職能辭典'!$K:$K,MATCH(F748,'1.職能辭典'!$C:$C,0)))))&gt;0)),INDEX('2.職務職能需求'!$B$2:$F$28,MATCH(F748,'2.職務職能需求'!$A$2:$A$28,0),MATCH(D748,'2.職務職能需求'!$B$1:$F$1,0)),0),""))</f>
        <v/>
      </c>
      <c r="H748" s="94" t="n"/>
      <c r="I748" s="94" t="n"/>
      <c r="J748" s="120">
        <f>IF(OR(G748="",I748="",G748=0),"",I748-G748)</f>
        <v/>
      </c>
      <c r="K748" s="120">
        <f>IF(G748="","",IF(G748=0,"不適用",IF(I748="","待評核",IF(I748&gt;=G748,IF(I748&gt;G748,"超越","達標"),"待發展"))))</f>
        <v/>
      </c>
      <c r="L748" s="91" t="n"/>
      <c r="M748" s="91" t="n"/>
      <c r="N748" s="88" t="n"/>
    </row>
    <row r="749" ht="15.75" customHeight="1" s="64">
      <c r="A749" s="88" t="n"/>
      <c r="B749" s="120">
        <f t="array" ref="B749:B749">IF(A749="","",IFERROR(INDEX('3.員工名單'!$B:$B,MATCH(A749,'3.員工名單'!$A:$A,0)),"查無此員工"))</f>
        <v/>
      </c>
      <c r="C749" s="120">
        <f t="array" ref="C749:C749">IF(A749="","",IFERROR(INDEX('3.員工名單'!$C:$C,MATCH(A749,'3.員工名單'!$A:$A,0)),""))</f>
        <v/>
      </c>
      <c r="D749" s="120">
        <f t="array" ref="D749:D749">IF(A749="","",IFERROR(INDEX('3.員工名單'!$D:$D,MATCH(A749,'3.員工名單'!$A:$A,0)),""))</f>
        <v/>
      </c>
      <c r="E749" s="120">
        <f t="array" ref="E749:E749">IF(F749="","",IFERROR(INDEX('1.職能辭典'!$A:$A,MATCH(F749,'1.職能辭典'!$C:$C,0)),""))</f>
        <v/>
      </c>
      <c r="F749" s="94" t="n"/>
      <c r="G749" s="120">
        <f t="array" ref="G749:G749">IF(OR(D749="",F749=""),"",IFERROR(IF(AND(OR(INDEX('1.職能辭典'!$J:$J,MATCH(F749,'1.職能辭典'!$C:$C,0))="全部",INDEX('3.員工名單'!$H:$H,MATCH(A749,'3.員工名單'!$A:$A,0))="兩款共用",INDEX('3.員工名單'!$H:$H,MATCH(A749,'3.員工名單'!$A:$A,0))=INDEX('1.職能辭典'!$J:$J,MATCH(F749,'1.職能辭典'!$C:$C,0))),OR(INDEX('1.職能辭典'!$K:$K,MATCH(F749,'1.職能辭典'!$C:$C,0))="全部",SUMPRODUCT(ISNUMBER(SEARCH({"經營","管理","財務","企劃","營運","技術","數據","美術","測試","客服"},INDEX('3.員工名單'!$I:$I,MATCH(A749,'3.員工名單'!$A:$A,0))))*ISNUMBER(SEARCH({"經營","管理","財務","企劃","營運","技術","數據","美術","測試","客服"},INDEX('1.職能辭典'!$K:$K,MATCH(F749,'1.職能辭典'!$C:$C,0)))))&gt;0)),INDEX('2.職務職能需求'!$B$2:$F$28,MATCH(F749,'2.職務職能需求'!$A$2:$A$28,0),MATCH(D749,'2.職務職能需求'!$B$1:$F$1,0)),0),""))</f>
        <v/>
      </c>
      <c r="H749" s="94" t="n"/>
      <c r="I749" s="94" t="n"/>
      <c r="J749" s="120">
        <f>IF(OR(G749="",I749="",G749=0),"",I749-G749)</f>
        <v/>
      </c>
      <c r="K749" s="120">
        <f>IF(G749="","",IF(G749=0,"不適用",IF(I749="","待評核",IF(I749&gt;=G749,IF(I749&gt;G749,"超越","達標"),"待發展"))))</f>
        <v/>
      </c>
      <c r="L749" s="91" t="n"/>
      <c r="M749" s="91" t="n"/>
      <c r="N749" s="88" t="n"/>
    </row>
    <row r="750" ht="15.75" customHeight="1" s="64">
      <c r="A750" s="88" t="n"/>
      <c r="B750" s="120">
        <f t="array" ref="B750:B750">IF(A750="","",IFERROR(INDEX('3.員工名單'!$B:$B,MATCH(A750,'3.員工名單'!$A:$A,0)),"查無此員工"))</f>
        <v/>
      </c>
      <c r="C750" s="120">
        <f t="array" ref="C750:C750">IF(A750="","",IFERROR(INDEX('3.員工名單'!$C:$C,MATCH(A750,'3.員工名單'!$A:$A,0)),""))</f>
        <v/>
      </c>
      <c r="D750" s="120">
        <f t="array" ref="D750:D750">IF(A750="","",IFERROR(INDEX('3.員工名單'!$D:$D,MATCH(A750,'3.員工名單'!$A:$A,0)),""))</f>
        <v/>
      </c>
      <c r="E750" s="120">
        <f t="array" ref="E750:E750">IF(F750="","",IFERROR(INDEX('1.職能辭典'!$A:$A,MATCH(F750,'1.職能辭典'!$C:$C,0)),""))</f>
        <v/>
      </c>
      <c r="F750" s="94" t="n"/>
      <c r="G750" s="120">
        <f t="array" ref="G750:G750">IF(OR(D750="",F750=""),"",IFERROR(IF(AND(OR(INDEX('1.職能辭典'!$J:$J,MATCH(F750,'1.職能辭典'!$C:$C,0))="全部",INDEX('3.員工名單'!$H:$H,MATCH(A750,'3.員工名單'!$A:$A,0))="兩款共用",INDEX('3.員工名單'!$H:$H,MATCH(A750,'3.員工名單'!$A:$A,0))=INDEX('1.職能辭典'!$J:$J,MATCH(F750,'1.職能辭典'!$C:$C,0))),OR(INDEX('1.職能辭典'!$K:$K,MATCH(F750,'1.職能辭典'!$C:$C,0))="全部",SUMPRODUCT(ISNUMBER(SEARCH({"經營","管理","財務","企劃","營運","技術","數據","美術","測試","客服"},INDEX('3.員工名單'!$I:$I,MATCH(A750,'3.員工名單'!$A:$A,0))))*ISNUMBER(SEARCH({"經營","管理","財務","企劃","營運","技術","數據","美術","測試","客服"},INDEX('1.職能辭典'!$K:$K,MATCH(F750,'1.職能辭典'!$C:$C,0)))))&gt;0)),INDEX('2.職務職能需求'!$B$2:$F$28,MATCH(F750,'2.職務職能需求'!$A$2:$A$28,0),MATCH(D750,'2.職務職能需求'!$B$1:$F$1,0)),0),""))</f>
        <v/>
      </c>
      <c r="H750" s="94" t="n"/>
      <c r="I750" s="94" t="n"/>
      <c r="J750" s="120">
        <f>IF(OR(G750="",I750="",G750=0),"",I750-G750)</f>
        <v/>
      </c>
      <c r="K750" s="120">
        <f>IF(G750="","",IF(G750=0,"不適用",IF(I750="","待評核",IF(I750&gt;=G750,IF(I750&gt;G750,"超越","達標"),"待發展"))))</f>
        <v/>
      </c>
      <c r="L750" s="91" t="n"/>
      <c r="M750" s="91" t="n"/>
      <c r="N750" s="88" t="n"/>
    </row>
    <row r="751" ht="15.75" customHeight="1" s="64">
      <c r="A751" s="88" t="n"/>
      <c r="B751" s="120">
        <f t="array" ref="B751:B751">IF(A751="","",IFERROR(INDEX('3.員工名單'!$B:$B,MATCH(A751,'3.員工名單'!$A:$A,0)),"查無此員工"))</f>
        <v/>
      </c>
      <c r="C751" s="120">
        <f t="array" ref="C751:C751">IF(A751="","",IFERROR(INDEX('3.員工名單'!$C:$C,MATCH(A751,'3.員工名單'!$A:$A,0)),""))</f>
        <v/>
      </c>
      <c r="D751" s="120">
        <f t="array" ref="D751:D751">IF(A751="","",IFERROR(INDEX('3.員工名單'!$D:$D,MATCH(A751,'3.員工名單'!$A:$A,0)),""))</f>
        <v/>
      </c>
      <c r="E751" s="120">
        <f t="array" ref="E751:E751">IF(F751="","",IFERROR(INDEX('1.職能辭典'!$A:$A,MATCH(F751,'1.職能辭典'!$C:$C,0)),""))</f>
        <v/>
      </c>
      <c r="F751" s="94" t="n"/>
      <c r="G751" s="120">
        <f t="array" ref="G751:G751">IF(OR(D751="",F751=""),"",IFERROR(IF(AND(OR(INDEX('1.職能辭典'!$J:$J,MATCH(F751,'1.職能辭典'!$C:$C,0))="全部",INDEX('3.員工名單'!$H:$H,MATCH(A751,'3.員工名單'!$A:$A,0))="兩款共用",INDEX('3.員工名單'!$H:$H,MATCH(A751,'3.員工名單'!$A:$A,0))=INDEX('1.職能辭典'!$J:$J,MATCH(F751,'1.職能辭典'!$C:$C,0))),OR(INDEX('1.職能辭典'!$K:$K,MATCH(F751,'1.職能辭典'!$C:$C,0))="全部",SUMPRODUCT(ISNUMBER(SEARCH({"經營","管理","財務","企劃","營運","技術","數據","美術","測試","客服"},INDEX('3.員工名單'!$I:$I,MATCH(A751,'3.員工名單'!$A:$A,0))))*ISNUMBER(SEARCH({"經營","管理","財務","企劃","營運","技術","數據","美術","測試","客服"},INDEX('1.職能辭典'!$K:$K,MATCH(F751,'1.職能辭典'!$C:$C,0)))))&gt;0)),INDEX('2.職務職能需求'!$B$2:$F$28,MATCH(F751,'2.職務職能需求'!$A$2:$A$28,0),MATCH(D751,'2.職務職能需求'!$B$1:$F$1,0)),0),""))</f>
        <v/>
      </c>
      <c r="H751" s="94" t="n"/>
      <c r="I751" s="94" t="n"/>
      <c r="J751" s="120">
        <f>IF(OR(G751="",I751="",G751=0),"",I751-G751)</f>
        <v/>
      </c>
      <c r="K751" s="120">
        <f>IF(G751="","",IF(G751=0,"不適用",IF(I751="","待評核",IF(I751&gt;=G751,IF(I751&gt;G751,"超越","達標"),"待發展"))))</f>
        <v/>
      </c>
      <c r="L751" s="91" t="n"/>
      <c r="M751" s="91" t="n"/>
      <c r="N751" s="88" t="n"/>
    </row>
    <row r="752" ht="15.75" customHeight="1" s="64">
      <c r="A752" s="88" t="n"/>
      <c r="B752" s="120">
        <f t="array" ref="B752:B752">IF(A752="","",IFERROR(INDEX('3.員工名單'!$B:$B,MATCH(A752,'3.員工名單'!$A:$A,0)),"查無此員工"))</f>
        <v/>
      </c>
      <c r="C752" s="120">
        <f t="array" ref="C752:C752">IF(A752="","",IFERROR(INDEX('3.員工名單'!$C:$C,MATCH(A752,'3.員工名單'!$A:$A,0)),""))</f>
        <v/>
      </c>
      <c r="D752" s="120">
        <f t="array" ref="D752:D752">IF(A752="","",IFERROR(INDEX('3.員工名單'!$D:$D,MATCH(A752,'3.員工名單'!$A:$A,0)),""))</f>
        <v/>
      </c>
      <c r="E752" s="120">
        <f t="array" ref="E752:E752">IF(F752="","",IFERROR(INDEX('1.職能辭典'!$A:$A,MATCH(F752,'1.職能辭典'!$C:$C,0)),""))</f>
        <v/>
      </c>
      <c r="F752" s="94" t="n"/>
      <c r="G752" s="120">
        <f t="array" ref="G752:G752">IF(OR(D752="",F752=""),"",IFERROR(IF(AND(OR(INDEX('1.職能辭典'!$J:$J,MATCH(F752,'1.職能辭典'!$C:$C,0))="全部",INDEX('3.員工名單'!$H:$H,MATCH(A752,'3.員工名單'!$A:$A,0))="兩款共用",INDEX('3.員工名單'!$H:$H,MATCH(A752,'3.員工名單'!$A:$A,0))=INDEX('1.職能辭典'!$J:$J,MATCH(F752,'1.職能辭典'!$C:$C,0))),OR(INDEX('1.職能辭典'!$K:$K,MATCH(F752,'1.職能辭典'!$C:$C,0))="全部",SUMPRODUCT(ISNUMBER(SEARCH({"經營","管理","財務","企劃","營運","技術","數據","美術","測試","客服"},INDEX('3.員工名單'!$I:$I,MATCH(A752,'3.員工名單'!$A:$A,0))))*ISNUMBER(SEARCH({"經營","管理","財務","企劃","營運","技術","數據","美術","測試","客服"},INDEX('1.職能辭典'!$K:$K,MATCH(F752,'1.職能辭典'!$C:$C,0)))))&gt;0)),INDEX('2.職務職能需求'!$B$2:$F$28,MATCH(F752,'2.職務職能需求'!$A$2:$A$28,0),MATCH(D752,'2.職務職能需求'!$B$1:$F$1,0)),0),""))</f>
        <v/>
      </c>
      <c r="H752" s="94" t="n"/>
      <c r="I752" s="94" t="n"/>
      <c r="J752" s="120">
        <f>IF(OR(G752="",I752="",G752=0),"",I752-G752)</f>
        <v/>
      </c>
      <c r="K752" s="120">
        <f>IF(G752="","",IF(G752=0,"不適用",IF(I752="","待評核",IF(I752&gt;=G752,IF(I752&gt;G752,"超越","達標"),"待發展"))))</f>
        <v/>
      </c>
      <c r="L752" s="91" t="n"/>
      <c r="M752" s="91" t="n"/>
      <c r="N752" s="88" t="n"/>
    </row>
    <row r="753" ht="15.75" customHeight="1" s="64">
      <c r="A753" s="88" t="n"/>
      <c r="B753" s="120">
        <f t="array" ref="B753:B753">IF(A753="","",IFERROR(INDEX('3.員工名單'!$B:$B,MATCH(A753,'3.員工名單'!$A:$A,0)),"查無此員工"))</f>
        <v/>
      </c>
      <c r="C753" s="120">
        <f t="array" ref="C753:C753">IF(A753="","",IFERROR(INDEX('3.員工名單'!$C:$C,MATCH(A753,'3.員工名單'!$A:$A,0)),""))</f>
        <v/>
      </c>
      <c r="D753" s="120">
        <f t="array" ref="D753:D753">IF(A753="","",IFERROR(INDEX('3.員工名單'!$D:$D,MATCH(A753,'3.員工名單'!$A:$A,0)),""))</f>
        <v/>
      </c>
      <c r="E753" s="120">
        <f t="array" ref="E753:E753">IF(F753="","",IFERROR(INDEX('1.職能辭典'!$A:$A,MATCH(F753,'1.職能辭典'!$C:$C,0)),""))</f>
        <v/>
      </c>
      <c r="F753" s="94" t="n"/>
      <c r="G753" s="120">
        <f t="array" ref="G753:G753">IF(OR(D753="",F753=""),"",IFERROR(IF(AND(OR(INDEX('1.職能辭典'!$J:$J,MATCH(F753,'1.職能辭典'!$C:$C,0))="全部",INDEX('3.員工名單'!$H:$H,MATCH(A753,'3.員工名單'!$A:$A,0))="兩款共用",INDEX('3.員工名單'!$H:$H,MATCH(A753,'3.員工名單'!$A:$A,0))=INDEX('1.職能辭典'!$J:$J,MATCH(F753,'1.職能辭典'!$C:$C,0))),OR(INDEX('1.職能辭典'!$K:$K,MATCH(F753,'1.職能辭典'!$C:$C,0))="全部",SUMPRODUCT(ISNUMBER(SEARCH({"經營","管理","財務","企劃","營運","技術","數據","美術","測試","客服"},INDEX('3.員工名單'!$I:$I,MATCH(A753,'3.員工名單'!$A:$A,0))))*ISNUMBER(SEARCH({"經營","管理","財務","企劃","營運","技術","數據","美術","測試","客服"},INDEX('1.職能辭典'!$K:$K,MATCH(F753,'1.職能辭典'!$C:$C,0)))))&gt;0)),INDEX('2.職務職能需求'!$B$2:$F$28,MATCH(F753,'2.職務職能需求'!$A$2:$A$28,0),MATCH(D753,'2.職務職能需求'!$B$1:$F$1,0)),0),""))</f>
        <v/>
      </c>
      <c r="H753" s="94" t="n"/>
      <c r="I753" s="94" t="n"/>
      <c r="J753" s="120">
        <f>IF(OR(G753="",I753="",G753=0),"",I753-G753)</f>
        <v/>
      </c>
      <c r="K753" s="120">
        <f>IF(G753="","",IF(G753=0,"不適用",IF(I753="","待評核",IF(I753&gt;=G753,IF(I753&gt;G753,"超越","達標"),"待發展"))))</f>
        <v/>
      </c>
      <c r="L753" s="91" t="n"/>
      <c r="M753" s="91" t="n"/>
      <c r="N753" s="88" t="n"/>
    </row>
    <row r="754" ht="15.75" customHeight="1" s="64">
      <c r="A754" s="88" t="n"/>
      <c r="B754" s="120">
        <f t="array" ref="B754:B754">IF(A754="","",IFERROR(INDEX('3.員工名單'!$B:$B,MATCH(A754,'3.員工名單'!$A:$A,0)),"查無此員工"))</f>
        <v/>
      </c>
      <c r="C754" s="120">
        <f t="array" ref="C754:C754">IF(A754="","",IFERROR(INDEX('3.員工名單'!$C:$C,MATCH(A754,'3.員工名單'!$A:$A,0)),""))</f>
        <v/>
      </c>
      <c r="D754" s="120">
        <f t="array" ref="D754:D754">IF(A754="","",IFERROR(INDEX('3.員工名單'!$D:$D,MATCH(A754,'3.員工名單'!$A:$A,0)),""))</f>
        <v/>
      </c>
      <c r="E754" s="120">
        <f t="array" ref="E754:E754">IF(F754="","",IFERROR(INDEX('1.職能辭典'!$A:$A,MATCH(F754,'1.職能辭典'!$C:$C,0)),""))</f>
        <v/>
      </c>
      <c r="F754" s="94" t="n"/>
      <c r="G754" s="120">
        <f t="array" ref="G754:G754">IF(OR(D754="",F754=""),"",IFERROR(IF(AND(OR(INDEX('1.職能辭典'!$J:$J,MATCH(F754,'1.職能辭典'!$C:$C,0))="全部",INDEX('3.員工名單'!$H:$H,MATCH(A754,'3.員工名單'!$A:$A,0))="兩款共用",INDEX('3.員工名單'!$H:$H,MATCH(A754,'3.員工名單'!$A:$A,0))=INDEX('1.職能辭典'!$J:$J,MATCH(F754,'1.職能辭典'!$C:$C,0))),OR(INDEX('1.職能辭典'!$K:$K,MATCH(F754,'1.職能辭典'!$C:$C,0))="全部",SUMPRODUCT(ISNUMBER(SEARCH({"經營","管理","財務","企劃","營運","技術","數據","美術","測試","客服"},INDEX('3.員工名單'!$I:$I,MATCH(A754,'3.員工名單'!$A:$A,0))))*ISNUMBER(SEARCH({"經營","管理","財務","企劃","營運","技術","數據","美術","測試","客服"},INDEX('1.職能辭典'!$K:$K,MATCH(F754,'1.職能辭典'!$C:$C,0)))))&gt;0)),INDEX('2.職務職能需求'!$B$2:$F$28,MATCH(F754,'2.職務職能需求'!$A$2:$A$28,0),MATCH(D754,'2.職務職能需求'!$B$1:$F$1,0)),0),""))</f>
        <v/>
      </c>
      <c r="H754" s="94" t="n"/>
      <c r="I754" s="94" t="n"/>
      <c r="J754" s="120">
        <f>IF(OR(G754="",I754="",G754=0),"",I754-G754)</f>
        <v/>
      </c>
      <c r="K754" s="120">
        <f>IF(G754="","",IF(G754=0,"不適用",IF(I754="","待評核",IF(I754&gt;=G754,IF(I754&gt;G754,"超越","達標"),"待發展"))))</f>
        <v/>
      </c>
      <c r="L754" s="91" t="n"/>
      <c r="M754" s="91" t="n"/>
      <c r="N754" s="88" t="n"/>
    </row>
    <row r="755" ht="15.75" customHeight="1" s="64">
      <c r="A755" s="88" t="n"/>
      <c r="B755" s="120">
        <f t="array" ref="B755:B755">IF(A755="","",IFERROR(INDEX('3.員工名單'!$B:$B,MATCH(A755,'3.員工名單'!$A:$A,0)),"查無此員工"))</f>
        <v/>
      </c>
      <c r="C755" s="120">
        <f t="array" ref="C755:C755">IF(A755="","",IFERROR(INDEX('3.員工名單'!$C:$C,MATCH(A755,'3.員工名單'!$A:$A,0)),""))</f>
        <v/>
      </c>
      <c r="D755" s="120">
        <f t="array" ref="D755:D755">IF(A755="","",IFERROR(INDEX('3.員工名單'!$D:$D,MATCH(A755,'3.員工名單'!$A:$A,0)),""))</f>
        <v/>
      </c>
      <c r="E755" s="120">
        <f t="array" ref="E755:E755">IF(F755="","",IFERROR(INDEX('1.職能辭典'!$A:$A,MATCH(F755,'1.職能辭典'!$C:$C,0)),""))</f>
        <v/>
      </c>
      <c r="F755" s="94" t="n"/>
      <c r="G755" s="120">
        <f t="array" ref="G755:G755">IF(OR(D755="",F755=""),"",IFERROR(IF(AND(OR(INDEX('1.職能辭典'!$J:$J,MATCH(F755,'1.職能辭典'!$C:$C,0))="全部",INDEX('3.員工名單'!$H:$H,MATCH(A755,'3.員工名單'!$A:$A,0))="兩款共用",INDEX('3.員工名單'!$H:$H,MATCH(A755,'3.員工名單'!$A:$A,0))=INDEX('1.職能辭典'!$J:$J,MATCH(F755,'1.職能辭典'!$C:$C,0))),OR(INDEX('1.職能辭典'!$K:$K,MATCH(F755,'1.職能辭典'!$C:$C,0))="全部",SUMPRODUCT(ISNUMBER(SEARCH({"經營","管理","財務","企劃","營運","技術","數據","美術","測試","客服"},INDEX('3.員工名單'!$I:$I,MATCH(A755,'3.員工名單'!$A:$A,0))))*ISNUMBER(SEARCH({"經營","管理","財務","企劃","營運","技術","數據","美術","測試","客服"},INDEX('1.職能辭典'!$K:$K,MATCH(F755,'1.職能辭典'!$C:$C,0)))))&gt;0)),INDEX('2.職務職能需求'!$B$2:$F$28,MATCH(F755,'2.職務職能需求'!$A$2:$A$28,0),MATCH(D755,'2.職務職能需求'!$B$1:$F$1,0)),0),""))</f>
        <v/>
      </c>
      <c r="H755" s="94" t="n"/>
      <c r="I755" s="94" t="n"/>
      <c r="J755" s="120">
        <f>IF(OR(G755="",I755="",G755=0),"",I755-G755)</f>
        <v/>
      </c>
      <c r="K755" s="120">
        <f>IF(G755="","",IF(G755=0,"不適用",IF(I755="","待評核",IF(I755&gt;=G755,IF(I755&gt;G755,"超越","達標"),"待發展"))))</f>
        <v/>
      </c>
      <c r="L755" s="91" t="n"/>
      <c r="M755" s="91" t="n"/>
      <c r="N755" s="88" t="n"/>
    </row>
    <row r="756" ht="15.75" customHeight="1" s="64">
      <c r="A756" s="88" t="n"/>
      <c r="B756" s="120">
        <f t="array" ref="B756:B756">IF(A756="","",IFERROR(INDEX('3.員工名單'!$B:$B,MATCH(A756,'3.員工名單'!$A:$A,0)),"查無此員工"))</f>
        <v/>
      </c>
      <c r="C756" s="120">
        <f t="array" ref="C756:C756">IF(A756="","",IFERROR(INDEX('3.員工名單'!$C:$C,MATCH(A756,'3.員工名單'!$A:$A,0)),""))</f>
        <v/>
      </c>
      <c r="D756" s="120">
        <f t="array" ref="D756:D756">IF(A756="","",IFERROR(INDEX('3.員工名單'!$D:$D,MATCH(A756,'3.員工名單'!$A:$A,0)),""))</f>
        <v/>
      </c>
      <c r="E756" s="120">
        <f t="array" ref="E756:E756">IF(F756="","",IFERROR(INDEX('1.職能辭典'!$A:$A,MATCH(F756,'1.職能辭典'!$C:$C,0)),""))</f>
        <v/>
      </c>
      <c r="F756" s="94" t="n"/>
      <c r="G756" s="120">
        <f t="array" ref="G756:G756">IF(OR(D756="",F756=""),"",IFERROR(IF(AND(OR(INDEX('1.職能辭典'!$J:$J,MATCH(F756,'1.職能辭典'!$C:$C,0))="全部",INDEX('3.員工名單'!$H:$H,MATCH(A756,'3.員工名單'!$A:$A,0))="兩款共用",INDEX('3.員工名單'!$H:$H,MATCH(A756,'3.員工名單'!$A:$A,0))=INDEX('1.職能辭典'!$J:$J,MATCH(F756,'1.職能辭典'!$C:$C,0))),OR(INDEX('1.職能辭典'!$K:$K,MATCH(F756,'1.職能辭典'!$C:$C,0))="全部",SUMPRODUCT(ISNUMBER(SEARCH({"經營","管理","財務","企劃","營運","技術","數據","美術","測試","客服"},INDEX('3.員工名單'!$I:$I,MATCH(A756,'3.員工名單'!$A:$A,0))))*ISNUMBER(SEARCH({"經營","管理","財務","企劃","營運","技術","數據","美術","測試","客服"},INDEX('1.職能辭典'!$K:$K,MATCH(F756,'1.職能辭典'!$C:$C,0)))))&gt;0)),INDEX('2.職務職能需求'!$B$2:$F$28,MATCH(F756,'2.職務職能需求'!$A$2:$A$28,0),MATCH(D756,'2.職務職能需求'!$B$1:$F$1,0)),0),""))</f>
        <v/>
      </c>
      <c r="H756" s="94" t="n"/>
      <c r="I756" s="94" t="n"/>
      <c r="J756" s="120">
        <f>IF(OR(G756="",I756="",G756=0),"",I756-G756)</f>
        <v/>
      </c>
      <c r="K756" s="120">
        <f>IF(G756="","",IF(G756=0,"不適用",IF(I756="","待評核",IF(I756&gt;=G756,IF(I756&gt;G756,"超越","達標"),"待發展"))))</f>
        <v/>
      </c>
      <c r="L756" s="91" t="n"/>
      <c r="M756" s="91" t="n"/>
      <c r="N756" s="88" t="n"/>
    </row>
    <row r="757" ht="15.75" customHeight="1" s="64">
      <c r="A757" s="88" t="n"/>
      <c r="B757" s="120">
        <f t="array" ref="B757:B757">IF(A757="","",IFERROR(INDEX('3.員工名單'!$B:$B,MATCH(A757,'3.員工名單'!$A:$A,0)),"查無此員工"))</f>
        <v/>
      </c>
      <c r="C757" s="120">
        <f t="array" ref="C757:C757">IF(A757="","",IFERROR(INDEX('3.員工名單'!$C:$C,MATCH(A757,'3.員工名單'!$A:$A,0)),""))</f>
        <v/>
      </c>
      <c r="D757" s="120">
        <f t="array" ref="D757:D757">IF(A757="","",IFERROR(INDEX('3.員工名單'!$D:$D,MATCH(A757,'3.員工名單'!$A:$A,0)),""))</f>
        <v/>
      </c>
      <c r="E757" s="120">
        <f t="array" ref="E757:E757">IF(F757="","",IFERROR(INDEX('1.職能辭典'!$A:$A,MATCH(F757,'1.職能辭典'!$C:$C,0)),""))</f>
        <v/>
      </c>
      <c r="F757" s="94" t="n"/>
      <c r="G757" s="120">
        <f t="array" ref="G757:G757">IF(OR(D757="",F757=""),"",IFERROR(IF(AND(OR(INDEX('1.職能辭典'!$J:$J,MATCH(F757,'1.職能辭典'!$C:$C,0))="全部",INDEX('3.員工名單'!$H:$H,MATCH(A757,'3.員工名單'!$A:$A,0))="兩款共用",INDEX('3.員工名單'!$H:$H,MATCH(A757,'3.員工名單'!$A:$A,0))=INDEX('1.職能辭典'!$J:$J,MATCH(F757,'1.職能辭典'!$C:$C,0))),OR(INDEX('1.職能辭典'!$K:$K,MATCH(F757,'1.職能辭典'!$C:$C,0))="全部",SUMPRODUCT(ISNUMBER(SEARCH({"經營","管理","財務","企劃","營運","技術","數據","美術","測試","客服"},INDEX('3.員工名單'!$I:$I,MATCH(A757,'3.員工名單'!$A:$A,0))))*ISNUMBER(SEARCH({"經營","管理","財務","企劃","營運","技術","數據","美術","測試","客服"},INDEX('1.職能辭典'!$K:$K,MATCH(F757,'1.職能辭典'!$C:$C,0)))))&gt;0)),INDEX('2.職務職能需求'!$B$2:$F$28,MATCH(F757,'2.職務職能需求'!$A$2:$A$28,0),MATCH(D757,'2.職務職能需求'!$B$1:$F$1,0)),0),""))</f>
        <v/>
      </c>
      <c r="H757" s="94" t="n"/>
      <c r="I757" s="94" t="n"/>
      <c r="J757" s="120">
        <f>IF(OR(G757="",I757="",G757=0),"",I757-G757)</f>
        <v/>
      </c>
      <c r="K757" s="120">
        <f>IF(G757="","",IF(G757=0,"不適用",IF(I757="","待評核",IF(I757&gt;=G757,IF(I757&gt;G757,"超越","達標"),"待發展"))))</f>
        <v/>
      </c>
      <c r="L757" s="91" t="n"/>
      <c r="M757" s="91" t="n"/>
      <c r="N757" s="88" t="n"/>
    </row>
    <row r="758" ht="15.75" customHeight="1" s="64">
      <c r="A758" s="88" t="n"/>
      <c r="B758" s="120">
        <f t="array" ref="B758:B758">IF(A758="","",IFERROR(INDEX('3.員工名單'!$B:$B,MATCH(A758,'3.員工名單'!$A:$A,0)),"查無此員工"))</f>
        <v/>
      </c>
      <c r="C758" s="120">
        <f t="array" ref="C758:C758">IF(A758="","",IFERROR(INDEX('3.員工名單'!$C:$C,MATCH(A758,'3.員工名單'!$A:$A,0)),""))</f>
        <v/>
      </c>
      <c r="D758" s="120">
        <f t="array" ref="D758:D758">IF(A758="","",IFERROR(INDEX('3.員工名單'!$D:$D,MATCH(A758,'3.員工名單'!$A:$A,0)),""))</f>
        <v/>
      </c>
      <c r="E758" s="120">
        <f t="array" ref="E758:E758">IF(F758="","",IFERROR(INDEX('1.職能辭典'!$A:$A,MATCH(F758,'1.職能辭典'!$C:$C,0)),""))</f>
        <v/>
      </c>
      <c r="F758" s="94" t="n"/>
      <c r="G758" s="120">
        <f t="array" ref="G758:G758">IF(OR(D758="",F758=""),"",IFERROR(IF(AND(OR(INDEX('1.職能辭典'!$J:$J,MATCH(F758,'1.職能辭典'!$C:$C,0))="全部",INDEX('3.員工名單'!$H:$H,MATCH(A758,'3.員工名單'!$A:$A,0))="兩款共用",INDEX('3.員工名單'!$H:$H,MATCH(A758,'3.員工名單'!$A:$A,0))=INDEX('1.職能辭典'!$J:$J,MATCH(F758,'1.職能辭典'!$C:$C,0))),OR(INDEX('1.職能辭典'!$K:$K,MATCH(F758,'1.職能辭典'!$C:$C,0))="全部",SUMPRODUCT(ISNUMBER(SEARCH({"經營","管理","財務","企劃","營運","技術","數據","美術","測試","客服"},INDEX('3.員工名單'!$I:$I,MATCH(A758,'3.員工名單'!$A:$A,0))))*ISNUMBER(SEARCH({"經營","管理","財務","企劃","營運","技術","數據","美術","測試","客服"},INDEX('1.職能辭典'!$K:$K,MATCH(F758,'1.職能辭典'!$C:$C,0)))))&gt;0)),INDEX('2.職務職能需求'!$B$2:$F$28,MATCH(F758,'2.職務職能需求'!$A$2:$A$28,0),MATCH(D758,'2.職務職能需求'!$B$1:$F$1,0)),0),""))</f>
        <v/>
      </c>
      <c r="H758" s="94" t="n"/>
      <c r="I758" s="94" t="n"/>
      <c r="J758" s="120">
        <f>IF(OR(G758="",I758="",G758=0),"",I758-G758)</f>
        <v/>
      </c>
      <c r="K758" s="120">
        <f>IF(G758="","",IF(G758=0,"不適用",IF(I758="","待評核",IF(I758&gt;=G758,IF(I758&gt;G758,"超越","達標"),"待發展"))))</f>
        <v/>
      </c>
      <c r="L758" s="91" t="n"/>
      <c r="M758" s="91" t="n"/>
      <c r="N758" s="88" t="n"/>
    </row>
    <row r="759" ht="15.75" customHeight="1" s="64">
      <c r="A759" s="88" t="n"/>
      <c r="B759" s="120">
        <f t="array" ref="B759:B759">IF(A759="","",IFERROR(INDEX('3.員工名單'!$B:$B,MATCH(A759,'3.員工名單'!$A:$A,0)),"查無此員工"))</f>
        <v/>
      </c>
      <c r="C759" s="120">
        <f t="array" ref="C759:C759">IF(A759="","",IFERROR(INDEX('3.員工名單'!$C:$C,MATCH(A759,'3.員工名單'!$A:$A,0)),""))</f>
        <v/>
      </c>
      <c r="D759" s="120">
        <f t="array" ref="D759:D759">IF(A759="","",IFERROR(INDEX('3.員工名單'!$D:$D,MATCH(A759,'3.員工名單'!$A:$A,0)),""))</f>
        <v/>
      </c>
      <c r="E759" s="120">
        <f t="array" ref="E759:E759">IF(F759="","",IFERROR(INDEX('1.職能辭典'!$A:$A,MATCH(F759,'1.職能辭典'!$C:$C,0)),""))</f>
        <v/>
      </c>
      <c r="F759" s="94" t="n"/>
      <c r="G759" s="120">
        <f t="array" ref="G759:G759">IF(OR(D759="",F759=""),"",IFERROR(IF(AND(OR(INDEX('1.職能辭典'!$J:$J,MATCH(F759,'1.職能辭典'!$C:$C,0))="全部",INDEX('3.員工名單'!$H:$H,MATCH(A759,'3.員工名單'!$A:$A,0))="兩款共用",INDEX('3.員工名單'!$H:$H,MATCH(A759,'3.員工名單'!$A:$A,0))=INDEX('1.職能辭典'!$J:$J,MATCH(F759,'1.職能辭典'!$C:$C,0))),OR(INDEX('1.職能辭典'!$K:$K,MATCH(F759,'1.職能辭典'!$C:$C,0))="全部",SUMPRODUCT(ISNUMBER(SEARCH({"經營","管理","財務","企劃","營運","技術","數據","美術","測試","客服"},INDEX('3.員工名單'!$I:$I,MATCH(A759,'3.員工名單'!$A:$A,0))))*ISNUMBER(SEARCH({"經營","管理","財務","企劃","營運","技術","數據","美術","測試","客服"},INDEX('1.職能辭典'!$K:$K,MATCH(F759,'1.職能辭典'!$C:$C,0)))))&gt;0)),INDEX('2.職務職能需求'!$B$2:$F$28,MATCH(F759,'2.職務職能需求'!$A$2:$A$28,0),MATCH(D759,'2.職務職能需求'!$B$1:$F$1,0)),0),""))</f>
        <v/>
      </c>
      <c r="H759" s="94" t="n"/>
      <c r="I759" s="94" t="n"/>
      <c r="J759" s="120">
        <f>IF(OR(G759="",I759="",G759=0),"",I759-G759)</f>
        <v/>
      </c>
      <c r="K759" s="120">
        <f>IF(G759="","",IF(G759=0,"不適用",IF(I759="","待評核",IF(I759&gt;=G759,IF(I759&gt;G759,"超越","達標"),"待發展"))))</f>
        <v/>
      </c>
      <c r="L759" s="91" t="n"/>
      <c r="M759" s="91" t="n"/>
      <c r="N759" s="88" t="n"/>
    </row>
    <row r="760" ht="15.75" customHeight="1" s="64">
      <c r="A760" s="88" t="n"/>
      <c r="B760" s="120">
        <f t="array" ref="B760:B760">IF(A760="","",IFERROR(INDEX('3.員工名單'!$B:$B,MATCH(A760,'3.員工名單'!$A:$A,0)),"查無此員工"))</f>
        <v/>
      </c>
      <c r="C760" s="120">
        <f t="array" ref="C760:C760">IF(A760="","",IFERROR(INDEX('3.員工名單'!$C:$C,MATCH(A760,'3.員工名單'!$A:$A,0)),""))</f>
        <v/>
      </c>
      <c r="D760" s="120">
        <f t="array" ref="D760:D760">IF(A760="","",IFERROR(INDEX('3.員工名單'!$D:$D,MATCH(A760,'3.員工名單'!$A:$A,0)),""))</f>
        <v/>
      </c>
      <c r="E760" s="120">
        <f t="array" ref="E760:E760">IF(F760="","",IFERROR(INDEX('1.職能辭典'!$A:$A,MATCH(F760,'1.職能辭典'!$C:$C,0)),""))</f>
        <v/>
      </c>
      <c r="F760" s="94" t="n"/>
      <c r="G760" s="120">
        <f t="array" ref="G760:G760">IF(OR(D760="",F760=""),"",IFERROR(IF(AND(OR(INDEX('1.職能辭典'!$J:$J,MATCH(F760,'1.職能辭典'!$C:$C,0))="全部",INDEX('3.員工名單'!$H:$H,MATCH(A760,'3.員工名單'!$A:$A,0))="兩款共用",INDEX('3.員工名單'!$H:$H,MATCH(A760,'3.員工名單'!$A:$A,0))=INDEX('1.職能辭典'!$J:$J,MATCH(F760,'1.職能辭典'!$C:$C,0))),OR(INDEX('1.職能辭典'!$K:$K,MATCH(F760,'1.職能辭典'!$C:$C,0))="全部",SUMPRODUCT(ISNUMBER(SEARCH({"經營","管理","財務","企劃","營運","技術","數據","美術","測試","客服"},INDEX('3.員工名單'!$I:$I,MATCH(A760,'3.員工名單'!$A:$A,0))))*ISNUMBER(SEARCH({"經營","管理","財務","企劃","營運","技術","數據","美術","測試","客服"},INDEX('1.職能辭典'!$K:$K,MATCH(F760,'1.職能辭典'!$C:$C,0)))))&gt;0)),INDEX('2.職務職能需求'!$B$2:$F$28,MATCH(F760,'2.職務職能需求'!$A$2:$A$28,0),MATCH(D760,'2.職務職能需求'!$B$1:$F$1,0)),0),""))</f>
        <v/>
      </c>
      <c r="H760" s="94" t="n"/>
      <c r="I760" s="94" t="n"/>
      <c r="J760" s="120">
        <f>IF(OR(G760="",I760="",G760=0),"",I760-G760)</f>
        <v/>
      </c>
      <c r="K760" s="120">
        <f>IF(G760="","",IF(G760=0,"不適用",IF(I760="","待評核",IF(I760&gt;=G760,IF(I760&gt;G760,"超越","達標"),"待發展"))))</f>
        <v/>
      </c>
      <c r="L760" s="91" t="n"/>
      <c r="M760" s="91" t="n"/>
      <c r="N760" s="88" t="n"/>
    </row>
    <row r="761" ht="15.75" customHeight="1" s="64">
      <c r="A761" s="88" t="n"/>
      <c r="B761" s="120">
        <f t="array" ref="B761:B761">IF(A761="","",IFERROR(INDEX('3.員工名單'!$B:$B,MATCH(A761,'3.員工名單'!$A:$A,0)),"查無此員工"))</f>
        <v/>
      </c>
      <c r="C761" s="120">
        <f t="array" ref="C761:C761">IF(A761="","",IFERROR(INDEX('3.員工名單'!$C:$C,MATCH(A761,'3.員工名單'!$A:$A,0)),""))</f>
        <v/>
      </c>
      <c r="D761" s="120">
        <f t="array" ref="D761:D761">IF(A761="","",IFERROR(INDEX('3.員工名單'!$D:$D,MATCH(A761,'3.員工名單'!$A:$A,0)),""))</f>
        <v/>
      </c>
      <c r="E761" s="120">
        <f t="array" ref="E761:E761">IF(F761="","",IFERROR(INDEX('1.職能辭典'!$A:$A,MATCH(F761,'1.職能辭典'!$C:$C,0)),""))</f>
        <v/>
      </c>
      <c r="F761" s="94" t="n"/>
      <c r="G761" s="120">
        <f t="array" ref="G761:G761">IF(OR(D761="",F761=""),"",IFERROR(IF(AND(OR(INDEX('1.職能辭典'!$J:$J,MATCH(F761,'1.職能辭典'!$C:$C,0))="全部",INDEX('3.員工名單'!$H:$H,MATCH(A761,'3.員工名單'!$A:$A,0))="兩款共用",INDEX('3.員工名單'!$H:$H,MATCH(A761,'3.員工名單'!$A:$A,0))=INDEX('1.職能辭典'!$J:$J,MATCH(F761,'1.職能辭典'!$C:$C,0))),OR(INDEX('1.職能辭典'!$K:$K,MATCH(F761,'1.職能辭典'!$C:$C,0))="全部",SUMPRODUCT(ISNUMBER(SEARCH({"經營","管理","財務","企劃","營運","技術","數據","美術","測試","客服"},INDEX('3.員工名單'!$I:$I,MATCH(A761,'3.員工名單'!$A:$A,0))))*ISNUMBER(SEARCH({"經營","管理","財務","企劃","營運","技術","數據","美術","測試","客服"},INDEX('1.職能辭典'!$K:$K,MATCH(F761,'1.職能辭典'!$C:$C,0)))))&gt;0)),INDEX('2.職務職能需求'!$B$2:$F$28,MATCH(F761,'2.職務職能需求'!$A$2:$A$28,0),MATCH(D761,'2.職務職能需求'!$B$1:$F$1,0)),0),""))</f>
        <v/>
      </c>
      <c r="H761" s="94" t="n"/>
      <c r="I761" s="94" t="n"/>
      <c r="J761" s="120">
        <f>IF(OR(G761="",I761="",G761=0),"",I761-G761)</f>
        <v/>
      </c>
      <c r="K761" s="120">
        <f>IF(G761="","",IF(G761=0,"不適用",IF(I761="","待評核",IF(I761&gt;=G761,IF(I761&gt;G761,"超越","達標"),"待發展"))))</f>
        <v/>
      </c>
      <c r="L761" s="91" t="n"/>
      <c r="M761" s="91" t="n"/>
      <c r="N761" s="88" t="n"/>
    </row>
    <row r="762" ht="15.75" customHeight="1" s="64">
      <c r="A762" s="88" t="n"/>
      <c r="B762" s="120">
        <f t="array" ref="B762:B762">IF(A762="","",IFERROR(INDEX('3.員工名單'!$B:$B,MATCH(A762,'3.員工名單'!$A:$A,0)),"查無此員工"))</f>
        <v/>
      </c>
      <c r="C762" s="120">
        <f t="array" ref="C762:C762">IF(A762="","",IFERROR(INDEX('3.員工名單'!$C:$C,MATCH(A762,'3.員工名單'!$A:$A,0)),""))</f>
        <v/>
      </c>
      <c r="D762" s="120">
        <f t="array" ref="D762:D762">IF(A762="","",IFERROR(INDEX('3.員工名單'!$D:$D,MATCH(A762,'3.員工名單'!$A:$A,0)),""))</f>
        <v/>
      </c>
      <c r="E762" s="120">
        <f t="array" ref="E762:E762">IF(F762="","",IFERROR(INDEX('1.職能辭典'!$A:$A,MATCH(F762,'1.職能辭典'!$C:$C,0)),""))</f>
        <v/>
      </c>
      <c r="F762" s="94" t="n"/>
      <c r="G762" s="120">
        <f t="array" ref="G762:G762">IF(OR(D762="",F762=""),"",IFERROR(IF(AND(OR(INDEX('1.職能辭典'!$J:$J,MATCH(F762,'1.職能辭典'!$C:$C,0))="全部",INDEX('3.員工名單'!$H:$H,MATCH(A762,'3.員工名單'!$A:$A,0))="兩款共用",INDEX('3.員工名單'!$H:$H,MATCH(A762,'3.員工名單'!$A:$A,0))=INDEX('1.職能辭典'!$J:$J,MATCH(F762,'1.職能辭典'!$C:$C,0))),OR(INDEX('1.職能辭典'!$K:$K,MATCH(F762,'1.職能辭典'!$C:$C,0))="全部",SUMPRODUCT(ISNUMBER(SEARCH({"經營","管理","財務","企劃","營運","技術","數據","美術","測試","客服"},INDEX('3.員工名單'!$I:$I,MATCH(A762,'3.員工名單'!$A:$A,0))))*ISNUMBER(SEARCH({"經營","管理","財務","企劃","營運","技術","數據","美術","測試","客服"},INDEX('1.職能辭典'!$K:$K,MATCH(F762,'1.職能辭典'!$C:$C,0)))))&gt;0)),INDEX('2.職務職能需求'!$B$2:$F$28,MATCH(F762,'2.職務職能需求'!$A$2:$A$28,0),MATCH(D762,'2.職務職能需求'!$B$1:$F$1,0)),0),""))</f>
        <v/>
      </c>
      <c r="H762" s="94" t="n"/>
      <c r="I762" s="94" t="n"/>
      <c r="J762" s="120">
        <f>IF(OR(G762="",I762="",G762=0),"",I762-G762)</f>
        <v/>
      </c>
      <c r="K762" s="120">
        <f>IF(G762="","",IF(G762=0,"不適用",IF(I762="","待評核",IF(I762&gt;=G762,IF(I762&gt;G762,"超越","達標"),"待發展"))))</f>
        <v/>
      </c>
      <c r="L762" s="91" t="n"/>
      <c r="M762" s="91" t="n"/>
      <c r="N762" s="88" t="n"/>
    </row>
    <row r="763" ht="15.75" customHeight="1" s="64">
      <c r="A763" s="88" t="n"/>
      <c r="B763" s="120">
        <f t="array" ref="B763:B763">IF(A763="","",IFERROR(INDEX('3.員工名單'!$B:$B,MATCH(A763,'3.員工名單'!$A:$A,0)),"查無此員工"))</f>
        <v/>
      </c>
      <c r="C763" s="120">
        <f t="array" ref="C763:C763">IF(A763="","",IFERROR(INDEX('3.員工名單'!$C:$C,MATCH(A763,'3.員工名單'!$A:$A,0)),""))</f>
        <v/>
      </c>
      <c r="D763" s="120">
        <f t="array" ref="D763:D763">IF(A763="","",IFERROR(INDEX('3.員工名單'!$D:$D,MATCH(A763,'3.員工名單'!$A:$A,0)),""))</f>
        <v/>
      </c>
      <c r="E763" s="120">
        <f t="array" ref="E763:E763">IF(F763="","",IFERROR(INDEX('1.職能辭典'!$A:$A,MATCH(F763,'1.職能辭典'!$C:$C,0)),""))</f>
        <v/>
      </c>
      <c r="F763" s="94" t="n"/>
      <c r="G763" s="120">
        <f t="array" ref="G763:G763">IF(OR(D763="",F763=""),"",IFERROR(IF(AND(OR(INDEX('1.職能辭典'!$J:$J,MATCH(F763,'1.職能辭典'!$C:$C,0))="全部",INDEX('3.員工名單'!$H:$H,MATCH(A763,'3.員工名單'!$A:$A,0))="兩款共用",INDEX('3.員工名單'!$H:$H,MATCH(A763,'3.員工名單'!$A:$A,0))=INDEX('1.職能辭典'!$J:$J,MATCH(F763,'1.職能辭典'!$C:$C,0))),OR(INDEX('1.職能辭典'!$K:$K,MATCH(F763,'1.職能辭典'!$C:$C,0))="全部",SUMPRODUCT(ISNUMBER(SEARCH({"經營","管理","財務","企劃","營運","技術","數據","美術","測試","客服"},INDEX('3.員工名單'!$I:$I,MATCH(A763,'3.員工名單'!$A:$A,0))))*ISNUMBER(SEARCH({"經營","管理","財務","企劃","營運","技術","數據","美術","測試","客服"},INDEX('1.職能辭典'!$K:$K,MATCH(F763,'1.職能辭典'!$C:$C,0)))))&gt;0)),INDEX('2.職務職能需求'!$B$2:$F$28,MATCH(F763,'2.職務職能需求'!$A$2:$A$28,0),MATCH(D763,'2.職務職能需求'!$B$1:$F$1,0)),0),""))</f>
        <v/>
      </c>
      <c r="H763" s="94" t="n"/>
      <c r="I763" s="94" t="n"/>
      <c r="J763" s="120">
        <f>IF(OR(G763="",I763="",G763=0),"",I763-G763)</f>
        <v/>
      </c>
      <c r="K763" s="120">
        <f>IF(G763="","",IF(G763=0,"不適用",IF(I763="","待評核",IF(I763&gt;=G763,IF(I763&gt;G763,"超越","達標"),"待發展"))))</f>
        <v/>
      </c>
      <c r="L763" s="91" t="n"/>
      <c r="M763" s="91" t="n"/>
      <c r="N763" s="88" t="n"/>
    </row>
    <row r="764" ht="15.75" customHeight="1" s="64">
      <c r="A764" s="88" t="n"/>
      <c r="B764" s="120">
        <f t="array" ref="B764:B764">IF(A764="","",IFERROR(INDEX('3.員工名單'!$B:$B,MATCH(A764,'3.員工名單'!$A:$A,0)),"查無此員工"))</f>
        <v/>
      </c>
      <c r="C764" s="120">
        <f t="array" ref="C764:C764">IF(A764="","",IFERROR(INDEX('3.員工名單'!$C:$C,MATCH(A764,'3.員工名單'!$A:$A,0)),""))</f>
        <v/>
      </c>
      <c r="D764" s="120">
        <f t="array" ref="D764:D764">IF(A764="","",IFERROR(INDEX('3.員工名單'!$D:$D,MATCH(A764,'3.員工名單'!$A:$A,0)),""))</f>
        <v/>
      </c>
      <c r="E764" s="120">
        <f t="array" ref="E764:E764">IF(F764="","",IFERROR(INDEX('1.職能辭典'!$A:$A,MATCH(F764,'1.職能辭典'!$C:$C,0)),""))</f>
        <v/>
      </c>
      <c r="F764" s="94" t="n"/>
      <c r="G764" s="120">
        <f t="array" ref="G764:G764">IF(OR(D764="",F764=""),"",IFERROR(IF(AND(OR(INDEX('1.職能辭典'!$J:$J,MATCH(F764,'1.職能辭典'!$C:$C,0))="全部",INDEX('3.員工名單'!$H:$H,MATCH(A764,'3.員工名單'!$A:$A,0))="兩款共用",INDEX('3.員工名單'!$H:$H,MATCH(A764,'3.員工名單'!$A:$A,0))=INDEX('1.職能辭典'!$J:$J,MATCH(F764,'1.職能辭典'!$C:$C,0))),OR(INDEX('1.職能辭典'!$K:$K,MATCH(F764,'1.職能辭典'!$C:$C,0))="全部",SUMPRODUCT(ISNUMBER(SEARCH({"經營","管理","財務","企劃","營運","技術","數據","美術","測試","客服"},INDEX('3.員工名單'!$I:$I,MATCH(A764,'3.員工名單'!$A:$A,0))))*ISNUMBER(SEARCH({"經營","管理","財務","企劃","營運","技術","數據","美術","測試","客服"},INDEX('1.職能辭典'!$K:$K,MATCH(F764,'1.職能辭典'!$C:$C,0)))))&gt;0)),INDEX('2.職務職能需求'!$B$2:$F$28,MATCH(F764,'2.職務職能需求'!$A$2:$A$28,0),MATCH(D764,'2.職務職能需求'!$B$1:$F$1,0)),0),""))</f>
        <v/>
      </c>
      <c r="H764" s="94" t="n"/>
      <c r="I764" s="94" t="n"/>
      <c r="J764" s="120">
        <f>IF(OR(G764="",I764="",G764=0),"",I764-G764)</f>
        <v/>
      </c>
      <c r="K764" s="120">
        <f>IF(G764="","",IF(G764=0,"不適用",IF(I764="","待評核",IF(I764&gt;=G764,IF(I764&gt;G764,"超越","達標"),"待發展"))))</f>
        <v/>
      </c>
      <c r="L764" s="91" t="n"/>
      <c r="M764" s="91" t="n"/>
      <c r="N764" s="88" t="n"/>
    </row>
    <row r="765" ht="15.75" customHeight="1" s="64">
      <c r="A765" s="88" t="n"/>
      <c r="B765" s="120">
        <f t="array" ref="B765:B765">IF(A765="","",IFERROR(INDEX('3.員工名單'!$B:$B,MATCH(A765,'3.員工名單'!$A:$A,0)),"查無此員工"))</f>
        <v/>
      </c>
      <c r="C765" s="120">
        <f t="array" ref="C765:C765">IF(A765="","",IFERROR(INDEX('3.員工名單'!$C:$C,MATCH(A765,'3.員工名單'!$A:$A,0)),""))</f>
        <v/>
      </c>
      <c r="D765" s="120">
        <f t="array" ref="D765:D765">IF(A765="","",IFERROR(INDEX('3.員工名單'!$D:$D,MATCH(A765,'3.員工名單'!$A:$A,0)),""))</f>
        <v/>
      </c>
      <c r="E765" s="120">
        <f t="array" ref="E765:E765">IF(F765="","",IFERROR(INDEX('1.職能辭典'!$A:$A,MATCH(F765,'1.職能辭典'!$C:$C,0)),""))</f>
        <v/>
      </c>
      <c r="F765" s="94" t="n"/>
      <c r="G765" s="120">
        <f t="array" ref="G765:G765">IF(OR(D765="",F765=""),"",IFERROR(IF(AND(OR(INDEX('1.職能辭典'!$J:$J,MATCH(F765,'1.職能辭典'!$C:$C,0))="全部",INDEX('3.員工名單'!$H:$H,MATCH(A765,'3.員工名單'!$A:$A,0))="兩款共用",INDEX('3.員工名單'!$H:$H,MATCH(A765,'3.員工名單'!$A:$A,0))=INDEX('1.職能辭典'!$J:$J,MATCH(F765,'1.職能辭典'!$C:$C,0))),OR(INDEX('1.職能辭典'!$K:$K,MATCH(F765,'1.職能辭典'!$C:$C,0))="全部",SUMPRODUCT(ISNUMBER(SEARCH({"經營","管理","財務","企劃","營運","技術","數據","美術","測試","客服"},INDEX('3.員工名單'!$I:$I,MATCH(A765,'3.員工名單'!$A:$A,0))))*ISNUMBER(SEARCH({"經營","管理","財務","企劃","營運","技術","數據","美術","測試","客服"},INDEX('1.職能辭典'!$K:$K,MATCH(F765,'1.職能辭典'!$C:$C,0)))))&gt;0)),INDEX('2.職務職能需求'!$B$2:$F$28,MATCH(F765,'2.職務職能需求'!$A$2:$A$28,0),MATCH(D765,'2.職務職能需求'!$B$1:$F$1,0)),0),""))</f>
        <v/>
      </c>
      <c r="H765" s="94" t="n"/>
      <c r="I765" s="94" t="n"/>
      <c r="J765" s="120">
        <f>IF(OR(G765="",I765="",G765=0),"",I765-G765)</f>
        <v/>
      </c>
      <c r="K765" s="120">
        <f>IF(G765="","",IF(G765=0,"不適用",IF(I765="","待評核",IF(I765&gt;=G765,IF(I765&gt;G765,"超越","達標"),"待發展"))))</f>
        <v/>
      </c>
      <c r="L765" s="91" t="n"/>
      <c r="M765" s="91" t="n"/>
      <c r="N765" s="88" t="n"/>
    </row>
    <row r="766" ht="15.75" customHeight="1" s="64">
      <c r="A766" s="88" t="n"/>
      <c r="B766" s="120">
        <f t="array" ref="B766:B766">IF(A766="","",IFERROR(INDEX('3.員工名單'!$B:$B,MATCH(A766,'3.員工名單'!$A:$A,0)),"查無此員工"))</f>
        <v/>
      </c>
      <c r="C766" s="120">
        <f t="array" ref="C766:C766">IF(A766="","",IFERROR(INDEX('3.員工名單'!$C:$C,MATCH(A766,'3.員工名單'!$A:$A,0)),""))</f>
        <v/>
      </c>
      <c r="D766" s="120">
        <f t="array" ref="D766:D766">IF(A766="","",IFERROR(INDEX('3.員工名單'!$D:$D,MATCH(A766,'3.員工名單'!$A:$A,0)),""))</f>
        <v/>
      </c>
      <c r="E766" s="120">
        <f t="array" ref="E766:E766">IF(F766="","",IFERROR(INDEX('1.職能辭典'!$A:$A,MATCH(F766,'1.職能辭典'!$C:$C,0)),""))</f>
        <v/>
      </c>
      <c r="F766" s="94" t="n"/>
      <c r="G766" s="120">
        <f t="array" ref="G766:G766">IF(OR(D766="",F766=""),"",IFERROR(IF(AND(OR(INDEX('1.職能辭典'!$J:$J,MATCH(F766,'1.職能辭典'!$C:$C,0))="全部",INDEX('3.員工名單'!$H:$H,MATCH(A766,'3.員工名單'!$A:$A,0))="兩款共用",INDEX('3.員工名單'!$H:$H,MATCH(A766,'3.員工名單'!$A:$A,0))=INDEX('1.職能辭典'!$J:$J,MATCH(F766,'1.職能辭典'!$C:$C,0))),OR(INDEX('1.職能辭典'!$K:$K,MATCH(F766,'1.職能辭典'!$C:$C,0))="全部",SUMPRODUCT(ISNUMBER(SEARCH({"經營","管理","財務","企劃","營運","技術","數據","美術","測試","客服"},INDEX('3.員工名單'!$I:$I,MATCH(A766,'3.員工名單'!$A:$A,0))))*ISNUMBER(SEARCH({"經營","管理","財務","企劃","營運","技術","數據","美術","測試","客服"},INDEX('1.職能辭典'!$K:$K,MATCH(F766,'1.職能辭典'!$C:$C,0)))))&gt;0)),INDEX('2.職務職能需求'!$B$2:$F$28,MATCH(F766,'2.職務職能需求'!$A$2:$A$28,0),MATCH(D766,'2.職務職能需求'!$B$1:$F$1,0)),0),""))</f>
        <v/>
      </c>
      <c r="H766" s="94" t="n"/>
      <c r="I766" s="94" t="n"/>
      <c r="J766" s="120">
        <f>IF(OR(G766="",I766="",G766=0),"",I766-G766)</f>
        <v/>
      </c>
      <c r="K766" s="120">
        <f>IF(G766="","",IF(G766=0,"不適用",IF(I766="","待評核",IF(I766&gt;=G766,IF(I766&gt;G766,"超越","達標"),"待發展"))))</f>
        <v/>
      </c>
      <c r="L766" s="91" t="n"/>
      <c r="M766" s="91" t="n"/>
      <c r="N766" s="88" t="n"/>
    </row>
    <row r="767" ht="15.75" customHeight="1" s="64">
      <c r="A767" s="88" t="n"/>
      <c r="B767" s="120">
        <f t="array" ref="B767:B767">IF(A767="","",IFERROR(INDEX('3.員工名單'!$B:$B,MATCH(A767,'3.員工名單'!$A:$A,0)),"查無此員工"))</f>
        <v/>
      </c>
      <c r="C767" s="120">
        <f t="array" ref="C767:C767">IF(A767="","",IFERROR(INDEX('3.員工名單'!$C:$C,MATCH(A767,'3.員工名單'!$A:$A,0)),""))</f>
        <v/>
      </c>
      <c r="D767" s="120">
        <f t="array" ref="D767:D767">IF(A767="","",IFERROR(INDEX('3.員工名單'!$D:$D,MATCH(A767,'3.員工名單'!$A:$A,0)),""))</f>
        <v/>
      </c>
      <c r="E767" s="120">
        <f t="array" ref="E767:E767">IF(F767="","",IFERROR(INDEX('1.職能辭典'!$A:$A,MATCH(F767,'1.職能辭典'!$C:$C,0)),""))</f>
        <v/>
      </c>
      <c r="F767" s="94" t="n"/>
      <c r="G767" s="120">
        <f t="array" ref="G767:G767">IF(OR(D767="",F767=""),"",IFERROR(IF(AND(OR(INDEX('1.職能辭典'!$J:$J,MATCH(F767,'1.職能辭典'!$C:$C,0))="全部",INDEX('3.員工名單'!$H:$H,MATCH(A767,'3.員工名單'!$A:$A,0))="兩款共用",INDEX('3.員工名單'!$H:$H,MATCH(A767,'3.員工名單'!$A:$A,0))=INDEX('1.職能辭典'!$J:$J,MATCH(F767,'1.職能辭典'!$C:$C,0))),OR(INDEX('1.職能辭典'!$K:$K,MATCH(F767,'1.職能辭典'!$C:$C,0))="全部",SUMPRODUCT(ISNUMBER(SEARCH({"經營","管理","財務","企劃","營運","技術","數據","美術","測試","客服"},INDEX('3.員工名單'!$I:$I,MATCH(A767,'3.員工名單'!$A:$A,0))))*ISNUMBER(SEARCH({"經營","管理","財務","企劃","營運","技術","數據","美術","測試","客服"},INDEX('1.職能辭典'!$K:$K,MATCH(F767,'1.職能辭典'!$C:$C,0)))))&gt;0)),INDEX('2.職務職能需求'!$B$2:$F$28,MATCH(F767,'2.職務職能需求'!$A$2:$A$28,0),MATCH(D767,'2.職務職能需求'!$B$1:$F$1,0)),0),""))</f>
        <v/>
      </c>
      <c r="H767" s="94" t="n"/>
      <c r="I767" s="94" t="n"/>
      <c r="J767" s="120">
        <f>IF(OR(G767="",I767="",G767=0),"",I767-G767)</f>
        <v/>
      </c>
      <c r="K767" s="120">
        <f>IF(G767="","",IF(G767=0,"不適用",IF(I767="","待評核",IF(I767&gt;=G767,IF(I767&gt;G767,"超越","達標"),"待發展"))))</f>
        <v/>
      </c>
      <c r="L767" s="91" t="n"/>
      <c r="M767" s="91" t="n"/>
      <c r="N767" s="88" t="n"/>
    </row>
    <row r="768" ht="15.75" customHeight="1" s="64">
      <c r="A768" s="88" t="n"/>
      <c r="B768" s="120">
        <f t="array" ref="B768:B768">IF(A768="","",IFERROR(INDEX('3.員工名單'!$B:$B,MATCH(A768,'3.員工名單'!$A:$A,0)),"查無此員工"))</f>
        <v/>
      </c>
      <c r="C768" s="120">
        <f t="array" ref="C768:C768">IF(A768="","",IFERROR(INDEX('3.員工名單'!$C:$C,MATCH(A768,'3.員工名單'!$A:$A,0)),""))</f>
        <v/>
      </c>
      <c r="D768" s="120">
        <f t="array" ref="D768:D768">IF(A768="","",IFERROR(INDEX('3.員工名單'!$D:$D,MATCH(A768,'3.員工名單'!$A:$A,0)),""))</f>
        <v/>
      </c>
      <c r="E768" s="120">
        <f t="array" ref="E768:E768">IF(F768="","",IFERROR(INDEX('1.職能辭典'!$A:$A,MATCH(F768,'1.職能辭典'!$C:$C,0)),""))</f>
        <v/>
      </c>
      <c r="F768" s="94" t="n"/>
      <c r="G768" s="120">
        <f t="array" ref="G768:G768">IF(OR(D768="",F768=""),"",IFERROR(IF(AND(OR(INDEX('1.職能辭典'!$J:$J,MATCH(F768,'1.職能辭典'!$C:$C,0))="全部",INDEX('3.員工名單'!$H:$H,MATCH(A768,'3.員工名單'!$A:$A,0))="兩款共用",INDEX('3.員工名單'!$H:$H,MATCH(A768,'3.員工名單'!$A:$A,0))=INDEX('1.職能辭典'!$J:$J,MATCH(F768,'1.職能辭典'!$C:$C,0))),OR(INDEX('1.職能辭典'!$K:$K,MATCH(F768,'1.職能辭典'!$C:$C,0))="全部",SUMPRODUCT(ISNUMBER(SEARCH({"經營","管理","財務","企劃","營運","技術","數據","美術","測試","客服"},INDEX('3.員工名單'!$I:$I,MATCH(A768,'3.員工名單'!$A:$A,0))))*ISNUMBER(SEARCH({"經營","管理","財務","企劃","營運","技術","數據","美術","測試","客服"},INDEX('1.職能辭典'!$K:$K,MATCH(F768,'1.職能辭典'!$C:$C,0)))))&gt;0)),INDEX('2.職務職能需求'!$B$2:$F$28,MATCH(F768,'2.職務職能需求'!$A$2:$A$28,0),MATCH(D768,'2.職務職能需求'!$B$1:$F$1,0)),0),""))</f>
        <v/>
      </c>
      <c r="H768" s="94" t="n"/>
      <c r="I768" s="94" t="n"/>
      <c r="J768" s="120">
        <f>IF(OR(G768="",I768="",G768=0),"",I768-G768)</f>
        <v/>
      </c>
      <c r="K768" s="120">
        <f>IF(G768="","",IF(G768=0,"不適用",IF(I768="","待評核",IF(I768&gt;=G768,IF(I768&gt;G768,"超越","達標"),"待發展"))))</f>
        <v/>
      </c>
      <c r="L768" s="91" t="n"/>
      <c r="M768" s="91" t="n"/>
      <c r="N768" s="88" t="n"/>
    </row>
    <row r="769" ht="15.75" customHeight="1" s="64">
      <c r="A769" s="88" t="n"/>
      <c r="B769" s="120">
        <f t="array" ref="B769:B769">IF(A769="","",IFERROR(INDEX('3.員工名單'!$B:$B,MATCH(A769,'3.員工名單'!$A:$A,0)),"查無此員工"))</f>
        <v/>
      </c>
      <c r="C769" s="120">
        <f t="array" ref="C769:C769">IF(A769="","",IFERROR(INDEX('3.員工名單'!$C:$C,MATCH(A769,'3.員工名單'!$A:$A,0)),""))</f>
        <v/>
      </c>
      <c r="D769" s="120">
        <f t="array" ref="D769:D769">IF(A769="","",IFERROR(INDEX('3.員工名單'!$D:$D,MATCH(A769,'3.員工名單'!$A:$A,0)),""))</f>
        <v/>
      </c>
      <c r="E769" s="120">
        <f t="array" ref="E769:E769">IF(F769="","",IFERROR(INDEX('1.職能辭典'!$A:$A,MATCH(F769,'1.職能辭典'!$C:$C,0)),""))</f>
        <v/>
      </c>
      <c r="F769" s="94" t="n"/>
      <c r="G769" s="120">
        <f t="array" ref="G769:G769">IF(OR(D769="",F769=""),"",IFERROR(IF(AND(OR(INDEX('1.職能辭典'!$J:$J,MATCH(F769,'1.職能辭典'!$C:$C,0))="全部",INDEX('3.員工名單'!$H:$H,MATCH(A769,'3.員工名單'!$A:$A,0))="兩款共用",INDEX('3.員工名單'!$H:$H,MATCH(A769,'3.員工名單'!$A:$A,0))=INDEX('1.職能辭典'!$J:$J,MATCH(F769,'1.職能辭典'!$C:$C,0))),OR(INDEX('1.職能辭典'!$K:$K,MATCH(F769,'1.職能辭典'!$C:$C,0))="全部",SUMPRODUCT(ISNUMBER(SEARCH({"經營","管理","財務","企劃","營運","技術","數據","美術","測試","客服"},INDEX('3.員工名單'!$I:$I,MATCH(A769,'3.員工名單'!$A:$A,0))))*ISNUMBER(SEARCH({"經營","管理","財務","企劃","營運","技術","數據","美術","測試","客服"},INDEX('1.職能辭典'!$K:$K,MATCH(F769,'1.職能辭典'!$C:$C,0)))))&gt;0)),INDEX('2.職務職能需求'!$B$2:$F$28,MATCH(F769,'2.職務職能需求'!$A$2:$A$28,0),MATCH(D769,'2.職務職能需求'!$B$1:$F$1,0)),0),""))</f>
        <v/>
      </c>
      <c r="H769" s="94" t="n"/>
      <c r="I769" s="94" t="n"/>
      <c r="J769" s="120">
        <f>IF(OR(G769="",I769="",G769=0),"",I769-G769)</f>
        <v/>
      </c>
      <c r="K769" s="120">
        <f>IF(G769="","",IF(G769=0,"不適用",IF(I769="","待評核",IF(I769&gt;=G769,IF(I769&gt;G769,"超越","達標"),"待發展"))))</f>
        <v/>
      </c>
      <c r="L769" s="91" t="n"/>
      <c r="M769" s="91" t="n"/>
      <c r="N769" s="88" t="n"/>
    </row>
    <row r="770" ht="15.75" customHeight="1" s="64">
      <c r="A770" s="88" t="n"/>
      <c r="B770" s="120">
        <f t="array" ref="B770:B770">IF(A770="","",IFERROR(INDEX('3.員工名單'!$B:$B,MATCH(A770,'3.員工名單'!$A:$A,0)),"查無此員工"))</f>
        <v/>
      </c>
      <c r="C770" s="120">
        <f t="array" ref="C770:C770">IF(A770="","",IFERROR(INDEX('3.員工名單'!$C:$C,MATCH(A770,'3.員工名單'!$A:$A,0)),""))</f>
        <v/>
      </c>
      <c r="D770" s="120">
        <f t="array" ref="D770:D770">IF(A770="","",IFERROR(INDEX('3.員工名單'!$D:$D,MATCH(A770,'3.員工名單'!$A:$A,0)),""))</f>
        <v/>
      </c>
      <c r="E770" s="120">
        <f t="array" ref="E770:E770">IF(F770="","",IFERROR(INDEX('1.職能辭典'!$A:$A,MATCH(F770,'1.職能辭典'!$C:$C,0)),""))</f>
        <v/>
      </c>
      <c r="F770" s="94" t="n"/>
      <c r="G770" s="120">
        <f t="array" ref="G770:G770">IF(OR(D770="",F770=""),"",IFERROR(IF(AND(OR(INDEX('1.職能辭典'!$J:$J,MATCH(F770,'1.職能辭典'!$C:$C,0))="全部",INDEX('3.員工名單'!$H:$H,MATCH(A770,'3.員工名單'!$A:$A,0))="兩款共用",INDEX('3.員工名單'!$H:$H,MATCH(A770,'3.員工名單'!$A:$A,0))=INDEX('1.職能辭典'!$J:$J,MATCH(F770,'1.職能辭典'!$C:$C,0))),OR(INDEX('1.職能辭典'!$K:$K,MATCH(F770,'1.職能辭典'!$C:$C,0))="全部",SUMPRODUCT(ISNUMBER(SEARCH({"經營","管理","財務","企劃","營運","技術","數據","美術","測試","客服"},INDEX('3.員工名單'!$I:$I,MATCH(A770,'3.員工名單'!$A:$A,0))))*ISNUMBER(SEARCH({"經營","管理","財務","企劃","營運","技術","數據","美術","測試","客服"},INDEX('1.職能辭典'!$K:$K,MATCH(F770,'1.職能辭典'!$C:$C,0)))))&gt;0)),INDEX('2.職務職能需求'!$B$2:$F$28,MATCH(F770,'2.職務職能需求'!$A$2:$A$28,0),MATCH(D770,'2.職務職能需求'!$B$1:$F$1,0)),0),""))</f>
        <v/>
      </c>
      <c r="H770" s="94" t="n"/>
      <c r="I770" s="94" t="n"/>
      <c r="J770" s="120">
        <f>IF(OR(G770="",I770="",G770=0),"",I770-G770)</f>
        <v/>
      </c>
      <c r="K770" s="120">
        <f>IF(G770="","",IF(G770=0,"不適用",IF(I770="","待評核",IF(I770&gt;=G770,IF(I770&gt;G770,"超越","達標"),"待發展"))))</f>
        <v/>
      </c>
      <c r="L770" s="91" t="n"/>
      <c r="M770" s="91" t="n"/>
      <c r="N770" s="88" t="n"/>
    </row>
    <row r="771" ht="15.75" customHeight="1" s="64">
      <c r="A771" s="88" t="n"/>
      <c r="B771" s="120">
        <f t="array" ref="B771:B771">IF(A771="","",IFERROR(INDEX('3.員工名單'!$B:$B,MATCH(A771,'3.員工名單'!$A:$A,0)),"查無此員工"))</f>
        <v/>
      </c>
      <c r="C771" s="120">
        <f t="array" ref="C771:C771">IF(A771="","",IFERROR(INDEX('3.員工名單'!$C:$C,MATCH(A771,'3.員工名單'!$A:$A,0)),""))</f>
        <v/>
      </c>
      <c r="D771" s="120">
        <f t="array" ref="D771:D771">IF(A771="","",IFERROR(INDEX('3.員工名單'!$D:$D,MATCH(A771,'3.員工名單'!$A:$A,0)),""))</f>
        <v/>
      </c>
      <c r="E771" s="120">
        <f t="array" ref="E771:E771">IF(F771="","",IFERROR(INDEX('1.職能辭典'!$A:$A,MATCH(F771,'1.職能辭典'!$C:$C,0)),""))</f>
        <v/>
      </c>
      <c r="F771" s="94" t="n"/>
      <c r="G771" s="120">
        <f t="array" ref="G771:G771">IF(OR(D771="",F771=""),"",IFERROR(IF(AND(OR(INDEX('1.職能辭典'!$J:$J,MATCH(F771,'1.職能辭典'!$C:$C,0))="全部",INDEX('3.員工名單'!$H:$H,MATCH(A771,'3.員工名單'!$A:$A,0))="兩款共用",INDEX('3.員工名單'!$H:$H,MATCH(A771,'3.員工名單'!$A:$A,0))=INDEX('1.職能辭典'!$J:$J,MATCH(F771,'1.職能辭典'!$C:$C,0))),OR(INDEX('1.職能辭典'!$K:$K,MATCH(F771,'1.職能辭典'!$C:$C,0))="全部",SUMPRODUCT(ISNUMBER(SEARCH({"經營","管理","財務","企劃","營運","技術","數據","美術","測試","客服"},INDEX('3.員工名單'!$I:$I,MATCH(A771,'3.員工名單'!$A:$A,0))))*ISNUMBER(SEARCH({"經營","管理","財務","企劃","營運","技術","數據","美術","測試","客服"},INDEX('1.職能辭典'!$K:$K,MATCH(F771,'1.職能辭典'!$C:$C,0)))))&gt;0)),INDEX('2.職務職能需求'!$B$2:$F$28,MATCH(F771,'2.職務職能需求'!$A$2:$A$28,0),MATCH(D771,'2.職務職能需求'!$B$1:$F$1,0)),0),""))</f>
        <v/>
      </c>
      <c r="H771" s="94" t="n"/>
      <c r="I771" s="94" t="n"/>
      <c r="J771" s="120">
        <f>IF(OR(G771="",I771="",G771=0),"",I771-G771)</f>
        <v/>
      </c>
      <c r="K771" s="120">
        <f>IF(G771="","",IF(G771=0,"不適用",IF(I771="","待評核",IF(I771&gt;=G771,IF(I771&gt;G771,"超越","達標"),"待發展"))))</f>
        <v/>
      </c>
      <c r="L771" s="91" t="n"/>
      <c r="M771" s="91" t="n"/>
      <c r="N771" s="88" t="n"/>
    </row>
    <row r="772" ht="15.75" customHeight="1" s="64">
      <c r="A772" s="88" t="n"/>
      <c r="B772" s="120">
        <f t="array" ref="B772:B772">IF(A772="","",IFERROR(INDEX('3.員工名單'!$B:$B,MATCH(A772,'3.員工名單'!$A:$A,0)),"查無此員工"))</f>
        <v/>
      </c>
      <c r="C772" s="120">
        <f t="array" ref="C772:C772">IF(A772="","",IFERROR(INDEX('3.員工名單'!$C:$C,MATCH(A772,'3.員工名單'!$A:$A,0)),""))</f>
        <v/>
      </c>
      <c r="D772" s="120">
        <f t="array" ref="D772:D772">IF(A772="","",IFERROR(INDEX('3.員工名單'!$D:$D,MATCH(A772,'3.員工名單'!$A:$A,0)),""))</f>
        <v/>
      </c>
      <c r="E772" s="120">
        <f t="array" ref="E772:E772">IF(F772="","",IFERROR(INDEX('1.職能辭典'!$A:$A,MATCH(F772,'1.職能辭典'!$C:$C,0)),""))</f>
        <v/>
      </c>
      <c r="F772" s="94" t="n"/>
      <c r="G772" s="120">
        <f t="array" ref="G772:G772">IF(OR(D772="",F772=""),"",IFERROR(IF(AND(OR(INDEX('1.職能辭典'!$J:$J,MATCH(F772,'1.職能辭典'!$C:$C,0))="全部",INDEX('3.員工名單'!$H:$H,MATCH(A772,'3.員工名單'!$A:$A,0))="兩款共用",INDEX('3.員工名單'!$H:$H,MATCH(A772,'3.員工名單'!$A:$A,0))=INDEX('1.職能辭典'!$J:$J,MATCH(F772,'1.職能辭典'!$C:$C,0))),OR(INDEX('1.職能辭典'!$K:$K,MATCH(F772,'1.職能辭典'!$C:$C,0))="全部",SUMPRODUCT(ISNUMBER(SEARCH({"經營","管理","財務","企劃","營運","技術","數據","美術","測試","客服"},INDEX('3.員工名單'!$I:$I,MATCH(A772,'3.員工名單'!$A:$A,0))))*ISNUMBER(SEARCH({"經營","管理","財務","企劃","營運","技術","數據","美術","測試","客服"},INDEX('1.職能辭典'!$K:$K,MATCH(F772,'1.職能辭典'!$C:$C,0)))))&gt;0)),INDEX('2.職務職能需求'!$B$2:$F$28,MATCH(F772,'2.職務職能需求'!$A$2:$A$28,0),MATCH(D772,'2.職務職能需求'!$B$1:$F$1,0)),0),""))</f>
        <v/>
      </c>
      <c r="H772" s="94" t="n"/>
      <c r="I772" s="94" t="n"/>
      <c r="J772" s="120">
        <f>IF(OR(G772="",I772="",G772=0),"",I772-G772)</f>
        <v/>
      </c>
      <c r="K772" s="120">
        <f>IF(G772="","",IF(G772=0,"不適用",IF(I772="","待評核",IF(I772&gt;=G772,IF(I772&gt;G772,"超越","達標"),"待發展"))))</f>
        <v/>
      </c>
      <c r="L772" s="91" t="n"/>
      <c r="M772" s="91" t="n"/>
      <c r="N772" s="88" t="n"/>
    </row>
    <row r="773" ht="15.75" customHeight="1" s="64">
      <c r="A773" s="88" t="n"/>
      <c r="B773" s="120">
        <f t="array" ref="B773:B773">IF(A773="","",IFERROR(INDEX('3.員工名單'!$B:$B,MATCH(A773,'3.員工名單'!$A:$A,0)),"查無此員工"))</f>
        <v/>
      </c>
      <c r="C773" s="120">
        <f t="array" ref="C773:C773">IF(A773="","",IFERROR(INDEX('3.員工名單'!$C:$C,MATCH(A773,'3.員工名單'!$A:$A,0)),""))</f>
        <v/>
      </c>
      <c r="D773" s="120">
        <f t="array" ref="D773:D773">IF(A773="","",IFERROR(INDEX('3.員工名單'!$D:$D,MATCH(A773,'3.員工名單'!$A:$A,0)),""))</f>
        <v/>
      </c>
      <c r="E773" s="120">
        <f t="array" ref="E773:E773">IF(F773="","",IFERROR(INDEX('1.職能辭典'!$A:$A,MATCH(F773,'1.職能辭典'!$C:$C,0)),""))</f>
        <v/>
      </c>
      <c r="F773" s="94" t="n"/>
      <c r="G773" s="120">
        <f t="array" ref="G773:G773">IF(OR(D773="",F773=""),"",IFERROR(IF(AND(OR(INDEX('1.職能辭典'!$J:$J,MATCH(F773,'1.職能辭典'!$C:$C,0))="全部",INDEX('3.員工名單'!$H:$H,MATCH(A773,'3.員工名單'!$A:$A,0))="兩款共用",INDEX('3.員工名單'!$H:$H,MATCH(A773,'3.員工名單'!$A:$A,0))=INDEX('1.職能辭典'!$J:$J,MATCH(F773,'1.職能辭典'!$C:$C,0))),OR(INDEX('1.職能辭典'!$K:$K,MATCH(F773,'1.職能辭典'!$C:$C,0))="全部",SUMPRODUCT(ISNUMBER(SEARCH({"經營","管理","財務","企劃","營運","技術","數據","美術","測試","客服"},INDEX('3.員工名單'!$I:$I,MATCH(A773,'3.員工名單'!$A:$A,0))))*ISNUMBER(SEARCH({"經營","管理","財務","企劃","營運","技術","數據","美術","測試","客服"},INDEX('1.職能辭典'!$K:$K,MATCH(F773,'1.職能辭典'!$C:$C,0)))))&gt;0)),INDEX('2.職務職能需求'!$B$2:$F$28,MATCH(F773,'2.職務職能需求'!$A$2:$A$28,0),MATCH(D773,'2.職務職能需求'!$B$1:$F$1,0)),0),""))</f>
        <v/>
      </c>
      <c r="H773" s="94" t="n"/>
      <c r="I773" s="94" t="n"/>
      <c r="J773" s="120">
        <f>IF(OR(G773="",I773="",G773=0),"",I773-G773)</f>
        <v/>
      </c>
      <c r="K773" s="120">
        <f>IF(G773="","",IF(G773=0,"不適用",IF(I773="","待評核",IF(I773&gt;=G773,IF(I773&gt;G773,"超越","達標"),"待發展"))))</f>
        <v/>
      </c>
      <c r="L773" s="91" t="n"/>
      <c r="M773" s="91" t="n"/>
      <c r="N773" s="88" t="n"/>
    </row>
    <row r="774" ht="15.75" customHeight="1" s="64">
      <c r="A774" s="88" t="n"/>
      <c r="B774" s="120">
        <f t="array" ref="B774:B774">IF(A774="","",IFERROR(INDEX('3.員工名單'!$B:$B,MATCH(A774,'3.員工名單'!$A:$A,0)),"查無此員工"))</f>
        <v/>
      </c>
      <c r="C774" s="120">
        <f t="array" ref="C774:C774">IF(A774="","",IFERROR(INDEX('3.員工名單'!$C:$C,MATCH(A774,'3.員工名單'!$A:$A,0)),""))</f>
        <v/>
      </c>
      <c r="D774" s="120">
        <f t="array" ref="D774:D774">IF(A774="","",IFERROR(INDEX('3.員工名單'!$D:$D,MATCH(A774,'3.員工名單'!$A:$A,0)),""))</f>
        <v/>
      </c>
      <c r="E774" s="120">
        <f t="array" ref="E774:E774">IF(F774="","",IFERROR(INDEX('1.職能辭典'!$A:$A,MATCH(F774,'1.職能辭典'!$C:$C,0)),""))</f>
        <v/>
      </c>
      <c r="F774" s="94" t="n"/>
      <c r="G774" s="120">
        <f t="array" ref="G774:G774">IF(OR(D774="",F774=""),"",IFERROR(IF(AND(OR(INDEX('1.職能辭典'!$J:$J,MATCH(F774,'1.職能辭典'!$C:$C,0))="全部",INDEX('3.員工名單'!$H:$H,MATCH(A774,'3.員工名單'!$A:$A,0))="兩款共用",INDEX('3.員工名單'!$H:$H,MATCH(A774,'3.員工名單'!$A:$A,0))=INDEX('1.職能辭典'!$J:$J,MATCH(F774,'1.職能辭典'!$C:$C,0))),OR(INDEX('1.職能辭典'!$K:$K,MATCH(F774,'1.職能辭典'!$C:$C,0))="全部",SUMPRODUCT(ISNUMBER(SEARCH({"經營","管理","財務","企劃","營運","技術","數據","美術","測試","客服"},INDEX('3.員工名單'!$I:$I,MATCH(A774,'3.員工名單'!$A:$A,0))))*ISNUMBER(SEARCH({"經營","管理","財務","企劃","營運","技術","數據","美術","測試","客服"},INDEX('1.職能辭典'!$K:$K,MATCH(F774,'1.職能辭典'!$C:$C,0)))))&gt;0)),INDEX('2.職務職能需求'!$B$2:$F$28,MATCH(F774,'2.職務職能需求'!$A$2:$A$28,0),MATCH(D774,'2.職務職能需求'!$B$1:$F$1,0)),0),""))</f>
        <v/>
      </c>
      <c r="H774" s="94" t="n"/>
      <c r="I774" s="94" t="n"/>
      <c r="J774" s="120">
        <f>IF(OR(G774="",I774="",G774=0),"",I774-G774)</f>
        <v/>
      </c>
      <c r="K774" s="120">
        <f>IF(G774="","",IF(G774=0,"不適用",IF(I774="","待評核",IF(I774&gt;=G774,IF(I774&gt;G774,"超越","達標"),"待發展"))))</f>
        <v/>
      </c>
      <c r="L774" s="91" t="n"/>
      <c r="M774" s="91" t="n"/>
      <c r="N774" s="88" t="n"/>
    </row>
    <row r="775" ht="15.75" customHeight="1" s="64">
      <c r="A775" s="88" t="n"/>
      <c r="B775" s="120">
        <f t="array" ref="B775:B775">IF(A775="","",IFERROR(INDEX('3.員工名單'!$B:$B,MATCH(A775,'3.員工名單'!$A:$A,0)),"查無此員工"))</f>
        <v/>
      </c>
      <c r="C775" s="120">
        <f t="array" ref="C775:C775">IF(A775="","",IFERROR(INDEX('3.員工名單'!$C:$C,MATCH(A775,'3.員工名單'!$A:$A,0)),""))</f>
        <v/>
      </c>
      <c r="D775" s="120">
        <f t="array" ref="D775:D775">IF(A775="","",IFERROR(INDEX('3.員工名單'!$D:$D,MATCH(A775,'3.員工名單'!$A:$A,0)),""))</f>
        <v/>
      </c>
      <c r="E775" s="120">
        <f t="array" ref="E775:E775">IF(F775="","",IFERROR(INDEX('1.職能辭典'!$A:$A,MATCH(F775,'1.職能辭典'!$C:$C,0)),""))</f>
        <v/>
      </c>
      <c r="F775" s="94" t="n"/>
      <c r="G775" s="120">
        <f t="array" ref="G775:G775">IF(OR(D775="",F775=""),"",IFERROR(IF(AND(OR(INDEX('1.職能辭典'!$J:$J,MATCH(F775,'1.職能辭典'!$C:$C,0))="全部",INDEX('3.員工名單'!$H:$H,MATCH(A775,'3.員工名單'!$A:$A,0))="兩款共用",INDEX('3.員工名單'!$H:$H,MATCH(A775,'3.員工名單'!$A:$A,0))=INDEX('1.職能辭典'!$J:$J,MATCH(F775,'1.職能辭典'!$C:$C,0))),OR(INDEX('1.職能辭典'!$K:$K,MATCH(F775,'1.職能辭典'!$C:$C,0))="全部",SUMPRODUCT(ISNUMBER(SEARCH({"經營","管理","財務","企劃","營運","技術","數據","美術","測試","客服"},INDEX('3.員工名單'!$I:$I,MATCH(A775,'3.員工名單'!$A:$A,0))))*ISNUMBER(SEARCH({"經營","管理","財務","企劃","營運","技術","數據","美術","測試","客服"},INDEX('1.職能辭典'!$K:$K,MATCH(F775,'1.職能辭典'!$C:$C,0)))))&gt;0)),INDEX('2.職務職能需求'!$B$2:$F$28,MATCH(F775,'2.職務職能需求'!$A$2:$A$28,0),MATCH(D775,'2.職務職能需求'!$B$1:$F$1,0)),0),""))</f>
        <v/>
      </c>
      <c r="H775" s="94" t="n"/>
      <c r="I775" s="94" t="n"/>
      <c r="J775" s="120">
        <f>IF(OR(G775="",I775="",G775=0),"",I775-G775)</f>
        <v/>
      </c>
      <c r="K775" s="120">
        <f>IF(G775="","",IF(G775=0,"不適用",IF(I775="","待評核",IF(I775&gt;=G775,IF(I775&gt;G775,"超越","達標"),"待發展"))))</f>
        <v/>
      </c>
      <c r="L775" s="91" t="n"/>
      <c r="M775" s="91" t="n"/>
      <c r="N775" s="88" t="n"/>
    </row>
    <row r="776" ht="15.75" customHeight="1" s="64">
      <c r="A776" s="88" t="n"/>
      <c r="B776" s="120">
        <f t="array" ref="B776:B776">IF(A776="","",IFERROR(INDEX('3.員工名單'!$B:$B,MATCH(A776,'3.員工名單'!$A:$A,0)),"查無此員工"))</f>
        <v/>
      </c>
      <c r="C776" s="120">
        <f t="array" ref="C776:C776">IF(A776="","",IFERROR(INDEX('3.員工名單'!$C:$C,MATCH(A776,'3.員工名單'!$A:$A,0)),""))</f>
        <v/>
      </c>
      <c r="D776" s="120">
        <f t="array" ref="D776:D776">IF(A776="","",IFERROR(INDEX('3.員工名單'!$D:$D,MATCH(A776,'3.員工名單'!$A:$A,0)),""))</f>
        <v/>
      </c>
      <c r="E776" s="120">
        <f t="array" ref="E776:E776">IF(F776="","",IFERROR(INDEX('1.職能辭典'!$A:$A,MATCH(F776,'1.職能辭典'!$C:$C,0)),""))</f>
        <v/>
      </c>
      <c r="F776" s="94" t="n"/>
      <c r="G776" s="120">
        <f t="array" ref="G776:G776">IF(OR(D776="",F776=""),"",IFERROR(IF(AND(OR(INDEX('1.職能辭典'!$J:$J,MATCH(F776,'1.職能辭典'!$C:$C,0))="全部",INDEX('3.員工名單'!$H:$H,MATCH(A776,'3.員工名單'!$A:$A,0))="兩款共用",INDEX('3.員工名單'!$H:$H,MATCH(A776,'3.員工名單'!$A:$A,0))=INDEX('1.職能辭典'!$J:$J,MATCH(F776,'1.職能辭典'!$C:$C,0))),OR(INDEX('1.職能辭典'!$K:$K,MATCH(F776,'1.職能辭典'!$C:$C,0))="全部",SUMPRODUCT(ISNUMBER(SEARCH({"經營","管理","財務","企劃","營運","技術","數據","美術","測試","客服"},INDEX('3.員工名單'!$I:$I,MATCH(A776,'3.員工名單'!$A:$A,0))))*ISNUMBER(SEARCH({"經營","管理","財務","企劃","營運","技術","數據","美術","測試","客服"},INDEX('1.職能辭典'!$K:$K,MATCH(F776,'1.職能辭典'!$C:$C,0)))))&gt;0)),INDEX('2.職務職能需求'!$B$2:$F$28,MATCH(F776,'2.職務職能需求'!$A$2:$A$28,0),MATCH(D776,'2.職務職能需求'!$B$1:$F$1,0)),0),""))</f>
        <v/>
      </c>
      <c r="H776" s="94" t="n"/>
      <c r="I776" s="94" t="n"/>
      <c r="J776" s="120">
        <f>IF(OR(G776="",I776="",G776=0),"",I776-G776)</f>
        <v/>
      </c>
      <c r="K776" s="120">
        <f>IF(G776="","",IF(G776=0,"不適用",IF(I776="","待評核",IF(I776&gt;=G776,IF(I776&gt;G776,"超越","達標"),"待發展"))))</f>
        <v/>
      </c>
      <c r="L776" s="91" t="n"/>
      <c r="M776" s="91" t="n"/>
      <c r="N776" s="88" t="n"/>
    </row>
    <row r="777" ht="15.75" customHeight="1" s="64">
      <c r="A777" s="88" t="n"/>
      <c r="B777" s="120">
        <f t="array" ref="B777:B777">IF(A777="","",IFERROR(INDEX('3.員工名單'!$B:$B,MATCH(A777,'3.員工名單'!$A:$A,0)),"查無此員工"))</f>
        <v/>
      </c>
      <c r="C777" s="120">
        <f t="array" ref="C777:C777">IF(A777="","",IFERROR(INDEX('3.員工名單'!$C:$C,MATCH(A777,'3.員工名單'!$A:$A,0)),""))</f>
        <v/>
      </c>
      <c r="D777" s="120">
        <f t="array" ref="D777:D777">IF(A777="","",IFERROR(INDEX('3.員工名單'!$D:$D,MATCH(A777,'3.員工名單'!$A:$A,0)),""))</f>
        <v/>
      </c>
      <c r="E777" s="120">
        <f t="array" ref="E777:E777">IF(F777="","",IFERROR(INDEX('1.職能辭典'!$A:$A,MATCH(F777,'1.職能辭典'!$C:$C,0)),""))</f>
        <v/>
      </c>
      <c r="F777" s="94" t="n"/>
      <c r="G777" s="120">
        <f t="array" ref="G777:G777">IF(OR(D777="",F777=""),"",IFERROR(IF(AND(OR(INDEX('1.職能辭典'!$J:$J,MATCH(F777,'1.職能辭典'!$C:$C,0))="全部",INDEX('3.員工名單'!$H:$H,MATCH(A777,'3.員工名單'!$A:$A,0))="兩款共用",INDEX('3.員工名單'!$H:$H,MATCH(A777,'3.員工名單'!$A:$A,0))=INDEX('1.職能辭典'!$J:$J,MATCH(F777,'1.職能辭典'!$C:$C,0))),OR(INDEX('1.職能辭典'!$K:$K,MATCH(F777,'1.職能辭典'!$C:$C,0))="全部",SUMPRODUCT(ISNUMBER(SEARCH({"經營","管理","財務","企劃","營運","技術","數據","美術","測試","客服"},INDEX('3.員工名單'!$I:$I,MATCH(A777,'3.員工名單'!$A:$A,0))))*ISNUMBER(SEARCH({"經營","管理","財務","企劃","營運","技術","數據","美術","測試","客服"},INDEX('1.職能辭典'!$K:$K,MATCH(F777,'1.職能辭典'!$C:$C,0)))))&gt;0)),INDEX('2.職務職能需求'!$B$2:$F$28,MATCH(F777,'2.職務職能需求'!$A$2:$A$28,0),MATCH(D777,'2.職務職能需求'!$B$1:$F$1,0)),0),""))</f>
        <v/>
      </c>
      <c r="H777" s="94" t="n"/>
      <c r="I777" s="94" t="n"/>
      <c r="J777" s="120">
        <f>IF(OR(G777="",I777="",G777=0),"",I777-G777)</f>
        <v/>
      </c>
      <c r="K777" s="120">
        <f>IF(G777="","",IF(G777=0,"不適用",IF(I777="","待評核",IF(I777&gt;=G777,IF(I777&gt;G777,"超越","達標"),"待發展"))))</f>
        <v/>
      </c>
      <c r="L777" s="91" t="n"/>
      <c r="M777" s="91" t="n"/>
      <c r="N777" s="88" t="n"/>
    </row>
    <row r="778" ht="15.75" customHeight="1" s="64">
      <c r="A778" s="88" t="n"/>
      <c r="B778" s="120">
        <f t="array" ref="B778:B778">IF(A778="","",IFERROR(INDEX('3.員工名單'!$B:$B,MATCH(A778,'3.員工名單'!$A:$A,0)),"查無此員工"))</f>
        <v/>
      </c>
      <c r="C778" s="120">
        <f t="array" ref="C778:C778">IF(A778="","",IFERROR(INDEX('3.員工名單'!$C:$C,MATCH(A778,'3.員工名單'!$A:$A,0)),""))</f>
        <v/>
      </c>
      <c r="D778" s="120">
        <f t="array" ref="D778:D778">IF(A778="","",IFERROR(INDEX('3.員工名單'!$D:$D,MATCH(A778,'3.員工名單'!$A:$A,0)),""))</f>
        <v/>
      </c>
      <c r="E778" s="120">
        <f t="array" ref="E778:E778">IF(F778="","",IFERROR(INDEX('1.職能辭典'!$A:$A,MATCH(F778,'1.職能辭典'!$C:$C,0)),""))</f>
        <v/>
      </c>
      <c r="F778" s="94" t="n"/>
      <c r="G778" s="120">
        <f t="array" ref="G778:G778">IF(OR(D778="",F778=""),"",IFERROR(IF(AND(OR(INDEX('1.職能辭典'!$J:$J,MATCH(F778,'1.職能辭典'!$C:$C,0))="全部",INDEX('3.員工名單'!$H:$H,MATCH(A778,'3.員工名單'!$A:$A,0))="兩款共用",INDEX('3.員工名單'!$H:$H,MATCH(A778,'3.員工名單'!$A:$A,0))=INDEX('1.職能辭典'!$J:$J,MATCH(F778,'1.職能辭典'!$C:$C,0))),OR(INDEX('1.職能辭典'!$K:$K,MATCH(F778,'1.職能辭典'!$C:$C,0))="全部",SUMPRODUCT(ISNUMBER(SEARCH({"經營","管理","財務","企劃","營運","技術","數據","美術","測試","客服"},INDEX('3.員工名單'!$I:$I,MATCH(A778,'3.員工名單'!$A:$A,0))))*ISNUMBER(SEARCH({"經營","管理","財務","企劃","營運","技術","數據","美術","測試","客服"},INDEX('1.職能辭典'!$K:$K,MATCH(F778,'1.職能辭典'!$C:$C,0)))))&gt;0)),INDEX('2.職務職能需求'!$B$2:$F$28,MATCH(F778,'2.職務職能需求'!$A$2:$A$28,0),MATCH(D778,'2.職務職能需求'!$B$1:$F$1,0)),0),""))</f>
        <v/>
      </c>
      <c r="H778" s="94" t="n"/>
      <c r="I778" s="94" t="n"/>
      <c r="J778" s="120">
        <f>IF(OR(G778="",I778="",G778=0),"",I778-G778)</f>
        <v/>
      </c>
      <c r="K778" s="120">
        <f>IF(G778="","",IF(G778=0,"不適用",IF(I778="","待評核",IF(I778&gt;=G778,IF(I778&gt;G778,"超越","達標"),"待發展"))))</f>
        <v/>
      </c>
      <c r="L778" s="91" t="n"/>
      <c r="M778" s="91" t="n"/>
      <c r="N778" s="88" t="n"/>
    </row>
    <row r="779" ht="15.75" customHeight="1" s="64">
      <c r="A779" s="88" t="n"/>
      <c r="B779" s="120">
        <f t="array" ref="B779:B779">IF(A779="","",IFERROR(INDEX('3.員工名單'!$B:$B,MATCH(A779,'3.員工名單'!$A:$A,0)),"查無此員工"))</f>
        <v/>
      </c>
      <c r="C779" s="120">
        <f t="array" ref="C779:C779">IF(A779="","",IFERROR(INDEX('3.員工名單'!$C:$C,MATCH(A779,'3.員工名單'!$A:$A,0)),""))</f>
        <v/>
      </c>
      <c r="D779" s="120">
        <f t="array" ref="D779:D779">IF(A779="","",IFERROR(INDEX('3.員工名單'!$D:$D,MATCH(A779,'3.員工名單'!$A:$A,0)),""))</f>
        <v/>
      </c>
      <c r="E779" s="120">
        <f t="array" ref="E779:E779">IF(F779="","",IFERROR(INDEX('1.職能辭典'!$A:$A,MATCH(F779,'1.職能辭典'!$C:$C,0)),""))</f>
        <v/>
      </c>
      <c r="F779" s="94" t="n"/>
      <c r="G779" s="120">
        <f t="array" ref="G779:G779">IF(OR(D779="",F779=""),"",IFERROR(IF(AND(OR(INDEX('1.職能辭典'!$J:$J,MATCH(F779,'1.職能辭典'!$C:$C,0))="全部",INDEX('3.員工名單'!$H:$H,MATCH(A779,'3.員工名單'!$A:$A,0))="兩款共用",INDEX('3.員工名單'!$H:$H,MATCH(A779,'3.員工名單'!$A:$A,0))=INDEX('1.職能辭典'!$J:$J,MATCH(F779,'1.職能辭典'!$C:$C,0))),OR(INDEX('1.職能辭典'!$K:$K,MATCH(F779,'1.職能辭典'!$C:$C,0))="全部",SUMPRODUCT(ISNUMBER(SEARCH({"經營","管理","財務","企劃","營運","技術","數據","美術","測試","客服"},INDEX('3.員工名單'!$I:$I,MATCH(A779,'3.員工名單'!$A:$A,0))))*ISNUMBER(SEARCH({"經營","管理","財務","企劃","營運","技術","數據","美術","測試","客服"},INDEX('1.職能辭典'!$K:$K,MATCH(F779,'1.職能辭典'!$C:$C,0)))))&gt;0)),INDEX('2.職務職能需求'!$B$2:$F$28,MATCH(F779,'2.職務職能需求'!$A$2:$A$28,0),MATCH(D779,'2.職務職能需求'!$B$1:$F$1,0)),0),""))</f>
        <v/>
      </c>
      <c r="H779" s="94" t="n"/>
      <c r="I779" s="94" t="n"/>
      <c r="J779" s="120">
        <f>IF(OR(G779="",I779="",G779=0),"",I779-G779)</f>
        <v/>
      </c>
      <c r="K779" s="120">
        <f>IF(G779="","",IF(G779=0,"不適用",IF(I779="","待評核",IF(I779&gt;=G779,IF(I779&gt;G779,"超越","達標"),"待發展"))))</f>
        <v/>
      </c>
      <c r="L779" s="91" t="n"/>
      <c r="M779" s="91" t="n"/>
      <c r="N779" s="88" t="n"/>
    </row>
    <row r="780" ht="15.75" customHeight="1" s="64">
      <c r="A780" s="88" t="n"/>
      <c r="B780" s="120">
        <f t="array" ref="B780:B780">IF(A780="","",IFERROR(INDEX('3.員工名單'!$B:$B,MATCH(A780,'3.員工名單'!$A:$A,0)),"查無此員工"))</f>
        <v/>
      </c>
      <c r="C780" s="120">
        <f t="array" ref="C780:C780">IF(A780="","",IFERROR(INDEX('3.員工名單'!$C:$C,MATCH(A780,'3.員工名單'!$A:$A,0)),""))</f>
        <v/>
      </c>
      <c r="D780" s="120">
        <f t="array" ref="D780:D780">IF(A780="","",IFERROR(INDEX('3.員工名單'!$D:$D,MATCH(A780,'3.員工名單'!$A:$A,0)),""))</f>
        <v/>
      </c>
      <c r="E780" s="120">
        <f t="array" ref="E780:E780">IF(F780="","",IFERROR(INDEX('1.職能辭典'!$A:$A,MATCH(F780,'1.職能辭典'!$C:$C,0)),""))</f>
        <v/>
      </c>
      <c r="F780" s="94" t="n"/>
      <c r="G780" s="120">
        <f t="array" ref="G780:G780">IF(OR(D780="",F780=""),"",IFERROR(IF(AND(OR(INDEX('1.職能辭典'!$J:$J,MATCH(F780,'1.職能辭典'!$C:$C,0))="全部",INDEX('3.員工名單'!$H:$H,MATCH(A780,'3.員工名單'!$A:$A,0))="兩款共用",INDEX('3.員工名單'!$H:$H,MATCH(A780,'3.員工名單'!$A:$A,0))=INDEX('1.職能辭典'!$J:$J,MATCH(F780,'1.職能辭典'!$C:$C,0))),OR(INDEX('1.職能辭典'!$K:$K,MATCH(F780,'1.職能辭典'!$C:$C,0))="全部",SUMPRODUCT(ISNUMBER(SEARCH({"經營","管理","財務","企劃","營運","技術","數據","美術","測試","客服"},INDEX('3.員工名單'!$I:$I,MATCH(A780,'3.員工名單'!$A:$A,0))))*ISNUMBER(SEARCH({"經營","管理","財務","企劃","營運","技術","數據","美術","測試","客服"},INDEX('1.職能辭典'!$K:$K,MATCH(F780,'1.職能辭典'!$C:$C,0)))))&gt;0)),INDEX('2.職務職能需求'!$B$2:$F$28,MATCH(F780,'2.職務職能需求'!$A$2:$A$28,0),MATCH(D780,'2.職務職能需求'!$B$1:$F$1,0)),0),""))</f>
        <v/>
      </c>
      <c r="H780" s="94" t="n"/>
      <c r="I780" s="94" t="n"/>
      <c r="J780" s="120">
        <f>IF(OR(G780="",I780="",G780=0),"",I780-G780)</f>
        <v/>
      </c>
      <c r="K780" s="120">
        <f>IF(G780="","",IF(G780=0,"不適用",IF(I780="","待評核",IF(I780&gt;=G780,IF(I780&gt;G780,"超越","達標"),"待發展"))))</f>
        <v/>
      </c>
      <c r="L780" s="91" t="n"/>
      <c r="M780" s="91" t="n"/>
      <c r="N780" s="88" t="n"/>
    </row>
    <row r="781" ht="15.75" customHeight="1" s="64">
      <c r="A781" s="88" t="n"/>
      <c r="B781" s="120">
        <f t="array" ref="B781:B781">IF(A781="","",IFERROR(INDEX('3.員工名單'!$B:$B,MATCH(A781,'3.員工名單'!$A:$A,0)),"查無此員工"))</f>
        <v/>
      </c>
      <c r="C781" s="120">
        <f t="array" ref="C781:C781">IF(A781="","",IFERROR(INDEX('3.員工名單'!$C:$C,MATCH(A781,'3.員工名單'!$A:$A,0)),""))</f>
        <v/>
      </c>
      <c r="D781" s="120">
        <f t="array" ref="D781:D781">IF(A781="","",IFERROR(INDEX('3.員工名單'!$D:$D,MATCH(A781,'3.員工名單'!$A:$A,0)),""))</f>
        <v/>
      </c>
      <c r="E781" s="120">
        <f t="array" ref="E781:E781">IF(F781="","",IFERROR(INDEX('1.職能辭典'!$A:$A,MATCH(F781,'1.職能辭典'!$C:$C,0)),""))</f>
        <v/>
      </c>
      <c r="F781" s="94" t="n"/>
      <c r="G781" s="120">
        <f t="array" ref="G781:G781">IF(OR(D781="",F781=""),"",IFERROR(IF(AND(OR(INDEX('1.職能辭典'!$J:$J,MATCH(F781,'1.職能辭典'!$C:$C,0))="全部",INDEX('3.員工名單'!$H:$H,MATCH(A781,'3.員工名單'!$A:$A,0))="兩款共用",INDEX('3.員工名單'!$H:$H,MATCH(A781,'3.員工名單'!$A:$A,0))=INDEX('1.職能辭典'!$J:$J,MATCH(F781,'1.職能辭典'!$C:$C,0))),OR(INDEX('1.職能辭典'!$K:$K,MATCH(F781,'1.職能辭典'!$C:$C,0))="全部",SUMPRODUCT(ISNUMBER(SEARCH({"經營","管理","財務","企劃","營運","技術","數據","美術","測試","客服"},INDEX('3.員工名單'!$I:$I,MATCH(A781,'3.員工名單'!$A:$A,0))))*ISNUMBER(SEARCH({"經營","管理","財務","企劃","營運","技術","數據","美術","測試","客服"},INDEX('1.職能辭典'!$K:$K,MATCH(F781,'1.職能辭典'!$C:$C,0)))))&gt;0)),INDEX('2.職務職能需求'!$B$2:$F$28,MATCH(F781,'2.職務職能需求'!$A$2:$A$28,0),MATCH(D781,'2.職務職能需求'!$B$1:$F$1,0)),0),""))</f>
        <v/>
      </c>
      <c r="H781" s="94" t="n"/>
      <c r="I781" s="94" t="n"/>
      <c r="J781" s="120">
        <f>IF(OR(G781="",I781="",G781=0),"",I781-G781)</f>
        <v/>
      </c>
      <c r="K781" s="120">
        <f>IF(G781="","",IF(G781=0,"不適用",IF(I781="","待評核",IF(I781&gt;=G781,IF(I781&gt;G781,"超越","達標"),"待發展"))))</f>
        <v/>
      </c>
      <c r="L781" s="91" t="n"/>
      <c r="M781" s="91" t="n"/>
      <c r="N781" s="88" t="n"/>
    </row>
    <row r="782" ht="15.75" customHeight="1" s="64">
      <c r="A782" s="88" t="n"/>
      <c r="B782" s="120">
        <f t="array" ref="B782:B782">IF(A782="","",IFERROR(INDEX('3.員工名單'!$B:$B,MATCH(A782,'3.員工名單'!$A:$A,0)),"查無此員工"))</f>
        <v/>
      </c>
      <c r="C782" s="120">
        <f t="array" ref="C782:C782">IF(A782="","",IFERROR(INDEX('3.員工名單'!$C:$C,MATCH(A782,'3.員工名單'!$A:$A,0)),""))</f>
        <v/>
      </c>
      <c r="D782" s="120">
        <f t="array" ref="D782:D782">IF(A782="","",IFERROR(INDEX('3.員工名單'!$D:$D,MATCH(A782,'3.員工名單'!$A:$A,0)),""))</f>
        <v/>
      </c>
      <c r="E782" s="120">
        <f t="array" ref="E782:E782">IF(F782="","",IFERROR(INDEX('1.職能辭典'!$A:$A,MATCH(F782,'1.職能辭典'!$C:$C,0)),""))</f>
        <v/>
      </c>
      <c r="F782" s="94" t="n"/>
      <c r="G782" s="120">
        <f t="array" ref="G782:G782">IF(OR(D782="",F782=""),"",IFERROR(IF(AND(OR(INDEX('1.職能辭典'!$J:$J,MATCH(F782,'1.職能辭典'!$C:$C,0))="全部",INDEX('3.員工名單'!$H:$H,MATCH(A782,'3.員工名單'!$A:$A,0))="兩款共用",INDEX('3.員工名單'!$H:$H,MATCH(A782,'3.員工名單'!$A:$A,0))=INDEX('1.職能辭典'!$J:$J,MATCH(F782,'1.職能辭典'!$C:$C,0))),OR(INDEX('1.職能辭典'!$K:$K,MATCH(F782,'1.職能辭典'!$C:$C,0))="全部",SUMPRODUCT(ISNUMBER(SEARCH({"經營","管理","財務","企劃","營運","技術","數據","美術","測試","客服"},INDEX('3.員工名單'!$I:$I,MATCH(A782,'3.員工名單'!$A:$A,0))))*ISNUMBER(SEARCH({"經營","管理","財務","企劃","營運","技術","數據","美術","測試","客服"},INDEX('1.職能辭典'!$K:$K,MATCH(F782,'1.職能辭典'!$C:$C,0)))))&gt;0)),INDEX('2.職務職能需求'!$B$2:$F$28,MATCH(F782,'2.職務職能需求'!$A$2:$A$28,0),MATCH(D782,'2.職務職能需求'!$B$1:$F$1,0)),0),""))</f>
        <v/>
      </c>
      <c r="H782" s="94" t="n"/>
      <c r="I782" s="94" t="n"/>
      <c r="J782" s="120">
        <f>IF(OR(G782="",I782="",G782=0),"",I782-G782)</f>
        <v/>
      </c>
      <c r="K782" s="120">
        <f>IF(G782="","",IF(G782=0,"不適用",IF(I782="","待評核",IF(I782&gt;=G782,IF(I782&gt;G782,"超越","達標"),"待發展"))))</f>
        <v/>
      </c>
      <c r="L782" s="91" t="n"/>
      <c r="M782" s="91" t="n"/>
      <c r="N782" s="88" t="n"/>
    </row>
    <row r="783" ht="15.75" customHeight="1" s="64">
      <c r="A783" s="88" t="n"/>
      <c r="B783" s="120">
        <f t="array" ref="B783:B783">IF(A783="","",IFERROR(INDEX('3.員工名單'!$B:$B,MATCH(A783,'3.員工名單'!$A:$A,0)),"查無此員工"))</f>
        <v/>
      </c>
      <c r="C783" s="120">
        <f t="array" ref="C783:C783">IF(A783="","",IFERROR(INDEX('3.員工名單'!$C:$C,MATCH(A783,'3.員工名單'!$A:$A,0)),""))</f>
        <v/>
      </c>
      <c r="D783" s="120">
        <f t="array" ref="D783:D783">IF(A783="","",IFERROR(INDEX('3.員工名單'!$D:$D,MATCH(A783,'3.員工名單'!$A:$A,0)),""))</f>
        <v/>
      </c>
      <c r="E783" s="120">
        <f t="array" ref="E783:E783">IF(F783="","",IFERROR(INDEX('1.職能辭典'!$A:$A,MATCH(F783,'1.職能辭典'!$C:$C,0)),""))</f>
        <v/>
      </c>
      <c r="F783" s="94" t="n"/>
      <c r="G783" s="120">
        <f t="array" ref="G783:G783">IF(OR(D783="",F783=""),"",IFERROR(IF(AND(OR(INDEX('1.職能辭典'!$J:$J,MATCH(F783,'1.職能辭典'!$C:$C,0))="全部",INDEX('3.員工名單'!$H:$H,MATCH(A783,'3.員工名單'!$A:$A,0))="兩款共用",INDEX('3.員工名單'!$H:$H,MATCH(A783,'3.員工名單'!$A:$A,0))=INDEX('1.職能辭典'!$J:$J,MATCH(F783,'1.職能辭典'!$C:$C,0))),OR(INDEX('1.職能辭典'!$K:$K,MATCH(F783,'1.職能辭典'!$C:$C,0))="全部",SUMPRODUCT(ISNUMBER(SEARCH({"經營","管理","財務","企劃","營運","技術","數據","美術","測試","客服"},INDEX('3.員工名單'!$I:$I,MATCH(A783,'3.員工名單'!$A:$A,0))))*ISNUMBER(SEARCH({"經營","管理","財務","企劃","營運","技術","數據","美術","測試","客服"},INDEX('1.職能辭典'!$K:$K,MATCH(F783,'1.職能辭典'!$C:$C,0)))))&gt;0)),INDEX('2.職務職能需求'!$B$2:$F$28,MATCH(F783,'2.職務職能需求'!$A$2:$A$28,0),MATCH(D783,'2.職務職能需求'!$B$1:$F$1,0)),0),""))</f>
        <v/>
      </c>
      <c r="H783" s="94" t="n"/>
      <c r="I783" s="94" t="n"/>
      <c r="J783" s="120">
        <f>IF(OR(G783="",I783="",G783=0),"",I783-G783)</f>
        <v/>
      </c>
      <c r="K783" s="120">
        <f>IF(G783="","",IF(G783=0,"不適用",IF(I783="","待評核",IF(I783&gt;=G783,IF(I783&gt;G783,"超越","達標"),"待發展"))))</f>
        <v/>
      </c>
      <c r="L783" s="91" t="n"/>
      <c r="M783" s="91" t="n"/>
      <c r="N783" s="88" t="n"/>
    </row>
    <row r="784" ht="15.75" customHeight="1" s="64">
      <c r="A784" s="88" t="n"/>
      <c r="B784" s="120">
        <f t="array" ref="B784:B784">IF(A784="","",IFERROR(INDEX('3.員工名單'!$B:$B,MATCH(A784,'3.員工名單'!$A:$A,0)),"查無此員工"))</f>
        <v/>
      </c>
      <c r="C784" s="120">
        <f t="array" ref="C784:C784">IF(A784="","",IFERROR(INDEX('3.員工名單'!$C:$C,MATCH(A784,'3.員工名單'!$A:$A,0)),""))</f>
        <v/>
      </c>
      <c r="D784" s="120">
        <f t="array" ref="D784:D784">IF(A784="","",IFERROR(INDEX('3.員工名單'!$D:$D,MATCH(A784,'3.員工名單'!$A:$A,0)),""))</f>
        <v/>
      </c>
      <c r="E784" s="120">
        <f t="array" ref="E784:E784">IF(F784="","",IFERROR(INDEX('1.職能辭典'!$A:$A,MATCH(F784,'1.職能辭典'!$C:$C,0)),""))</f>
        <v/>
      </c>
      <c r="F784" s="94" t="n"/>
      <c r="G784" s="120">
        <f t="array" ref="G784:G784">IF(OR(D784="",F784=""),"",IFERROR(IF(AND(OR(INDEX('1.職能辭典'!$J:$J,MATCH(F784,'1.職能辭典'!$C:$C,0))="全部",INDEX('3.員工名單'!$H:$H,MATCH(A784,'3.員工名單'!$A:$A,0))="兩款共用",INDEX('3.員工名單'!$H:$H,MATCH(A784,'3.員工名單'!$A:$A,0))=INDEX('1.職能辭典'!$J:$J,MATCH(F784,'1.職能辭典'!$C:$C,0))),OR(INDEX('1.職能辭典'!$K:$K,MATCH(F784,'1.職能辭典'!$C:$C,0))="全部",SUMPRODUCT(ISNUMBER(SEARCH({"經營","管理","財務","企劃","營運","技術","數據","美術","測試","客服"},INDEX('3.員工名單'!$I:$I,MATCH(A784,'3.員工名單'!$A:$A,0))))*ISNUMBER(SEARCH({"經營","管理","財務","企劃","營運","技術","數據","美術","測試","客服"},INDEX('1.職能辭典'!$K:$K,MATCH(F784,'1.職能辭典'!$C:$C,0)))))&gt;0)),INDEX('2.職務職能需求'!$B$2:$F$28,MATCH(F784,'2.職務職能需求'!$A$2:$A$28,0),MATCH(D784,'2.職務職能需求'!$B$1:$F$1,0)),0),""))</f>
        <v/>
      </c>
      <c r="H784" s="94" t="n"/>
      <c r="I784" s="94" t="n"/>
      <c r="J784" s="120">
        <f>IF(OR(G784="",I784="",G784=0),"",I784-G784)</f>
        <v/>
      </c>
      <c r="K784" s="120">
        <f>IF(G784="","",IF(G784=0,"不適用",IF(I784="","待評核",IF(I784&gt;=G784,IF(I784&gt;G784,"超越","達標"),"待發展"))))</f>
        <v/>
      </c>
      <c r="L784" s="91" t="n"/>
      <c r="M784" s="91" t="n"/>
      <c r="N784" s="88" t="n"/>
    </row>
    <row r="785" ht="15.75" customHeight="1" s="64">
      <c r="A785" s="88" t="n"/>
      <c r="B785" s="120">
        <f t="array" ref="B785:B785">IF(A785="","",IFERROR(INDEX('3.員工名單'!$B:$B,MATCH(A785,'3.員工名單'!$A:$A,0)),"查無此員工"))</f>
        <v/>
      </c>
      <c r="C785" s="120">
        <f t="array" ref="C785:C785">IF(A785="","",IFERROR(INDEX('3.員工名單'!$C:$C,MATCH(A785,'3.員工名單'!$A:$A,0)),""))</f>
        <v/>
      </c>
      <c r="D785" s="120">
        <f t="array" ref="D785:D785">IF(A785="","",IFERROR(INDEX('3.員工名單'!$D:$D,MATCH(A785,'3.員工名單'!$A:$A,0)),""))</f>
        <v/>
      </c>
      <c r="E785" s="120">
        <f t="array" ref="E785:E785">IF(F785="","",IFERROR(INDEX('1.職能辭典'!$A:$A,MATCH(F785,'1.職能辭典'!$C:$C,0)),""))</f>
        <v/>
      </c>
      <c r="F785" s="94" t="n"/>
      <c r="G785" s="120">
        <f t="array" ref="G785:G785">IF(OR(D785="",F785=""),"",IFERROR(IF(AND(OR(INDEX('1.職能辭典'!$J:$J,MATCH(F785,'1.職能辭典'!$C:$C,0))="全部",INDEX('3.員工名單'!$H:$H,MATCH(A785,'3.員工名單'!$A:$A,0))="兩款共用",INDEX('3.員工名單'!$H:$H,MATCH(A785,'3.員工名單'!$A:$A,0))=INDEX('1.職能辭典'!$J:$J,MATCH(F785,'1.職能辭典'!$C:$C,0))),OR(INDEX('1.職能辭典'!$K:$K,MATCH(F785,'1.職能辭典'!$C:$C,0))="全部",SUMPRODUCT(ISNUMBER(SEARCH({"經營","管理","財務","企劃","營運","技術","數據","美術","測試","客服"},INDEX('3.員工名單'!$I:$I,MATCH(A785,'3.員工名單'!$A:$A,0))))*ISNUMBER(SEARCH({"經營","管理","財務","企劃","營運","技術","數據","美術","測試","客服"},INDEX('1.職能辭典'!$K:$K,MATCH(F785,'1.職能辭典'!$C:$C,0)))))&gt;0)),INDEX('2.職務職能需求'!$B$2:$F$28,MATCH(F785,'2.職務職能需求'!$A$2:$A$28,0),MATCH(D785,'2.職務職能需求'!$B$1:$F$1,0)),0),""))</f>
        <v/>
      </c>
      <c r="H785" s="94" t="n"/>
      <c r="I785" s="94" t="n"/>
      <c r="J785" s="120">
        <f>IF(OR(G785="",I785="",G785=0),"",I785-G785)</f>
        <v/>
      </c>
      <c r="K785" s="120">
        <f>IF(G785="","",IF(G785=0,"不適用",IF(I785="","待評核",IF(I785&gt;=G785,IF(I785&gt;G785,"超越","達標"),"待發展"))))</f>
        <v/>
      </c>
      <c r="L785" s="91" t="n"/>
      <c r="M785" s="91" t="n"/>
      <c r="N785" s="88" t="n"/>
    </row>
    <row r="786" ht="15.75" customHeight="1" s="64">
      <c r="A786" s="88" t="n"/>
      <c r="B786" s="120">
        <f t="array" ref="B786:B786">IF(A786="","",IFERROR(INDEX('3.員工名單'!$B:$B,MATCH(A786,'3.員工名單'!$A:$A,0)),"查無此員工"))</f>
        <v/>
      </c>
      <c r="C786" s="120">
        <f t="array" ref="C786:C786">IF(A786="","",IFERROR(INDEX('3.員工名單'!$C:$C,MATCH(A786,'3.員工名單'!$A:$A,0)),""))</f>
        <v/>
      </c>
      <c r="D786" s="120">
        <f t="array" ref="D786:D786">IF(A786="","",IFERROR(INDEX('3.員工名單'!$D:$D,MATCH(A786,'3.員工名單'!$A:$A,0)),""))</f>
        <v/>
      </c>
      <c r="E786" s="120">
        <f t="array" ref="E786:E786">IF(F786="","",IFERROR(INDEX('1.職能辭典'!$A:$A,MATCH(F786,'1.職能辭典'!$C:$C,0)),""))</f>
        <v/>
      </c>
      <c r="F786" s="94" t="n"/>
      <c r="G786" s="120">
        <f t="array" ref="G786:G786">IF(OR(D786="",F786=""),"",IFERROR(IF(AND(OR(INDEX('1.職能辭典'!$J:$J,MATCH(F786,'1.職能辭典'!$C:$C,0))="全部",INDEX('3.員工名單'!$H:$H,MATCH(A786,'3.員工名單'!$A:$A,0))="兩款共用",INDEX('3.員工名單'!$H:$H,MATCH(A786,'3.員工名單'!$A:$A,0))=INDEX('1.職能辭典'!$J:$J,MATCH(F786,'1.職能辭典'!$C:$C,0))),OR(INDEX('1.職能辭典'!$K:$K,MATCH(F786,'1.職能辭典'!$C:$C,0))="全部",SUMPRODUCT(ISNUMBER(SEARCH({"經營","管理","財務","企劃","營運","技術","數據","美術","測試","客服"},INDEX('3.員工名單'!$I:$I,MATCH(A786,'3.員工名單'!$A:$A,0))))*ISNUMBER(SEARCH({"經營","管理","財務","企劃","營運","技術","數據","美術","測試","客服"},INDEX('1.職能辭典'!$K:$K,MATCH(F786,'1.職能辭典'!$C:$C,0)))))&gt;0)),INDEX('2.職務職能需求'!$B$2:$F$28,MATCH(F786,'2.職務職能需求'!$A$2:$A$28,0),MATCH(D786,'2.職務職能需求'!$B$1:$F$1,0)),0),""))</f>
        <v/>
      </c>
      <c r="H786" s="94" t="n"/>
      <c r="I786" s="94" t="n"/>
      <c r="J786" s="120">
        <f>IF(OR(G786="",I786="",G786=0),"",I786-G786)</f>
        <v/>
      </c>
      <c r="K786" s="120">
        <f>IF(G786="","",IF(G786=0,"不適用",IF(I786="","待評核",IF(I786&gt;=G786,IF(I786&gt;G786,"超越","達標"),"待發展"))))</f>
        <v/>
      </c>
      <c r="L786" s="91" t="n"/>
      <c r="M786" s="91" t="n"/>
      <c r="N786" s="88" t="n"/>
    </row>
    <row r="787" ht="15.75" customHeight="1" s="64">
      <c r="A787" s="88" t="n"/>
      <c r="B787" s="120">
        <f t="array" ref="B787:B787">IF(A787="","",IFERROR(INDEX('3.員工名單'!$B:$B,MATCH(A787,'3.員工名單'!$A:$A,0)),"查無此員工"))</f>
        <v/>
      </c>
      <c r="C787" s="120">
        <f t="array" ref="C787:C787">IF(A787="","",IFERROR(INDEX('3.員工名單'!$C:$C,MATCH(A787,'3.員工名單'!$A:$A,0)),""))</f>
        <v/>
      </c>
      <c r="D787" s="120">
        <f t="array" ref="D787:D787">IF(A787="","",IFERROR(INDEX('3.員工名單'!$D:$D,MATCH(A787,'3.員工名單'!$A:$A,0)),""))</f>
        <v/>
      </c>
      <c r="E787" s="120">
        <f t="array" ref="E787:E787">IF(F787="","",IFERROR(INDEX('1.職能辭典'!$A:$A,MATCH(F787,'1.職能辭典'!$C:$C,0)),""))</f>
        <v/>
      </c>
      <c r="F787" s="94" t="n"/>
      <c r="G787" s="120">
        <f t="array" ref="G787:G787">IF(OR(D787="",F787=""),"",IFERROR(IF(AND(OR(INDEX('1.職能辭典'!$J:$J,MATCH(F787,'1.職能辭典'!$C:$C,0))="全部",INDEX('3.員工名單'!$H:$H,MATCH(A787,'3.員工名單'!$A:$A,0))="兩款共用",INDEX('3.員工名單'!$H:$H,MATCH(A787,'3.員工名單'!$A:$A,0))=INDEX('1.職能辭典'!$J:$J,MATCH(F787,'1.職能辭典'!$C:$C,0))),OR(INDEX('1.職能辭典'!$K:$K,MATCH(F787,'1.職能辭典'!$C:$C,0))="全部",SUMPRODUCT(ISNUMBER(SEARCH({"經營","管理","財務","企劃","營運","技術","數據","美術","測試","客服"},INDEX('3.員工名單'!$I:$I,MATCH(A787,'3.員工名單'!$A:$A,0))))*ISNUMBER(SEARCH({"經營","管理","財務","企劃","營運","技術","數據","美術","測試","客服"},INDEX('1.職能辭典'!$K:$K,MATCH(F787,'1.職能辭典'!$C:$C,0)))))&gt;0)),INDEX('2.職務職能需求'!$B$2:$F$28,MATCH(F787,'2.職務職能需求'!$A$2:$A$28,0),MATCH(D787,'2.職務職能需求'!$B$1:$F$1,0)),0),""))</f>
        <v/>
      </c>
      <c r="H787" s="94" t="n"/>
      <c r="I787" s="94" t="n"/>
      <c r="J787" s="120">
        <f>IF(OR(G787="",I787="",G787=0),"",I787-G787)</f>
        <v/>
      </c>
      <c r="K787" s="120">
        <f>IF(G787="","",IF(G787=0,"不適用",IF(I787="","待評核",IF(I787&gt;=G787,IF(I787&gt;G787,"超越","達標"),"待發展"))))</f>
        <v/>
      </c>
      <c r="L787" s="91" t="n"/>
      <c r="M787" s="91" t="n"/>
      <c r="N787" s="88" t="n"/>
    </row>
    <row r="788" ht="15.75" customHeight="1" s="64">
      <c r="A788" s="88" t="n"/>
      <c r="B788" s="120">
        <f t="array" ref="B788:B788">IF(A788="","",IFERROR(INDEX('3.員工名單'!$B:$B,MATCH(A788,'3.員工名單'!$A:$A,0)),"查無此員工"))</f>
        <v/>
      </c>
      <c r="C788" s="120">
        <f t="array" ref="C788:C788">IF(A788="","",IFERROR(INDEX('3.員工名單'!$C:$C,MATCH(A788,'3.員工名單'!$A:$A,0)),""))</f>
        <v/>
      </c>
      <c r="D788" s="120">
        <f t="array" ref="D788:D788">IF(A788="","",IFERROR(INDEX('3.員工名單'!$D:$D,MATCH(A788,'3.員工名單'!$A:$A,0)),""))</f>
        <v/>
      </c>
      <c r="E788" s="120">
        <f t="array" ref="E788:E788">IF(F788="","",IFERROR(INDEX('1.職能辭典'!$A:$A,MATCH(F788,'1.職能辭典'!$C:$C,0)),""))</f>
        <v/>
      </c>
      <c r="F788" s="94" t="n"/>
      <c r="G788" s="120">
        <f t="array" ref="G788:G788">IF(OR(D788="",F788=""),"",IFERROR(IF(AND(OR(INDEX('1.職能辭典'!$J:$J,MATCH(F788,'1.職能辭典'!$C:$C,0))="全部",INDEX('3.員工名單'!$H:$H,MATCH(A788,'3.員工名單'!$A:$A,0))="兩款共用",INDEX('3.員工名單'!$H:$H,MATCH(A788,'3.員工名單'!$A:$A,0))=INDEX('1.職能辭典'!$J:$J,MATCH(F788,'1.職能辭典'!$C:$C,0))),OR(INDEX('1.職能辭典'!$K:$K,MATCH(F788,'1.職能辭典'!$C:$C,0))="全部",SUMPRODUCT(ISNUMBER(SEARCH({"經營","管理","財務","企劃","營運","技術","數據","美術","測試","客服"},INDEX('3.員工名單'!$I:$I,MATCH(A788,'3.員工名單'!$A:$A,0))))*ISNUMBER(SEARCH({"經營","管理","財務","企劃","營運","技術","數據","美術","測試","客服"},INDEX('1.職能辭典'!$K:$K,MATCH(F788,'1.職能辭典'!$C:$C,0)))))&gt;0)),INDEX('2.職務職能需求'!$B$2:$F$28,MATCH(F788,'2.職務職能需求'!$A$2:$A$28,0),MATCH(D788,'2.職務職能需求'!$B$1:$F$1,0)),0),""))</f>
        <v/>
      </c>
      <c r="H788" s="94" t="n"/>
      <c r="I788" s="94" t="n"/>
      <c r="J788" s="120">
        <f>IF(OR(G788="",I788="",G788=0),"",I788-G788)</f>
        <v/>
      </c>
      <c r="K788" s="120">
        <f>IF(G788="","",IF(G788=0,"不適用",IF(I788="","待評核",IF(I788&gt;=G788,IF(I788&gt;G788,"超越","達標"),"待發展"))))</f>
        <v/>
      </c>
      <c r="L788" s="91" t="n"/>
      <c r="M788" s="91" t="n"/>
      <c r="N788" s="88" t="n"/>
    </row>
    <row r="789" ht="15.75" customHeight="1" s="64">
      <c r="A789" s="88" t="n"/>
      <c r="B789" s="120">
        <f t="array" ref="B789:B789">IF(A789="","",IFERROR(INDEX('3.員工名單'!$B:$B,MATCH(A789,'3.員工名單'!$A:$A,0)),"查無此員工"))</f>
        <v/>
      </c>
      <c r="C789" s="120">
        <f t="array" ref="C789:C789">IF(A789="","",IFERROR(INDEX('3.員工名單'!$C:$C,MATCH(A789,'3.員工名單'!$A:$A,0)),""))</f>
        <v/>
      </c>
      <c r="D789" s="120">
        <f t="array" ref="D789:D789">IF(A789="","",IFERROR(INDEX('3.員工名單'!$D:$D,MATCH(A789,'3.員工名單'!$A:$A,0)),""))</f>
        <v/>
      </c>
      <c r="E789" s="120">
        <f t="array" ref="E789:E789">IF(F789="","",IFERROR(INDEX('1.職能辭典'!$A:$A,MATCH(F789,'1.職能辭典'!$C:$C,0)),""))</f>
        <v/>
      </c>
      <c r="F789" s="94" t="n"/>
      <c r="G789" s="120">
        <f t="array" ref="G789:G789">IF(OR(D789="",F789=""),"",IFERROR(IF(AND(OR(INDEX('1.職能辭典'!$J:$J,MATCH(F789,'1.職能辭典'!$C:$C,0))="全部",INDEX('3.員工名單'!$H:$H,MATCH(A789,'3.員工名單'!$A:$A,0))="兩款共用",INDEX('3.員工名單'!$H:$H,MATCH(A789,'3.員工名單'!$A:$A,0))=INDEX('1.職能辭典'!$J:$J,MATCH(F789,'1.職能辭典'!$C:$C,0))),OR(INDEX('1.職能辭典'!$K:$K,MATCH(F789,'1.職能辭典'!$C:$C,0))="全部",SUMPRODUCT(ISNUMBER(SEARCH({"經營","管理","財務","企劃","營運","技術","數據","美術","測試","客服"},INDEX('3.員工名單'!$I:$I,MATCH(A789,'3.員工名單'!$A:$A,0))))*ISNUMBER(SEARCH({"經營","管理","財務","企劃","營運","技術","數據","美術","測試","客服"},INDEX('1.職能辭典'!$K:$K,MATCH(F789,'1.職能辭典'!$C:$C,0)))))&gt;0)),INDEX('2.職務職能需求'!$B$2:$F$28,MATCH(F789,'2.職務職能需求'!$A$2:$A$28,0),MATCH(D789,'2.職務職能需求'!$B$1:$F$1,0)),0),""))</f>
        <v/>
      </c>
      <c r="H789" s="94" t="n"/>
      <c r="I789" s="94" t="n"/>
      <c r="J789" s="120">
        <f>IF(OR(G789="",I789="",G789=0),"",I789-G789)</f>
        <v/>
      </c>
      <c r="K789" s="120">
        <f>IF(G789="","",IF(G789=0,"不適用",IF(I789="","待評核",IF(I789&gt;=G789,IF(I789&gt;G789,"超越","達標"),"待發展"))))</f>
        <v/>
      </c>
      <c r="L789" s="91" t="n"/>
      <c r="M789" s="91" t="n"/>
      <c r="N789" s="88" t="n"/>
    </row>
    <row r="790" ht="15.75" customHeight="1" s="64">
      <c r="A790" s="88" t="n"/>
      <c r="B790" s="120">
        <f t="array" ref="B790:B790">IF(A790="","",IFERROR(INDEX('3.員工名單'!$B:$B,MATCH(A790,'3.員工名單'!$A:$A,0)),"查無此員工"))</f>
        <v/>
      </c>
      <c r="C790" s="120">
        <f t="array" ref="C790:C790">IF(A790="","",IFERROR(INDEX('3.員工名單'!$C:$C,MATCH(A790,'3.員工名單'!$A:$A,0)),""))</f>
        <v/>
      </c>
      <c r="D790" s="120">
        <f t="array" ref="D790:D790">IF(A790="","",IFERROR(INDEX('3.員工名單'!$D:$D,MATCH(A790,'3.員工名單'!$A:$A,0)),""))</f>
        <v/>
      </c>
      <c r="E790" s="120">
        <f t="array" ref="E790:E790">IF(F790="","",IFERROR(INDEX('1.職能辭典'!$A:$A,MATCH(F790,'1.職能辭典'!$C:$C,0)),""))</f>
        <v/>
      </c>
      <c r="F790" s="94" t="n"/>
      <c r="G790" s="120">
        <f t="array" ref="G790:G790">IF(OR(D790="",F790=""),"",IFERROR(IF(AND(OR(INDEX('1.職能辭典'!$J:$J,MATCH(F790,'1.職能辭典'!$C:$C,0))="全部",INDEX('3.員工名單'!$H:$H,MATCH(A790,'3.員工名單'!$A:$A,0))="兩款共用",INDEX('3.員工名單'!$H:$H,MATCH(A790,'3.員工名單'!$A:$A,0))=INDEX('1.職能辭典'!$J:$J,MATCH(F790,'1.職能辭典'!$C:$C,0))),OR(INDEX('1.職能辭典'!$K:$K,MATCH(F790,'1.職能辭典'!$C:$C,0))="全部",SUMPRODUCT(ISNUMBER(SEARCH({"經營","管理","財務","企劃","營運","技術","數據","美術","測試","客服"},INDEX('3.員工名單'!$I:$I,MATCH(A790,'3.員工名單'!$A:$A,0))))*ISNUMBER(SEARCH({"經營","管理","財務","企劃","營運","技術","數據","美術","測試","客服"},INDEX('1.職能辭典'!$K:$K,MATCH(F790,'1.職能辭典'!$C:$C,0)))))&gt;0)),INDEX('2.職務職能需求'!$B$2:$F$28,MATCH(F790,'2.職務職能需求'!$A$2:$A$28,0),MATCH(D790,'2.職務職能需求'!$B$1:$F$1,0)),0),""))</f>
        <v/>
      </c>
      <c r="H790" s="94" t="n"/>
      <c r="I790" s="94" t="n"/>
      <c r="J790" s="120">
        <f>IF(OR(G790="",I790="",G790=0),"",I790-G790)</f>
        <v/>
      </c>
      <c r="K790" s="120">
        <f>IF(G790="","",IF(G790=0,"不適用",IF(I790="","待評核",IF(I790&gt;=G790,IF(I790&gt;G790,"超越","達標"),"待發展"))))</f>
        <v/>
      </c>
      <c r="L790" s="91" t="n"/>
      <c r="M790" s="91" t="n"/>
      <c r="N790" s="88" t="n"/>
    </row>
    <row r="791" ht="15.75" customHeight="1" s="64">
      <c r="A791" s="88" t="n"/>
      <c r="B791" s="120">
        <f t="array" ref="B791:B791">IF(A791="","",IFERROR(INDEX('3.員工名單'!$B:$B,MATCH(A791,'3.員工名單'!$A:$A,0)),"查無此員工"))</f>
        <v/>
      </c>
      <c r="C791" s="120">
        <f t="array" ref="C791:C791">IF(A791="","",IFERROR(INDEX('3.員工名單'!$C:$C,MATCH(A791,'3.員工名單'!$A:$A,0)),""))</f>
        <v/>
      </c>
      <c r="D791" s="120">
        <f t="array" ref="D791:D791">IF(A791="","",IFERROR(INDEX('3.員工名單'!$D:$D,MATCH(A791,'3.員工名單'!$A:$A,0)),""))</f>
        <v/>
      </c>
      <c r="E791" s="120">
        <f t="array" ref="E791:E791">IF(F791="","",IFERROR(INDEX('1.職能辭典'!$A:$A,MATCH(F791,'1.職能辭典'!$C:$C,0)),""))</f>
        <v/>
      </c>
      <c r="F791" s="94" t="n"/>
      <c r="G791" s="120">
        <f t="array" ref="G791:G791">IF(OR(D791="",F791=""),"",IFERROR(IF(AND(OR(INDEX('1.職能辭典'!$J:$J,MATCH(F791,'1.職能辭典'!$C:$C,0))="全部",INDEX('3.員工名單'!$H:$H,MATCH(A791,'3.員工名單'!$A:$A,0))="兩款共用",INDEX('3.員工名單'!$H:$H,MATCH(A791,'3.員工名單'!$A:$A,0))=INDEX('1.職能辭典'!$J:$J,MATCH(F791,'1.職能辭典'!$C:$C,0))),OR(INDEX('1.職能辭典'!$K:$K,MATCH(F791,'1.職能辭典'!$C:$C,0))="全部",SUMPRODUCT(ISNUMBER(SEARCH({"經營","管理","財務","企劃","營運","技術","數據","美術","測試","客服"},INDEX('3.員工名單'!$I:$I,MATCH(A791,'3.員工名單'!$A:$A,0))))*ISNUMBER(SEARCH({"經營","管理","財務","企劃","營運","技術","數據","美術","測試","客服"},INDEX('1.職能辭典'!$K:$K,MATCH(F791,'1.職能辭典'!$C:$C,0)))))&gt;0)),INDEX('2.職務職能需求'!$B$2:$F$28,MATCH(F791,'2.職務職能需求'!$A$2:$A$28,0),MATCH(D791,'2.職務職能需求'!$B$1:$F$1,0)),0),""))</f>
        <v/>
      </c>
      <c r="H791" s="94" t="n"/>
      <c r="I791" s="94" t="n"/>
      <c r="J791" s="120">
        <f>IF(OR(G791="",I791="",G791=0),"",I791-G791)</f>
        <v/>
      </c>
      <c r="K791" s="120">
        <f>IF(G791="","",IF(G791=0,"不適用",IF(I791="","待評核",IF(I791&gt;=G791,IF(I791&gt;G791,"超越","達標"),"待發展"))))</f>
        <v/>
      </c>
      <c r="L791" s="91" t="n"/>
      <c r="M791" s="91" t="n"/>
      <c r="N791" s="88" t="n"/>
    </row>
    <row r="792" ht="15.75" customHeight="1" s="64">
      <c r="A792" s="88" t="n"/>
      <c r="B792" s="120">
        <f t="array" ref="B792:B792">IF(A792="","",IFERROR(INDEX('3.員工名單'!$B:$B,MATCH(A792,'3.員工名單'!$A:$A,0)),"查無此員工"))</f>
        <v/>
      </c>
      <c r="C792" s="120">
        <f t="array" ref="C792:C792">IF(A792="","",IFERROR(INDEX('3.員工名單'!$C:$C,MATCH(A792,'3.員工名單'!$A:$A,0)),""))</f>
        <v/>
      </c>
      <c r="D792" s="120">
        <f t="array" ref="D792:D792">IF(A792="","",IFERROR(INDEX('3.員工名單'!$D:$D,MATCH(A792,'3.員工名單'!$A:$A,0)),""))</f>
        <v/>
      </c>
      <c r="E792" s="120">
        <f t="array" ref="E792:E792">IF(F792="","",IFERROR(INDEX('1.職能辭典'!$A:$A,MATCH(F792,'1.職能辭典'!$C:$C,0)),""))</f>
        <v/>
      </c>
      <c r="F792" s="94" t="n"/>
      <c r="G792" s="120">
        <f t="array" ref="G792:G792">IF(OR(D792="",F792=""),"",IFERROR(IF(AND(OR(INDEX('1.職能辭典'!$J:$J,MATCH(F792,'1.職能辭典'!$C:$C,0))="全部",INDEX('3.員工名單'!$H:$H,MATCH(A792,'3.員工名單'!$A:$A,0))="兩款共用",INDEX('3.員工名單'!$H:$H,MATCH(A792,'3.員工名單'!$A:$A,0))=INDEX('1.職能辭典'!$J:$J,MATCH(F792,'1.職能辭典'!$C:$C,0))),OR(INDEX('1.職能辭典'!$K:$K,MATCH(F792,'1.職能辭典'!$C:$C,0))="全部",SUMPRODUCT(ISNUMBER(SEARCH({"經營","管理","財務","企劃","營運","技術","數據","美術","測試","客服"},INDEX('3.員工名單'!$I:$I,MATCH(A792,'3.員工名單'!$A:$A,0))))*ISNUMBER(SEARCH({"經營","管理","財務","企劃","營運","技術","數據","美術","測試","客服"},INDEX('1.職能辭典'!$K:$K,MATCH(F792,'1.職能辭典'!$C:$C,0)))))&gt;0)),INDEX('2.職務職能需求'!$B$2:$F$28,MATCH(F792,'2.職務職能需求'!$A$2:$A$28,0),MATCH(D792,'2.職務職能需求'!$B$1:$F$1,0)),0),""))</f>
        <v/>
      </c>
      <c r="H792" s="94" t="n"/>
      <c r="I792" s="94" t="n"/>
      <c r="J792" s="120">
        <f>IF(OR(G792="",I792="",G792=0),"",I792-G792)</f>
        <v/>
      </c>
      <c r="K792" s="120">
        <f>IF(G792="","",IF(G792=0,"不適用",IF(I792="","待評核",IF(I792&gt;=G792,IF(I792&gt;G792,"超越","達標"),"待發展"))))</f>
        <v/>
      </c>
      <c r="L792" s="91" t="n"/>
      <c r="M792" s="91" t="n"/>
      <c r="N792" s="88" t="n"/>
    </row>
    <row r="793" ht="15.75" customHeight="1" s="64">
      <c r="A793" s="88" t="n"/>
      <c r="B793" s="120">
        <f t="array" ref="B793:B793">IF(A793="","",IFERROR(INDEX('3.員工名單'!$B:$B,MATCH(A793,'3.員工名單'!$A:$A,0)),"查無此員工"))</f>
        <v/>
      </c>
      <c r="C793" s="120">
        <f t="array" ref="C793:C793">IF(A793="","",IFERROR(INDEX('3.員工名單'!$C:$C,MATCH(A793,'3.員工名單'!$A:$A,0)),""))</f>
        <v/>
      </c>
      <c r="D793" s="120">
        <f t="array" ref="D793:D793">IF(A793="","",IFERROR(INDEX('3.員工名單'!$D:$D,MATCH(A793,'3.員工名單'!$A:$A,0)),""))</f>
        <v/>
      </c>
      <c r="E793" s="120">
        <f t="array" ref="E793:E793">IF(F793="","",IFERROR(INDEX('1.職能辭典'!$A:$A,MATCH(F793,'1.職能辭典'!$C:$C,0)),""))</f>
        <v/>
      </c>
      <c r="F793" s="94" t="n"/>
      <c r="G793" s="120">
        <f t="array" ref="G793:G793">IF(OR(D793="",F793=""),"",IFERROR(IF(AND(OR(INDEX('1.職能辭典'!$J:$J,MATCH(F793,'1.職能辭典'!$C:$C,0))="全部",INDEX('3.員工名單'!$H:$H,MATCH(A793,'3.員工名單'!$A:$A,0))="兩款共用",INDEX('3.員工名單'!$H:$H,MATCH(A793,'3.員工名單'!$A:$A,0))=INDEX('1.職能辭典'!$J:$J,MATCH(F793,'1.職能辭典'!$C:$C,0))),OR(INDEX('1.職能辭典'!$K:$K,MATCH(F793,'1.職能辭典'!$C:$C,0))="全部",SUMPRODUCT(ISNUMBER(SEARCH({"經營","管理","財務","企劃","營運","技術","數據","美術","測試","客服"},INDEX('3.員工名單'!$I:$I,MATCH(A793,'3.員工名單'!$A:$A,0))))*ISNUMBER(SEARCH({"經營","管理","財務","企劃","營運","技術","數據","美術","測試","客服"},INDEX('1.職能辭典'!$K:$K,MATCH(F793,'1.職能辭典'!$C:$C,0)))))&gt;0)),INDEX('2.職務職能需求'!$B$2:$F$28,MATCH(F793,'2.職務職能需求'!$A$2:$A$28,0),MATCH(D793,'2.職務職能需求'!$B$1:$F$1,0)),0),""))</f>
        <v/>
      </c>
      <c r="H793" s="94" t="n"/>
      <c r="I793" s="94" t="n"/>
      <c r="J793" s="120">
        <f>IF(OR(G793="",I793="",G793=0),"",I793-G793)</f>
        <v/>
      </c>
      <c r="K793" s="120">
        <f>IF(G793="","",IF(G793=0,"不適用",IF(I793="","待評核",IF(I793&gt;=G793,IF(I793&gt;G793,"超越","達標"),"待發展"))))</f>
        <v/>
      </c>
      <c r="L793" s="91" t="n"/>
      <c r="M793" s="91" t="n"/>
      <c r="N793" s="88" t="n"/>
    </row>
    <row r="794" ht="15.75" customHeight="1" s="64">
      <c r="A794" s="88" t="n"/>
      <c r="B794" s="120">
        <f t="array" ref="B794:B794">IF(A794="","",IFERROR(INDEX('3.員工名單'!$B:$B,MATCH(A794,'3.員工名單'!$A:$A,0)),"查無此員工"))</f>
        <v/>
      </c>
      <c r="C794" s="120">
        <f t="array" ref="C794:C794">IF(A794="","",IFERROR(INDEX('3.員工名單'!$C:$C,MATCH(A794,'3.員工名單'!$A:$A,0)),""))</f>
        <v/>
      </c>
      <c r="D794" s="120">
        <f t="array" ref="D794:D794">IF(A794="","",IFERROR(INDEX('3.員工名單'!$D:$D,MATCH(A794,'3.員工名單'!$A:$A,0)),""))</f>
        <v/>
      </c>
      <c r="E794" s="120">
        <f t="array" ref="E794:E794">IF(F794="","",IFERROR(INDEX('1.職能辭典'!$A:$A,MATCH(F794,'1.職能辭典'!$C:$C,0)),""))</f>
        <v/>
      </c>
      <c r="F794" s="94" t="n"/>
      <c r="G794" s="120">
        <f t="array" ref="G794:G794">IF(OR(D794="",F794=""),"",IFERROR(IF(AND(OR(INDEX('1.職能辭典'!$J:$J,MATCH(F794,'1.職能辭典'!$C:$C,0))="全部",INDEX('3.員工名單'!$H:$H,MATCH(A794,'3.員工名單'!$A:$A,0))="兩款共用",INDEX('3.員工名單'!$H:$H,MATCH(A794,'3.員工名單'!$A:$A,0))=INDEX('1.職能辭典'!$J:$J,MATCH(F794,'1.職能辭典'!$C:$C,0))),OR(INDEX('1.職能辭典'!$K:$K,MATCH(F794,'1.職能辭典'!$C:$C,0))="全部",SUMPRODUCT(ISNUMBER(SEARCH({"經營","管理","財務","企劃","營運","技術","數據","美術","測試","客服"},INDEX('3.員工名單'!$I:$I,MATCH(A794,'3.員工名單'!$A:$A,0))))*ISNUMBER(SEARCH({"經營","管理","財務","企劃","營運","技術","數據","美術","測試","客服"},INDEX('1.職能辭典'!$K:$K,MATCH(F794,'1.職能辭典'!$C:$C,0)))))&gt;0)),INDEX('2.職務職能需求'!$B$2:$F$28,MATCH(F794,'2.職務職能需求'!$A$2:$A$28,0),MATCH(D794,'2.職務職能需求'!$B$1:$F$1,0)),0),""))</f>
        <v/>
      </c>
      <c r="H794" s="94" t="n"/>
      <c r="I794" s="94" t="n"/>
      <c r="J794" s="120">
        <f>IF(OR(G794="",I794="",G794=0),"",I794-G794)</f>
        <v/>
      </c>
      <c r="K794" s="120">
        <f>IF(G794="","",IF(G794=0,"不適用",IF(I794="","待評核",IF(I794&gt;=G794,IF(I794&gt;G794,"超越","達標"),"待發展"))))</f>
        <v/>
      </c>
      <c r="L794" s="91" t="n"/>
      <c r="M794" s="91" t="n"/>
      <c r="N794" s="88" t="n"/>
    </row>
    <row r="795" ht="15.75" customHeight="1" s="64">
      <c r="A795" s="88" t="n"/>
      <c r="B795" s="120">
        <f t="array" ref="B795:B795">IF(A795="","",IFERROR(INDEX('3.員工名單'!$B:$B,MATCH(A795,'3.員工名單'!$A:$A,0)),"查無此員工"))</f>
        <v/>
      </c>
      <c r="C795" s="120">
        <f t="array" ref="C795:C795">IF(A795="","",IFERROR(INDEX('3.員工名單'!$C:$C,MATCH(A795,'3.員工名單'!$A:$A,0)),""))</f>
        <v/>
      </c>
      <c r="D795" s="120">
        <f t="array" ref="D795:D795">IF(A795="","",IFERROR(INDEX('3.員工名單'!$D:$D,MATCH(A795,'3.員工名單'!$A:$A,0)),""))</f>
        <v/>
      </c>
      <c r="E795" s="120">
        <f t="array" ref="E795:E795">IF(F795="","",IFERROR(INDEX('1.職能辭典'!$A:$A,MATCH(F795,'1.職能辭典'!$C:$C,0)),""))</f>
        <v/>
      </c>
      <c r="F795" s="94" t="n"/>
      <c r="G795" s="120">
        <f t="array" ref="G795:G795">IF(OR(D795="",F795=""),"",IFERROR(IF(AND(OR(INDEX('1.職能辭典'!$J:$J,MATCH(F795,'1.職能辭典'!$C:$C,0))="全部",INDEX('3.員工名單'!$H:$H,MATCH(A795,'3.員工名單'!$A:$A,0))="兩款共用",INDEX('3.員工名單'!$H:$H,MATCH(A795,'3.員工名單'!$A:$A,0))=INDEX('1.職能辭典'!$J:$J,MATCH(F795,'1.職能辭典'!$C:$C,0))),OR(INDEX('1.職能辭典'!$K:$K,MATCH(F795,'1.職能辭典'!$C:$C,0))="全部",SUMPRODUCT(ISNUMBER(SEARCH({"經營","管理","財務","企劃","營運","技術","數據","美術","測試","客服"},INDEX('3.員工名單'!$I:$I,MATCH(A795,'3.員工名單'!$A:$A,0))))*ISNUMBER(SEARCH({"經營","管理","財務","企劃","營運","技術","數據","美術","測試","客服"},INDEX('1.職能辭典'!$K:$K,MATCH(F795,'1.職能辭典'!$C:$C,0)))))&gt;0)),INDEX('2.職務職能需求'!$B$2:$F$28,MATCH(F795,'2.職務職能需求'!$A$2:$A$28,0),MATCH(D795,'2.職務職能需求'!$B$1:$F$1,0)),0),""))</f>
        <v/>
      </c>
      <c r="H795" s="94" t="n"/>
      <c r="I795" s="94" t="n"/>
      <c r="J795" s="120">
        <f>IF(OR(G795="",I795="",G795=0),"",I795-G795)</f>
        <v/>
      </c>
      <c r="K795" s="120">
        <f>IF(G795="","",IF(G795=0,"不適用",IF(I795="","待評核",IF(I795&gt;=G795,IF(I795&gt;G795,"超越","達標"),"待發展"))))</f>
        <v/>
      </c>
      <c r="L795" s="91" t="n"/>
      <c r="M795" s="91" t="n"/>
      <c r="N795" s="88" t="n"/>
    </row>
    <row r="796" ht="15.75" customHeight="1" s="64">
      <c r="A796" s="88" t="n"/>
      <c r="B796" s="120">
        <f t="array" ref="B796:B796">IF(A796="","",IFERROR(INDEX('3.員工名單'!$B:$B,MATCH(A796,'3.員工名單'!$A:$A,0)),"查無此員工"))</f>
        <v/>
      </c>
      <c r="C796" s="120">
        <f t="array" ref="C796:C796">IF(A796="","",IFERROR(INDEX('3.員工名單'!$C:$C,MATCH(A796,'3.員工名單'!$A:$A,0)),""))</f>
        <v/>
      </c>
      <c r="D796" s="120">
        <f t="array" ref="D796:D796">IF(A796="","",IFERROR(INDEX('3.員工名單'!$D:$D,MATCH(A796,'3.員工名單'!$A:$A,0)),""))</f>
        <v/>
      </c>
      <c r="E796" s="120">
        <f t="array" ref="E796:E796">IF(F796="","",IFERROR(INDEX('1.職能辭典'!$A:$A,MATCH(F796,'1.職能辭典'!$C:$C,0)),""))</f>
        <v/>
      </c>
      <c r="F796" s="94" t="n"/>
      <c r="G796" s="120">
        <f t="array" ref="G796:G796">IF(OR(D796="",F796=""),"",IFERROR(IF(AND(OR(INDEX('1.職能辭典'!$J:$J,MATCH(F796,'1.職能辭典'!$C:$C,0))="全部",INDEX('3.員工名單'!$H:$H,MATCH(A796,'3.員工名單'!$A:$A,0))="兩款共用",INDEX('3.員工名單'!$H:$H,MATCH(A796,'3.員工名單'!$A:$A,0))=INDEX('1.職能辭典'!$J:$J,MATCH(F796,'1.職能辭典'!$C:$C,0))),OR(INDEX('1.職能辭典'!$K:$K,MATCH(F796,'1.職能辭典'!$C:$C,0))="全部",SUMPRODUCT(ISNUMBER(SEARCH({"經營","管理","財務","企劃","營運","技術","數據","美術","測試","客服"},INDEX('3.員工名單'!$I:$I,MATCH(A796,'3.員工名單'!$A:$A,0))))*ISNUMBER(SEARCH({"經營","管理","財務","企劃","營運","技術","數據","美術","測試","客服"},INDEX('1.職能辭典'!$K:$K,MATCH(F796,'1.職能辭典'!$C:$C,0)))))&gt;0)),INDEX('2.職務職能需求'!$B$2:$F$28,MATCH(F796,'2.職務職能需求'!$A$2:$A$28,0),MATCH(D796,'2.職務職能需求'!$B$1:$F$1,0)),0),""))</f>
        <v/>
      </c>
      <c r="H796" s="94" t="n"/>
      <c r="I796" s="94" t="n"/>
      <c r="J796" s="120">
        <f>IF(OR(G796="",I796="",G796=0),"",I796-G796)</f>
        <v/>
      </c>
      <c r="K796" s="120">
        <f>IF(G796="","",IF(G796=0,"不適用",IF(I796="","待評核",IF(I796&gt;=G796,IF(I796&gt;G796,"超越","達標"),"待發展"))))</f>
        <v/>
      </c>
      <c r="L796" s="91" t="n"/>
      <c r="M796" s="91" t="n"/>
      <c r="N796" s="88" t="n"/>
    </row>
    <row r="797" ht="15.75" customHeight="1" s="64">
      <c r="A797" s="88" t="n"/>
      <c r="B797" s="120">
        <f t="array" ref="B797:B797">IF(A797="","",IFERROR(INDEX('3.員工名單'!$B:$B,MATCH(A797,'3.員工名單'!$A:$A,0)),"查無此員工"))</f>
        <v/>
      </c>
      <c r="C797" s="120">
        <f t="array" ref="C797:C797">IF(A797="","",IFERROR(INDEX('3.員工名單'!$C:$C,MATCH(A797,'3.員工名單'!$A:$A,0)),""))</f>
        <v/>
      </c>
      <c r="D797" s="120">
        <f t="array" ref="D797:D797">IF(A797="","",IFERROR(INDEX('3.員工名單'!$D:$D,MATCH(A797,'3.員工名單'!$A:$A,0)),""))</f>
        <v/>
      </c>
      <c r="E797" s="120">
        <f t="array" ref="E797:E797">IF(F797="","",IFERROR(INDEX('1.職能辭典'!$A:$A,MATCH(F797,'1.職能辭典'!$C:$C,0)),""))</f>
        <v/>
      </c>
      <c r="F797" s="94" t="n"/>
      <c r="G797" s="120">
        <f t="array" ref="G797:G797">IF(OR(D797="",F797=""),"",IFERROR(IF(AND(OR(INDEX('1.職能辭典'!$J:$J,MATCH(F797,'1.職能辭典'!$C:$C,0))="全部",INDEX('3.員工名單'!$H:$H,MATCH(A797,'3.員工名單'!$A:$A,0))="兩款共用",INDEX('3.員工名單'!$H:$H,MATCH(A797,'3.員工名單'!$A:$A,0))=INDEX('1.職能辭典'!$J:$J,MATCH(F797,'1.職能辭典'!$C:$C,0))),OR(INDEX('1.職能辭典'!$K:$K,MATCH(F797,'1.職能辭典'!$C:$C,0))="全部",SUMPRODUCT(ISNUMBER(SEARCH({"經營","管理","財務","企劃","營運","技術","數據","美術","測試","客服"},INDEX('3.員工名單'!$I:$I,MATCH(A797,'3.員工名單'!$A:$A,0))))*ISNUMBER(SEARCH({"經營","管理","財務","企劃","營運","技術","數據","美術","測試","客服"},INDEX('1.職能辭典'!$K:$K,MATCH(F797,'1.職能辭典'!$C:$C,0)))))&gt;0)),INDEX('2.職務職能需求'!$B$2:$F$28,MATCH(F797,'2.職務職能需求'!$A$2:$A$28,0),MATCH(D797,'2.職務職能需求'!$B$1:$F$1,0)),0),""))</f>
        <v/>
      </c>
      <c r="H797" s="94" t="n"/>
      <c r="I797" s="94" t="n"/>
      <c r="J797" s="120">
        <f>IF(OR(G797="",I797="",G797=0),"",I797-G797)</f>
        <v/>
      </c>
      <c r="K797" s="120">
        <f>IF(G797="","",IF(G797=0,"不適用",IF(I797="","待評核",IF(I797&gt;=G797,IF(I797&gt;G797,"超越","達標"),"待發展"))))</f>
        <v/>
      </c>
      <c r="L797" s="91" t="n"/>
      <c r="M797" s="91" t="n"/>
      <c r="N797" s="88" t="n"/>
    </row>
    <row r="798" ht="15.75" customHeight="1" s="64">
      <c r="A798" s="88" t="n"/>
      <c r="B798" s="120">
        <f t="array" ref="B798:B798">IF(A798="","",IFERROR(INDEX('3.員工名單'!$B:$B,MATCH(A798,'3.員工名單'!$A:$A,0)),"查無此員工"))</f>
        <v/>
      </c>
      <c r="C798" s="120">
        <f t="array" ref="C798:C798">IF(A798="","",IFERROR(INDEX('3.員工名單'!$C:$C,MATCH(A798,'3.員工名單'!$A:$A,0)),""))</f>
        <v/>
      </c>
      <c r="D798" s="120">
        <f t="array" ref="D798:D798">IF(A798="","",IFERROR(INDEX('3.員工名單'!$D:$D,MATCH(A798,'3.員工名單'!$A:$A,0)),""))</f>
        <v/>
      </c>
      <c r="E798" s="120">
        <f t="array" ref="E798:E798">IF(F798="","",IFERROR(INDEX('1.職能辭典'!$A:$A,MATCH(F798,'1.職能辭典'!$C:$C,0)),""))</f>
        <v/>
      </c>
      <c r="F798" s="94" t="n"/>
      <c r="G798" s="120">
        <f t="array" ref="G798:G798">IF(OR(D798="",F798=""),"",IFERROR(IF(AND(OR(INDEX('1.職能辭典'!$J:$J,MATCH(F798,'1.職能辭典'!$C:$C,0))="全部",INDEX('3.員工名單'!$H:$H,MATCH(A798,'3.員工名單'!$A:$A,0))="兩款共用",INDEX('3.員工名單'!$H:$H,MATCH(A798,'3.員工名單'!$A:$A,0))=INDEX('1.職能辭典'!$J:$J,MATCH(F798,'1.職能辭典'!$C:$C,0))),OR(INDEX('1.職能辭典'!$K:$K,MATCH(F798,'1.職能辭典'!$C:$C,0))="全部",SUMPRODUCT(ISNUMBER(SEARCH({"經營","管理","財務","企劃","營運","技術","數據","美術","測試","客服"},INDEX('3.員工名單'!$I:$I,MATCH(A798,'3.員工名單'!$A:$A,0))))*ISNUMBER(SEARCH({"經營","管理","財務","企劃","營運","技術","數據","美術","測試","客服"},INDEX('1.職能辭典'!$K:$K,MATCH(F798,'1.職能辭典'!$C:$C,0)))))&gt;0)),INDEX('2.職務職能需求'!$B$2:$F$28,MATCH(F798,'2.職務職能需求'!$A$2:$A$28,0),MATCH(D798,'2.職務職能需求'!$B$1:$F$1,0)),0),""))</f>
        <v/>
      </c>
      <c r="H798" s="94" t="n"/>
      <c r="I798" s="94" t="n"/>
      <c r="J798" s="120">
        <f>IF(OR(G798="",I798="",G798=0),"",I798-G798)</f>
        <v/>
      </c>
      <c r="K798" s="120">
        <f>IF(G798="","",IF(G798=0,"不適用",IF(I798="","待評核",IF(I798&gt;=G798,IF(I798&gt;G798,"超越","達標"),"待發展"))))</f>
        <v/>
      </c>
      <c r="L798" s="91" t="n"/>
      <c r="M798" s="91" t="n"/>
      <c r="N798" s="88" t="n"/>
    </row>
    <row r="799" ht="15.75" customHeight="1" s="64">
      <c r="A799" s="88" t="n"/>
      <c r="B799" s="120">
        <f t="array" ref="B799:B799">IF(A799="","",IFERROR(INDEX('3.員工名單'!$B:$B,MATCH(A799,'3.員工名單'!$A:$A,0)),"查無此員工"))</f>
        <v/>
      </c>
      <c r="C799" s="120">
        <f t="array" ref="C799:C799">IF(A799="","",IFERROR(INDEX('3.員工名單'!$C:$C,MATCH(A799,'3.員工名單'!$A:$A,0)),""))</f>
        <v/>
      </c>
      <c r="D799" s="120">
        <f t="array" ref="D799:D799">IF(A799="","",IFERROR(INDEX('3.員工名單'!$D:$D,MATCH(A799,'3.員工名單'!$A:$A,0)),""))</f>
        <v/>
      </c>
      <c r="E799" s="120">
        <f t="array" ref="E799:E799">IF(F799="","",IFERROR(INDEX('1.職能辭典'!$A:$A,MATCH(F799,'1.職能辭典'!$C:$C,0)),""))</f>
        <v/>
      </c>
      <c r="F799" s="94" t="n"/>
      <c r="G799" s="120">
        <f t="array" ref="G799:G799">IF(OR(D799="",F799=""),"",IFERROR(IF(AND(OR(INDEX('1.職能辭典'!$J:$J,MATCH(F799,'1.職能辭典'!$C:$C,0))="全部",INDEX('3.員工名單'!$H:$H,MATCH(A799,'3.員工名單'!$A:$A,0))="兩款共用",INDEX('3.員工名單'!$H:$H,MATCH(A799,'3.員工名單'!$A:$A,0))=INDEX('1.職能辭典'!$J:$J,MATCH(F799,'1.職能辭典'!$C:$C,0))),OR(INDEX('1.職能辭典'!$K:$K,MATCH(F799,'1.職能辭典'!$C:$C,0))="全部",SUMPRODUCT(ISNUMBER(SEARCH({"經營","管理","財務","企劃","營運","技術","數據","美術","測試","客服"},INDEX('3.員工名單'!$I:$I,MATCH(A799,'3.員工名單'!$A:$A,0))))*ISNUMBER(SEARCH({"經營","管理","財務","企劃","營運","技術","數據","美術","測試","客服"},INDEX('1.職能辭典'!$K:$K,MATCH(F799,'1.職能辭典'!$C:$C,0)))))&gt;0)),INDEX('2.職務職能需求'!$B$2:$F$28,MATCH(F799,'2.職務職能需求'!$A$2:$A$28,0),MATCH(D799,'2.職務職能需求'!$B$1:$F$1,0)),0),""))</f>
        <v/>
      </c>
      <c r="H799" s="94" t="n"/>
      <c r="I799" s="94" t="n"/>
      <c r="J799" s="120">
        <f>IF(OR(G799="",I799="",G799=0),"",I799-G799)</f>
        <v/>
      </c>
      <c r="K799" s="120">
        <f>IF(G799="","",IF(G799=0,"不適用",IF(I799="","待評核",IF(I799&gt;=G799,IF(I799&gt;G799,"超越","達標"),"待發展"))))</f>
        <v/>
      </c>
      <c r="L799" s="91" t="n"/>
      <c r="M799" s="91" t="n"/>
      <c r="N799" s="88" t="n"/>
    </row>
    <row r="800" ht="15.75" customHeight="1" s="64">
      <c r="A800" s="88" t="n"/>
      <c r="B800" s="120">
        <f t="array" ref="B800:B800">IF(A800="","",IFERROR(INDEX('3.員工名單'!$B:$B,MATCH(A800,'3.員工名單'!$A:$A,0)),"查無此員工"))</f>
        <v/>
      </c>
      <c r="C800" s="120">
        <f t="array" ref="C800:C800">IF(A800="","",IFERROR(INDEX('3.員工名單'!$C:$C,MATCH(A800,'3.員工名單'!$A:$A,0)),""))</f>
        <v/>
      </c>
      <c r="D800" s="120">
        <f t="array" ref="D800:D800">IF(A800="","",IFERROR(INDEX('3.員工名單'!$D:$D,MATCH(A800,'3.員工名單'!$A:$A,0)),""))</f>
        <v/>
      </c>
      <c r="E800" s="120">
        <f t="array" ref="E800:E800">IF(F800="","",IFERROR(INDEX('1.職能辭典'!$A:$A,MATCH(F800,'1.職能辭典'!$C:$C,0)),""))</f>
        <v/>
      </c>
      <c r="F800" s="94" t="n"/>
      <c r="G800" s="120">
        <f t="array" ref="G800:G800">IF(OR(D800="",F800=""),"",IFERROR(IF(AND(OR(INDEX('1.職能辭典'!$J:$J,MATCH(F800,'1.職能辭典'!$C:$C,0))="全部",INDEX('3.員工名單'!$H:$H,MATCH(A800,'3.員工名單'!$A:$A,0))="兩款共用",INDEX('3.員工名單'!$H:$H,MATCH(A800,'3.員工名單'!$A:$A,0))=INDEX('1.職能辭典'!$J:$J,MATCH(F800,'1.職能辭典'!$C:$C,0))),OR(INDEX('1.職能辭典'!$K:$K,MATCH(F800,'1.職能辭典'!$C:$C,0))="全部",SUMPRODUCT(ISNUMBER(SEARCH({"經營","管理","財務","企劃","營運","技術","數據","美術","測試","客服"},INDEX('3.員工名單'!$I:$I,MATCH(A800,'3.員工名單'!$A:$A,0))))*ISNUMBER(SEARCH({"經營","管理","財務","企劃","營運","技術","數據","美術","測試","客服"},INDEX('1.職能辭典'!$K:$K,MATCH(F800,'1.職能辭典'!$C:$C,0)))))&gt;0)),INDEX('2.職務職能需求'!$B$2:$F$28,MATCH(F800,'2.職務職能需求'!$A$2:$A$28,0),MATCH(D800,'2.職務職能需求'!$B$1:$F$1,0)),0),""))</f>
        <v/>
      </c>
      <c r="H800" s="94" t="n"/>
      <c r="I800" s="94" t="n"/>
      <c r="J800" s="120">
        <f>IF(OR(G800="",I800="",G800=0),"",I800-G800)</f>
        <v/>
      </c>
      <c r="K800" s="120">
        <f>IF(G800="","",IF(G800=0,"不適用",IF(I800="","待評核",IF(I800&gt;=G800,IF(I800&gt;G800,"超越","達標"),"待發展"))))</f>
        <v/>
      </c>
      <c r="L800" s="91" t="n"/>
      <c r="M800" s="91" t="n"/>
      <c r="N800" s="88" t="n"/>
    </row>
    <row r="801" ht="15.75" customHeight="1" s="64">
      <c r="A801" s="88" t="n"/>
      <c r="B801" s="120">
        <f t="array" ref="B801:B801">IF(A801="","",IFERROR(INDEX('3.員工名單'!$B:$B,MATCH(A801,'3.員工名單'!$A:$A,0)),"查無此員工"))</f>
        <v/>
      </c>
      <c r="C801" s="120">
        <f t="array" ref="C801:C801">IF(A801="","",IFERROR(INDEX('3.員工名單'!$C:$C,MATCH(A801,'3.員工名單'!$A:$A,0)),""))</f>
        <v/>
      </c>
      <c r="D801" s="120">
        <f t="array" ref="D801:D801">IF(A801="","",IFERROR(INDEX('3.員工名單'!$D:$D,MATCH(A801,'3.員工名單'!$A:$A,0)),""))</f>
        <v/>
      </c>
      <c r="E801" s="120">
        <f t="array" ref="E801:E801">IF(F801="","",IFERROR(INDEX('1.職能辭典'!$A:$A,MATCH(F801,'1.職能辭典'!$C:$C,0)),""))</f>
        <v/>
      </c>
      <c r="F801" s="94" t="n"/>
      <c r="G801" s="120">
        <f t="array" ref="G801:G801">IF(OR(D801="",F801=""),"",IFERROR(IF(AND(OR(INDEX('1.職能辭典'!$J:$J,MATCH(F801,'1.職能辭典'!$C:$C,0))="全部",INDEX('3.員工名單'!$H:$H,MATCH(A801,'3.員工名單'!$A:$A,0))="兩款共用",INDEX('3.員工名單'!$H:$H,MATCH(A801,'3.員工名單'!$A:$A,0))=INDEX('1.職能辭典'!$J:$J,MATCH(F801,'1.職能辭典'!$C:$C,0))),OR(INDEX('1.職能辭典'!$K:$K,MATCH(F801,'1.職能辭典'!$C:$C,0))="全部",SUMPRODUCT(ISNUMBER(SEARCH({"經營","管理","財務","企劃","營運","技術","數據","美術","測試","客服"},INDEX('3.員工名單'!$I:$I,MATCH(A801,'3.員工名單'!$A:$A,0))))*ISNUMBER(SEARCH({"經營","管理","財務","企劃","營運","技術","數據","美術","測試","客服"},INDEX('1.職能辭典'!$K:$K,MATCH(F801,'1.職能辭典'!$C:$C,0)))))&gt;0)),INDEX('2.職務職能需求'!$B$2:$F$28,MATCH(F801,'2.職務職能需求'!$A$2:$A$28,0),MATCH(D801,'2.職務職能需求'!$B$1:$F$1,0)),0),""))</f>
        <v/>
      </c>
      <c r="H801" s="94" t="n"/>
      <c r="I801" s="94" t="n"/>
      <c r="J801" s="120">
        <f>IF(OR(G801="",I801="",G801=0),"",I801-G801)</f>
        <v/>
      </c>
      <c r="K801" s="120">
        <f>IF(G801="","",IF(G801=0,"不適用",IF(I801="","待評核",IF(I801&gt;=G801,IF(I801&gt;G801,"超越","達標"),"待發展"))))</f>
        <v/>
      </c>
      <c r="L801" s="91" t="n"/>
      <c r="M801" s="91" t="n"/>
      <c r="N801" s="88" t="n"/>
    </row>
    <row r="802" ht="15.75" customHeight="1" s="64">
      <c r="A802" s="88" t="n"/>
      <c r="B802" s="120">
        <f t="array" ref="B802:B802">IF(A802="","",IFERROR(INDEX('3.員工名單'!$B:$B,MATCH(A802,'3.員工名單'!$A:$A,0)),"查無此員工"))</f>
        <v/>
      </c>
      <c r="C802" s="120">
        <f t="array" ref="C802:C802">IF(A802="","",IFERROR(INDEX('3.員工名單'!$C:$C,MATCH(A802,'3.員工名單'!$A:$A,0)),""))</f>
        <v/>
      </c>
      <c r="D802" s="120">
        <f t="array" ref="D802:D802">IF(A802="","",IFERROR(INDEX('3.員工名單'!$D:$D,MATCH(A802,'3.員工名單'!$A:$A,0)),""))</f>
        <v/>
      </c>
      <c r="E802" s="120">
        <f t="array" ref="E802:E802">IF(F802="","",IFERROR(INDEX('1.職能辭典'!$A:$A,MATCH(F802,'1.職能辭典'!$C:$C,0)),""))</f>
        <v/>
      </c>
      <c r="F802" s="94" t="n"/>
      <c r="G802" s="120">
        <f t="array" ref="G802:G802">IF(OR(D802="",F802=""),"",IFERROR(IF(AND(OR(INDEX('1.職能辭典'!$J:$J,MATCH(F802,'1.職能辭典'!$C:$C,0))="全部",INDEX('3.員工名單'!$H:$H,MATCH(A802,'3.員工名單'!$A:$A,0))="兩款共用",INDEX('3.員工名單'!$H:$H,MATCH(A802,'3.員工名單'!$A:$A,0))=INDEX('1.職能辭典'!$J:$J,MATCH(F802,'1.職能辭典'!$C:$C,0))),OR(INDEX('1.職能辭典'!$K:$K,MATCH(F802,'1.職能辭典'!$C:$C,0))="全部",SUMPRODUCT(ISNUMBER(SEARCH({"經營","管理","財務","企劃","營運","技術","數據","美術","測試","客服"},INDEX('3.員工名單'!$I:$I,MATCH(A802,'3.員工名單'!$A:$A,0))))*ISNUMBER(SEARCH({"經營","管理","財務","企劃","營運","技術","數據","美術","測試","客服"},INDEX('1.職能辭典'!$K:$K,MATCH(F802,'1.職能辭典'!$C:$C,0)))))&gt;0)),INDEX('2.職務職能需求'!$B$2:$F$28,MATCH(F802,'2.職務職能需求'!$A$2:$A$28,0),MATCH(D802,'2.職務職能需求'!$B$1:$F$1,0)),0),""))</f>
        <v/>
      </c>
      <c r="H802" s="94" t="n"/>
      <c r="I802" s="94" t="n"/>
      <c r="J802" s="120">
        <f>IF(OR(G802="",I802="",G802=0),"",I802-G802)</f>
        <v/>
      </c>
      <c r="K802" s="120">
        <f>IF(G802="","",IF(G802=0,"不適用",IF(I802="","待評核",IF(I802&gt;=G802,IF(I802&gt;G802,"超越","達標"),"待發展"))))</f>
        <v/>
      </c>
      <c r="L802" s="91" t="n"/>
      <c r="M802" s="91" t="n"/>
      <c r="N802" s="88" t="n"/>
    </row>
    <row r="803" ht="15.75" customHeight="1" s="64">
      <c r="A803" s="88" t="n"/>
      <c r="B803" s="120">
        <f t="array" ref="B803:B803">IF(A803="","",IFERROR(INDEX('3.員工名單'!$B:$B,MATCH(A803,'3.員工名單'!$A:$A,0)),"查無此員工"))</f>
        <v/>
      </c>
      <c r="C803" s="120">
        <f t="array" ref="C803:C803">IF(A803="","",IFERROR(INDEX('3.員工名單'!$C:$C,MATCH(A803,'3.員工名單'!$A:$A,0)),""))</f>
        <v/>
      </c>
      <c r="D803" s="120">
        <f t="array" ref="D803:D803">IF(A803="","",IFERROR(INDEX('3.員工名單'!$D:$D,MATCH(A803,'3.員工名單'!$A:$A,0)),""))</f>
        <v/>
      </c>
      <c r="E803" s="120">
        <f t="array" ref="E803:E803">IF(F803="","",IFERROR(INDEX('1.職能辭典'!$A:$A,MATCH(F803,'1.職能辭典'!$C:$C,0)),""))</f>
        <v/>
      </c>
      <c r="F803" s="94" t="n"/>
      <c r="G803" s="120">
        <f t="array" ref="G803:G803">IF(OR(D803="",F803=""),"",IFERROR(IF(AND(OR(INDEX('1.職能辭典'!$J:$J,MATCH(F803,'1.職能辭典'!$C:$C,0))="全部",INDEX('3.員工名單'!$H:$H,MATCH(A803,'3.員工名單'!$A:$A,0))="兩款共用",INDEX('3.員工名單'!$H:$H,MATCH(A803,'3.員工名單'!$A:$A,0))=INDEX('1.職能辭典'!$J:$J,MATCH(F803,'1.職能辭典'!$C:$C,0))),OR(INDEX('1.職能辭典'!$K:$K,MATCH(F803,'1.職能辭典'!$C:$C,0))="全部",SUMPRODUCT(ISNUMBER(SEARCH({"經營","管理","財務","企劃","營運","技術","數據","美術","測試","客服"},INDEX('3.員工名單'!$I:$I,MATCH(A803,'3.員工名單'!$A:$A,0))))*ISNUMBER(SEARCH({"經營","管理","財務","企劃","營運","技術","數據","美術","測試","客服"},INDEX('1.職能辭典'!$K:$K,MATCH(F803,'1.職能辭典'!$C:$C,0)))))&gt;0)),INDEX('2.職務職能需求'!$B$2:$F$28,MATCH(F803,'2.職務職能需求'!$A$2:$A$28,0),MATCH(D803,'2.職務職能需求'!$B$1:$F$1,0)),0),""))</f>
        <v/>
      </c>
      <c r="H803" s="94" t="n"/>
      <c r="I803" s="94" t="n"/>
      <c r="J803" s="120">
        <f>IF(OR(G803="",I803="",G803=0),"",I803-G803)</f>
        <v/>
      </c>
      <c r="K803" s="120">
        <f>IF(G803="","",IF(G803=0,"不適用",IF(I803="","待評核",IF(I803&gt;=G803,IF(I803&gt;G803,"超越","達標"),"待發展"))))</f>
        <v/>
      </c>
      <c r="L803" s="91" t="n"/>
      <c r="M803" s="91" t="n"/>
      <c r="N803" s="88" t="n"/>
    </row>
    <row r="804" ht="15.75" customHeight="1" s="64">
      <c r="A804" s="88" t="n"/>
      <c r="B804" s="120">
        <f t="array" ref="B804:B804">IF(A804="","",IFERROR(INDEX('3.員工名單'!$B:$B,MATCH(A804,'3.員工名單'!$A:$A,0)),"查無此員工"))</f>
        <v/>
      </c>
      <c r="C804" s="120">
        <f t="array" ref="C804:C804">IF(A804="","",IFERROR(INDEX('3.員工名單'!$C:$C,MATCH(A804,'3.員工名單'!$A:$A,0)),""))</f>
        <v/>
      </c>
      <c r="D804" s="120">
        <f t="array" ref="D804:D804">IF(A804="","",IFERROR(INDEX('3.員工名單'!$D:$D,MATCH(A804,'3.員工名單'!$A:$A,0)),""))</f>
        <v/>
      </c>
      <c r="E804" s="120">
        <f t="array" ref="E804:E804">IF(F804="","",IFERROR(INDEX('1.職能辭典'!$A:$A,MATCH(F804,'1.職能辭典'!$C:$C,0)),""))</f>
        <v/>
      </c>
      <c r="F804" s="94" t="n"/>
      <c r="G804" s="120">
        <f t="array" ref="G804:G804">IF(OR(D804="",F804=""),"",IFERROR(IF(AND(OR(INDEX('1.職能辭典'!$J:$J,MATCH(F804,'1.職能辭典'!$C:$C,0))="全部",INDEX('3.員工名單'!$H:$H,MATCH(A804,'3.員工名單'!$A:$A,0))="兩款共用",INDEX('3.員工名單'!$H:$H,MATCH(A804,'3.員工名單'!$A:$A,0))=INDEX('1.職能辭典'!$J:$J,MATCH(F804,'1.職能辭典'!$C:$C,0))),OR(INDEX('1.職能辭典'!$K:$K,MATCH(F804,'1.職能辭典'!$C:$C,0))="全部",SUMPRODUCT(ISNUMBER(SEARCH({"經營","管理","財務","企劃","營運","技術","數據","美術","測試","客服"},INDEX('3.員工名單'!$I:$I,MATCH(A804,'3.員工名單'!$A:$A,0))))*ISNUMBER(SEARCH({"經營","管理","財務","企劃","營運","技術","數據","美術","測試","客服"},INDEX('1.職能辭典'!$K:$K,MATCH(F804,'1.職能辭典'!$C:$C,0)))))&gt;0)),INDEX('2.職務職能需求'!$B$2:$F$28,MATCH(F804,'2.職務職能需求'!$A$2:$A$28,0),MATCH(D804,'2.職務職能需求'!$B$1:$F$1,0)),0),""))</f>
        <v/>
      </c>
      <c r="H804" s="94" t="n"/>
      <c r="I804" s="94" t="n"/>
      <c r="J804" s="120">
        <f>IF(OR(G804="",I804="",G804=0),"",I804-G804)</f>
        <v/>
      </c>
      <c r="K804" s="120">
        <f>IF(G804="","",IF(G804=0,"不適用",IF(I804="","待評核",IF(I804&gt;=G804,IF(I804&gt;G804,"超越","達標"),"待發展"))))</f>
        <v/>
      </c>
      <c r="L804" s="91" t="n"/>
      <c r="M804" s="91" t="n"/>
      <c r="N804" s="88" t="n"/>
    </row>
    <row r="805" ht="15.75" customHeight="1" s="64">
      <c r="A805" s="88" t="n"/>
      <c r="B805" s="120">
        <f t="array" ref="B805:B805">IF(A805="","",IFERROR(INDEX('3.員工名單'!$B:$B,MATCH(A805,'3.員工名單'!$A:$A,0)),"查無此員工"))</f>
        <v/>
      </c>
      <c r="C805" s="120">
        <f t="array" ref="C805:C805">IF(A805="","",IFERROR(INDEX('3.員工名單'!$C:$C,MATCH(A805,'3.員工名單'!$A:$A,0)),""))</f>
        <v/>
      </c>
      <c r="D805" s="120">
        <f t="array" ref="D805:D805">IF(A805="","",IFERROR(INDEX('3.員工名單'!$D:$D,MATCH(A805,'3.員工名單'!$A:$A,0)),""))</f>
        <v/>
      </c>
      <c r="E805" s="120">
        <f t="array" ref="E805:E805">IF(F805="","",IFERROR(INDEX('1.職能辭典'!$A:$A,MATCH(F805,'1.職能辭典'!$C:$C,0)),""))</f>
        <v/>
      </c>
      <c r="F805" s="94" t="n"/>
      <c r="G805" s="120">
        <f t="array" ref="G805:G805">IF(OR(D805="",F805=""),"",IFERROR(IF(AND(OR(INDEX('1.職能辭典'!$J:$J,MATCH(F805,'1.職能辭典'!$C:$C,0))="全部",INDEX('3.員工名單'!$H:$H,MATCH(A805,'3.員工名單'!$A:$A,0))="兩款共用",INDEX('3.員工名單'!$H:$H,MATCH(A805,'3.員工名單'!$A:$A,0))=INDEX('1.職能辭典'!$J:$J,MATCH(F805,'1.職能辭典'!$C:$C,0))),OR(INDEX('1.職能辭典'!$K:$K,MATCH(F805,'1.職能辭典'!$C:$C,0))="全部",SUMPRODUCT(ISNUMBER(SEARCH({"經營","管理","財務","企劃","營運","技術","數據","美術","測試","客服"},INDEX('3.員工名單'!$I:$I,MATCH(A805,'3.員工名單'!$A:$A,0))))*ISNUMBER(SEARCH({"經營","管理","財務","企劃","營運","技術","數據","美術","測試","客服"},INDEX('1.職能辭典'!$K:$K,MATCH(F805,'1.職能辭典'!$C:$C,0)))))&gt;0)),INDEX('2.職務職能需求'!$B$2:$F$28,MATCH(F805,'2.職務職能需求'!$A$2:$A$28,0),MATCH(D805,'2.職務職能需求'!$B$1:$F$1,0)),0),""))</f>
        <v/>
      </c>
      <c r="H805" s="94" t="n"/>
      <c r="I805" s="94" t="n"/>
      <c r="J805" s="120">
        <f>IF(OR(G805="",I805="",G805=0),"",I805-G805)</f>
        <v/>
      </c>
      <c r="K805" s="120">
        <f>IF(G805="","",IF(G805=0,"不適用",IF(I805="","待評核",IF(I805&gt;=G805,IF(I805&gt;G805,"超越","達標"),"待發展"))))</f>
        <v/>
      </c>
      <c r="L805" s="91" t="n"/>
      <c r="M805" s="91" t="n"/>
      <c r="N805" s="88" t="n"/>
    </row>
    <row r="806" ht="15.75" customHeight="1" s="64">
      <c r="A806" s="88" t="n"/>
      <c r="B806" s="120">
        <f t="array" ref="B806:B806">IF(A806="","",IFERROR(INDEX('3.員工名單'!$B:$B,MATCH(A806,'3.員工名單'!$A:$A,0)),"查無此員工"))</f>
        <v/>
      </c>
      <c r="C806" s="120">
        <f t="array" ref="C806:C806">IF(A806="","",IFERROR(INDEX('3.員工名單'!$C:$C,MATCH(A806,'3.員工名單'!$A:$A,0)),""))</f>
        <v/>
      </c>
      <c r="D806" s="120">
        <f t="array" ref="D806:D806">IF(A806="","",IFERROR(INDEX('3.員工名單'!$D:$D,MATCH(A806,'3.員工名單'!$A:$A,0)),""))</f>
        <v/>
      </c>
      <c r="E806" s="120">
        <f t="array" ref="E806:E806">IF(F806="","",IFERROR(INDEX('1.職能辭典'!$A:$A,MATCH(F806,'1.職能辭典'!$C:$C,0)),""))</f>
        <v/>
      </c>
      <c r="F806" s="94" t="n"/>
      <c r="G806" s="120">
        <f t="array" ref="G806:G806">IF(OR(D806="",F806=""),"",IFERROR(IF(AND(OR(INDEX('1.職能辭典'!$J:$J,MATCH(F806,'1.職能辭典'!$C:$C,0))="全部",INDEX('3.員工名單'!$H:$H,MATCH(A806,'3.員工名單'!$A:$A,0))="兩款共用",INDEX('3.員工名單'!$H:$H,MATCH(A806,'3.員工名單'!$A:$A,0))=INDEX('1.職能辭典'!$J:$J,MATCH(F806,'1.職能辭典'!$C:$C,0))),OR(INDEX('1.職能辭典'!$K:$K,MATCH(F806,'1.職能辭典'!$C:$C,0))="全部",SUMPRODUCT(ISNUMBER(SEARCH({"經營","管理","財務","企劃","營運","技術","數據","美術","測試","客服"},INDEX('3.員工名單'!$I:$I,MATCH(A806,'3.員工名單'!$A:$A,0))))*ISNUMBER(SEARCH({"經營","管理","財務","企劃","營運","技術","數據","美術","測試","客服"},INDEX('1.職能辭典'!$K:$K,MATCH(F806,'1.職能辭典'!$C:$C,0)))))&gt;0)),INDEX('2.職務職能需求'!$B$2:$F$28,MATCH(F806,'2.職務職能需求'!$A$2:$A$28,0),MATCH(D806,'2.職務職能需求'!$B$1:$F$1,0)),0),""))</f>
        <v/>
      </c>
      <c r="H806" s="94" t="n"/>
      <c r="I806" s="94" t="n"/>
      <c r="J806" s="120">
        <f>IF(OR(G806="",I806="",G806=0),"",I806-G806)</f>
        <v/>
      </c>
      <c r="K806" s="120">
        <f>IF(G806="","",IF(G806=0,"不適用",IF(I806="","待評核",IF(I806&gt;=G806,IF(I806&gt;G806,"超越","達標"),"待發展"))))</f>
        <v/>
      </c>
      <c r="L806" s="91" t="n"/>
      <c r="M806" s="91" t="n"/>
      <c r="N806" s="88" t="n"/>
    </row>
    <row r="807" ht="15.75" customHeight="1" s="64">
      <c r="A807" s="88" t="n"/>
      <c r="B807" s="120">
        <f t="array" ref="B807:B807">IF(A807="","",IFERROR(INDEX('3.員工名單'!$B:$B,MATCH(A807,'3.員工名單'!$A:$A,0)),"查無此員工"))</f>
        <v/>
      </c>
      <c r="C807" s="120">
        <f t="array" ref="C807:C807">IF(A807="","",IFERROR(INDEX('3.員工名單'!$C:$C,MATCH(A807,'3.員工名單'!$A:$A,0)),""))</f>
        <v/>
      </c>
      <c r="D807" s="120">
        <f t="array" ref="D807:D807">IF(A807="","",IFERROR(INDEX('3.員工名單'!$D:$D,MATCH(A807,'3.員工名單'!$A:$A,0)),""))</f>
        <v/>
      </c>
      <c r="E807" s="120">
        <f t="array" ref="E807:E807">IF(F807="","",IFERROR(INDEX('1.職能辭典'!$A:$A,MATCH(F807,'1.職能辭典'!$C:$C,0)),""))</f>
        <v/>
      </c>
      <c r="F807" s="94" t="n"/>
      <c r="G807" s="120">
        <f t="array" ref="G807:G807">IF(OR(D807="",F807=""),"",IFERROR(IF(AND(OR(INDEX('1.職能辭典'!$J:$J,MATCH(F807,'1.職能辭典'!$C:$C,0))="全部",INDEX('3.員工名單'!$H:$H,MATCH(A807,'3.員工名單'!$A:$A,0))="兩款共用",INDEX('3.員工名單'!$H:$H,MATCH(A807,'3.員工名單'!$A:$A,0))=INDEX('1.職能辭典'!$J:$J,MATCH(F807,'1.職能辭典'!$C:$C,0))),OR(INDEX('1.職能辭典'!$K:$K,MATCH(F807,'1.職能辭典'!$C:$C,0))="全部",SUMPRODUCT(ISNUMBER(SEARCH({"經營","管理","財務","企劃","營運","技術","數據","美術","測試","客服"},INDEX('3.員工名單'!$I:$I,MATCH(A807,'3.員工名單'!$A:$A,0))))*ISNUMBER(SEARCH({"經營","管理","財務","企劃","營運","技術","數據","美術","測試","客服"},INDEX('1.職能辭典'!$K:$K,MATCH(F807,'1.職能辭典'!$C:$C,0)))))&gt;0)),INDEX('2.職務職能需求'!$B$2:$F$28,MATCH(F807,'2.職務職能需求'!$A$2:$A$28,0),MATCH(D807,'2.職務職能需求'!$B$1:$F$1,0)),0),""))</f>
        <v/>
      </c>
      <c r="H807" s="94" t="n"/>
      <c r="I807" s="94" t="n"/>
      <c r="J807" s="120">
        <f>IF(OR(G807="",I807="",G807=0),"",I807-G807)</f>
        <v/>
      </c>
      <c r="K807" s="120">
        <f>IF(G807="","",IF(G807=0,"不適用",IF(I807="","待評核",IF(I807&gt;=G807,IF(I807&gt;G807,"超越","達標"),"待發展"))))</f>
        <v/>
      </c>
      <c r="L807" s="91" t="n"/>
      <c r="M807" s="91" t="n"/>
      <c r="N807" s="88" t="n"/>
    </row>
    <row r="808" ht="15.75" customHeight="1" s="64">
      <c r="A808" s="88" t="n"/>
      <c r="B808" s="120">
        <f t="array" ref="B808:B808">IF(A808="","",IFERROR(INDEX('3.員工名單'!$B:$B,MATCH(A808,'3.員工名單'!$A:$A,0)),"查無此員工"))</f>
        <v/>
      </c>
      <c r="C808" s="120">
        <f t="array" ref="C808:C808">IF(A808="","",IFERROR(INDEX('3.員工名單'!$C:$C,MATCH(A808,'3.員工名單'!$A:$A,0)),""))</f>
        <v/>
      </c>
      <c r="D808" s="120">
        <f t="array" ref="D808:D808">IF(A808="","",IFERROR(INDEX('3.員工名單'!$D:$D,MATCH(A808,'3.員工名單'!$A:$A,0)),""))</f>
        <v/>
      </c>
      <c r="E808" s="120">
        <f t="array" ref="E808:E808">IF(F808="","",IFERROR(INDEX('1.職能辭典'!$A:$A,MATCH(F808,'1.職能辭典'!$C:$C,0)),""))</f>
        <v/>
      </c>
      <c r="F808" s="94" t="n"/>
      <c r="G808" s="120">
        <f t="array" ref="G808:G808">IF(OR(D808="",F808=""),"",IFERROR(IF(AND(OR(INDEX('1.職能辭典'!$J:$J,MATCH(F808,'1.職能辭典'!$C:$C,0))="全部",INDEX('3.員工名單'!$H:$H,MATCH(A808,'3.員工名單'!$A:$A,0))="兩款共用",INDEX('3.員工名單'!$H:$H,MATCH(A808,'3.員工名單'!$A:$A,0))=INDEX('1.職能辭典'!$J:$J,MATCH(F808,'1.職能辭典'!$C:$C,0))),OR(INDEX('1.職能辭典'!$K:$K,MATCH(F808,'1.職能辭典'!$C:$C,0))="全部",SUMPRODUCT(ISNUMBER(SEARCH({"經營","管理","財務","企劃","營運","技術","數據","美術","測試","客服"},INDEX('3.員工名單'!$I:$I,MATCH(A808,'3.員工名單'!$A:$A,0))))*ISNUMBER(SEARCH({"經營","管理","財務","企劃","營運","技術","數據","美術","測試","客服"},INDEX('1.職能辭典'!$K:$K,MATCH(F808,'1.職能辭典'!$C:$C,0)))))&gt;0)),INDEX('2.職務職能需求'!$B$2:$F$28,MATCH(F808,'2.職務職能需求'!$A$2:$A$28,0),MATCH(D808,'2.職務職能需求'!$B$1:$F$1,0)),0),""))</f>
        <v/>
      </c>
      <c r="H808" s="94" t="n"/>
      <c r="I808" s="94" t="n"/>
      <c r="J808" s="120">
        <f>IF(OR(G808="",I808="",G808=0),"",I808-G808)</f>
        <v/>
      </c>
      <c r="K808" s="120">
        <f>IF(G808="","",IF(G808=0,"不適用",IF(I808="","待評核",IF(I808&gt;=G808,IF(I808&gt;G808,"超越","達標"),"待發展"))))</f>
        <v/>
      </c>
      <c r="L808" s="91" t="n"/>
      <c r="M808" s="91" t="n"/>
      <c r="N808" s="88" t="n"/>
    </row>
    <row r="809" ht="15.75" customHeight="1" s="64">
      <c r="A809" s="88" t="n"/>
      <c r="B809" s="120">
        <f t="array" ref="B809:B809">IF(A809="","",IFERROR(INDEX('3.員工名單'!$B:$B,MATCH(A809,'3.員工名單'!$A:$A,0)),"查無此員工"))</f>
        <v/>
      </c>
      <c r="C809" s="120">
        <f t="array" ref="C809:C809">IF(A809="","",IFERROR(INDEX('3.員工名單'!$C:$C,MATCH(A809,'3.員工名單'!$A:$A,0)),""))</f>
        <v/>
      </c>
      <c r="D809" s="120">
        <f t="array" ref="D809:D809">IF(A809="","",IFERROR(INDEX('3.員工名單'!$D:$D,MATCH(A809,'3.員工名單'!$A:$A,0)),""))</f>
        <v/>
      </c>
      <c r="E809" s="120">
        <f t="array" ref="E809:E809">IF(F809="","",IFERROR(INDEX('1.職能辭典'!$A:$A,MATCH(F809,'1.職能辭典'!$C:$C,0)),""))</f>
        <v/>
      </c>
      <c r="F809" s="94" t="n"/>
      <c r="G809" s="120">
        <f t="array" ref="G809:G809">IF(OR(D809="",F809=""),"",IFERROR(IF(AND(OR(INDEX('1.職能辭典'!$J:$J,MATCH(F809,'1.職能辭典'!$C:$C,0))="全部",INDEX('3.員工名單'!$H:$H,MATCH(A809,'3.員工名單'!$A:$A,0))="兩款共用",INDEX('3.員工名單'!$H:$H,MATCH(A809,'3.員工名單'!$A:$A,0))=INDEX('1.職能辭典'!$J:$J,MATCH(F809,'1.職能辭典'!$C:$C,0))),OR(INDEX('1.職能辭典'!$K:$K,MATCH(F809,'1.職能辭典'!$C:$C,0))="全部",SUMPRODUCT(ISNUMBER(SEARCH({"經營","管理","財務","企劃","營運","技術","數據","美術","測試","客服"},INDEX('3.員工名單'!$I:$I,MATCH(A809,'3.員工名單'!$A:$A,0))))*ISNUMBER(SEARCH({"經營","管理","財務","企劃","營運","技術","數據","美術","測試","客服"},INDEX('1.職能辭典'!$K:$K,MATCH(F809,'1.職能辭典'!$C:$C,0)))))&gt;0)),INDEX('2.職務職能需求'!$B$2:$F$28,MATCH(F809,'2.職務職能需求'!$A$2:$A$28,0),MATCH(D809,'2.職務職能需求'!$B$1:$F$1,0)),0),""))</f>
        <v/>
      </c>
      <c r="H809" s="94" t="n"/>
      <c r="I809" s="94" t="n"/>
      <c r="J809" s="120">
        <f>IF(OR(G809="",I809="",G809=0),"",I809-G809)</f>
        <v/>
      </c>
      <c r="K809" s="120">
        <f>IF(G809="","",IF(G809=0,"不適用",IF(I809="","待評核",IF(I809&gt;=G809,IF(I809&gt;G809,"超越","達標"),"待發展"))))</f>
        <v/>
      </c>
      <c r="L809" s="91" t="n"/>
      <c r="M809" s="91" t="n"/>
      <c r="N809" s="88" t="n"/>
    </row>
    <row r="810" ht="15.75" customHeight="1" s="64">
      <c r="A810" s="88" t="n"/>
      <c r="B810" s="120">
        <f t="array" ref="B810:B810">IF(A810="","",IFERROR(INDEX('3.員工名單'!$B:$B,MATCH(A810,'3.員工名單'!$A:$A,0)),"查無此員工"))</f>
        <v/>
      </c>
      <c r="C810" s="120">
        <f t="array" ref="C810:C810">IF(A810="","",IFERROR(INDEX('3.員工名單'!$C:$C,MATCH(A810,'3.員工名單'!$A:$A,0)),""))</f>
        <v/>
      </c>
      <c r="D810" s="120">
        <f t="array" ref="D810:D810">IF(A810="","",IFERROR(INDEX('3.員工名單'!$D:$D,MATCH(A810,'3.員工名單'!$A:$A,0)),""))</f>
        <v/>
      </c>
      <c r="E810" s="120">
        <f t="array" ref="E810:E810">IF(F810="","",IFERROR(INDEX('1.職能辭典'!$A:$A,MATCH(F810,'1.職能辭典'!$C:$C,0)),""))</f>
        <v/>
      </c>
      <c r="F810" s="94" t="n"/>
      <c r="G810" s="120">
        <f t="array" ref="G810:G810">IF(OR(D810="",F810=""),"",IFERROR(IF(AND(OR(INDEX('1.職能辭典'!$J:$J,MATCH(F810,'1.職能辭典'!$C:$C,0))="全部",INDEX('3.員工名單'!$H:$H,MATCH(A810,'3.員工名單'!$A:$A,0))="兩款共用",INDEX('3.員工名單'!$H:$H,MATCH(A810,'3.員工名單'!$A:$A,0))=INDEX('1.職能辭典'!$J:$J,MATCH(F810,'1.職能辭典'!$C:$C,0))),OR(INDEX('1.職能辭典'!$K:$K,MATCH(F810,'1.職能辭典'!$C:$C,0))="全部",SUMPRODUCT(ISNUMBER(SEARCH({"經營","管理","財務","企劃","營運","技術","數據","美術","測試","客服"},INDEX('3.員工名單'!$I:$I,MATCH(A810,'3.員工名單'!$A:$A,0))))*ISNUMBER(SEARCH({"經營","管理","財務","企劃","營運","技術","數據","美術","測試","客服"},INDEX('1.職能辭典'!$K:$K,MATCH(F810,'1.職能辭典'!$C:$C,0)))))&gt;0)),INDEX('2.職務職能需求'!$B$2:$F$28,MATCH(F810,'2.職務職能需求'!$A$2:$A$28,0),MATCH(D810,'2.職務職能需求'!$B$1:$F$1,0)),0),""))</f>
        <v/>
      </c>
      <c r="H810" s="94" t="n"/>
      <c r="I810" s="94" t="n"/>
      <c r="J810" s="120">
        <f>IF(OR(G810="",I810="",G810=0),"",I810-G810)</f>
        <v/>
      </c>
      <c r="K810" s="120">
        <f>IF(G810="","",IF(G810=0,"不適用",IF(I810="","待評核",IF(I810&gt;=G810,IF(I810&gt;G810,"超越","達標"),"待發展"))))</f>
        <v/>
      </c>
      <c r="L810" s="91" t="n"/>
      <c r="M810" s="91" t="n"/>
      <c r="N810" s="88" t="n"/>
    </row>
    <row r="811" ht="15.75" customHeight="1" s="64">
      <c r="A811" s="88" t="n"/>
      <c r="B811" s="120">
        <f t="array" ref="B811:B811">IF(A811="","",IFERROR(INDEX('3.員工名單'!$B:$B,MATCH(A811,'3.員工名單'!$A:$A,0)),"查無此員工"))</f>
        <v/>
      </c>
      <c r="C811" s="120">
        <f t="array" ref="C811:C811">IF(A811="","",IFERROR(INDEX('3.員工名單'!$C:$C,MATCH(A811,'3.員工名單'!$A:$A,0)),""))</f>
        <v/>
      </c>
      <c r="D811" s="120">
        <f t="array" ref="D811:D811">IF(A811="","",IFERROR(INDEX('3.員工名單'!$D:$D,MATCH(A811,'3.員工名單'!$A:$A,0)),""))</f>
        <v/>
      </c>
      <c r="E811" s="120">
        <f t="array" ref="E811:E811">IF(F811="","",IFERROR(INDEX('1.職能辭典'!$A:$A,MATCH(F811,'1.職能辭典'!$C:$C,0)),""))</f>
        <v/>
      </c>
      <c r="F811" s="94" t="n"/>
      <c r="G811" s="120">
        <f t="array" ref="G811:G811">IF(OR(D811="",F811=""),"",IFERROR(IF(AND(OR(INDEX('1.職能辭典'!$J:$J,MATCH(F811,'1.職能辭典'!$C:$C,0))="全部",INDEX('3.員工名單'!$H:$H,MATCH(A811,'3.員工名單'!$A:$A,0))="兩款共用",INDEX('3.員工名單'!$H:$H,MATCH(A811,'3.員工名單'!$A:$A,0))=INDEX('1.職能辭典'!$J:$J,MATCH(F811,'1.職能辭典'!$C:$C,0))),OR(INDEX('1.職能辭典'!$K:$K,MATCH(F811,'1.職能辭典'!$C:$C,0))="全部",SUMPRODUCT(ISNUMBER(SEARCH({"經營","管理","財務","企劃","營運","技術","數據","美術","測試","客服"},INDEX('3.員工名單'!$I:$I,MATCH(A811,'3.員工名單'!$A:$A,0))))*ISNUMBER(SEARCH({"經營","管理","財務","企劃","營運","技術","數據","美術","測試","客服"},INDEX('1.職能辭典'!$K:$K,MATCH(F811,'1.職能辭典'!$C:$C,0)))))&gt;0)),INDEX('2.職務職能需求'!$B$2:$F$28,MATCH(F811,'2.職務職能需求'!$A$2:$A$28,0),MATCH(D811,'2.職務職能需求'!$B$1:$F$1,0)),0),""))</f>
        <v/>
      </c>
      <c r="H811" s="94" t="n"/>
      <c r="I811" s="94" t="n"/>
      <c r="J811" s="120">
        <f>IF(OR(G811="",I811="",G811=0),"",I811-G811)</f>
        <v/>
      </c>
      <c r="K811" s="120">
        <f>IF(G811="","",IF(G811=0,"不適用",IF(I811="","待評核",IF(I811&gt;=G811,IF(I811&gt;G811,"超越","達標"),"待發展"))))</f>
        <v/>
      </c>
      <c r="L811" s="91" t="n"/>
      <c r="M811" s="91" t="n"/>
      <c r="N811" s="88" t="n"/>
    </row>
    <row r="812" ht="15.75" customHeight="1" s="64">
      <c r="A812" s="88" t="n"/>
      <c r="B812" s="120">
        <f t="array" ref="B812:B812">IF(A812="","",IFERROR(INDEX('3.員工名單'!$B:$B,MATCH(A812,'3.員工名單'!$A:$A,0)),"查無此員工"))</f>
        <v/>
      </c>
      <c r="C812" s="120">
        <f t="array" ref="C812:C812">IF(A812="","",IFERROR(INDEX('3.員工名單'!$C:$C,MATCH(A812,'3.員工名單'!$A:$A,0)),""))</f>
        <v/>
      </c>
      <c r="D812" s="120">
        <f t="array" ref="D812:D812">IF(A812="","",IFERROR(INDEX('3.員工名單'!$D:$D,MATCH(A812,'3.員工名單'!$A:$A,0)),""))</f>
        <v/>
      </c>
      <c r="E812" s="120">
        <f t="array" ref="E812:E812">IF(F812="","",IFERROR(INDEX('1.職能辭典'!$A:$A,MATCH(F812,'1.職能辭典'!$C:$C,0)),""))</f>
        <v/>
      </c>
      <c r="F812" s="94" t="n"/>
      <c r="G812" s="120">
        <f t="array" ref="G812:G812">IF(OR(D812="",F812=""),"",IFERROR(IF(AND(OR(INDEX('1.職能辭典'!$J:$J,MATCH(F812,'1.職能辭典'!$C:$C,0))="全部",INDEX('3.員工名單'!$H:$H,MATCH(A812,'3.員工名單'!$A:$A,0))="兩款共用",INDEX('3.員工名單'!$H:$H,MATCH(A812,'3.員工名單'!$A:$A,0))=INDEX('1.職能辭典'!$J:$J,MATCH(F812,'1.職能辭典'!$C:$C,0))),OR(INDEX('1.職能辭典'!$K:$K,MATCH(F812,'1.職能辭典'!$C:$C,0))="全部",SUMPRODUCT(ISNUMBER(SEARCH({"經營","管理","財務","企劃","營運","技術","數據","美術","測試","客服"},INDEX('3.員工名單'!$I:$I,MATCH(A812,'3.員工名單'!$A:$A,0))))*ISNUMBER(SEARCH({"經營","管理","財務","企劃","營運","技術","數據","美術","測試","客服"},INDEX('1.職能辭典'!$K:$K,MATCH(F812,'1.職能辭典'!$C:$C,0)))))&gt;0)),INDEX('2.職務職能需求'!$B$2:$F$28,MATCH(F812,'2.職務職能需求'!$A$2:$A$28,0),MATCH(D812,'2.職務職能需求'!$B$1:$F$1,0)),0),""))</f>
        <v/>
      </c>
      <c r="H812" s="94" t="n"/>
      <c r="I812" s="94" t="n"/>
      <c r="J812" s="120">
        <f>IF(OR(G812="",I812="",G812=0),"",I812-G812)</f>
        <v/>
      </c>
      <c r="K812" s="120">
        <f>IF(G812="","",IF(G812=0,"不適用",IF(I812="","待評核",IF(I812&gt;=G812,IF(I812&gt;G812,"超越","達標"),"待發展"))))</f>
        <v/>
      </c>
      <c r="L812" s="91" t="n"/>
      <c r="M812" s="91" t="n"/>
      <c r="N812" s="88" t="n"/>
    </row>
    <row r="813" ht="15.75" customHeight="1" s="64">
      <c r="A813" s="88" t="n"/>
      <c r="B813" s="120">
        <f t="array" ref="B813:B813">IF(A813="","",IFERROR(INDEX('3.員工名單'!$B:$B,MATCH(A813,'3.員工名單'!$A:$A,0)),"查無此員工"))</f>
        <v/>
      </c>
      <c r="C813" s="120">
        <f t="array" ref="C813:C813">IF(A813="","",IFERROR(INDEX('3.員工名單'!$C:$C,MATCH(A813,'3.員工名單'!$A:$A,0)),""))</f>
        <v/>
      </c>
      <c r="D813" s="120">
        <f t="array" ref="D813:D813">IF(A813="","",IFERROR(INDEX('3.員工名單'!$D:$D,MATCH(A813,'3.員工名單'!$A:$A,0)),""))</f>
        <v/>
      </c>
      <c r="E813" s="120">
        <f t="array" ref="E813:E813">IF(F813="","",IFERROR(INDEX('1.職能辭典'!$A:$A,MATCH(F813,'1.職能辭典'!$C:$C,0)),""))</f>
        <v/>
      </c>
      <c r="F813" s="94" t="n"/>
      <c r="G813" s="120">
        <f t="array" ref="G813:G813">IF(OR(D813="",F813=""),"",IFERROR(IF(AND(OR(INDEX('1.職能辭典'!$J:$J,MATCH(F813,'1.職能辭典'!$C:$C,0))="全部",INDEX('3.員工名單'!$H:$H,MATCH(A813,'3.員工名單'!$A:$A,0))="兩款共用",INDEX('3.員工名單'!$H:$H,MATCH(A813,'3.員工名單'!$A:$A,0))=INDEX('1.職能辭典'!$J:$J,MATCH(F813,'1.職能辭典'!$C:$C,0))),OR(INDEX('1.職能辭典'!$K:$K,MATCH(F813,'1.職能辭典'!$C:$C,0))="全部",SUMPRODUCT(ISNUMBER(SEARCH({"經營","管理","財務","企劃","營運","技術","數據","美術","測試","客服"},INDEX('3.員工名單'!$I:$I,MATCH(A813,'3.員工名單'!$A:$A,0))))*ISNUMBER(SEARCH({"經營","管理","財務","企劃","營運","技術","數據","美術","測試","客服"},INDEX('1.職能辭典'!$K:$K,MATCH(F813,'1.職能辭典'!$C:$C,0)))))&gt;0)),INDEX('2.職務職能需求'!$B$2:$F$28,MATCH(F813,'2.職務職能需求'!$A$2:$A$28,0),MATCH(D813,'2.職務職能需求'!$B$1:$F$1,0)),0),""))</f>
        <v/>
      </c>
      <c r="H813" s="94" t="n"/>
      <c r="I813" s="94" t="n"/>
      <c r="J813" s="120">
        <f>IF(OR(G813="",I813="",G813=0),"",I813-G813)</f>
        <v/>
      </c>
      <c r="K813" s="120">
        <f>IF(G813="","",IF(G813=0,"不適用",IF(I813="","待評核",IF(I813&gt;=G813,IF(I813&gt;G813,"超越","達標"),"待發展"))))</f>
        <v/>
      </c>
      <c r="L813" s="91" t="n"/>
      <c r="M813" s="91" t="n"/>
      <c r="N813" s="88" t="n"/>
    </row>
    <row r="814" ht="15.75" customHeight="1" s="64">
      <c r="A814" s="88" t="n"/>
      <c r="B814" s="120">
        <f t="array" ref="B814:B814">IF(A814="","",IFERROR(INDEX('3.員工名單'!$B:$B,MATCH(A814,'3.員工名單'!$A:$A,0)),"查無此員工"))</f>
        <v/>
      </c>
      <c r="C814" s="120">
        <f t="array" ref="C814:C814">IF(A814="","",IFERROR(INDEX('3.員工名單'!$C:$C,MATCH(A814,'3.員工名單'!$A:$A,0)),""))</f>
        <v/>
      </c>
      <c r="D814" s="120">
        <f t="array" ref="D814:D814">IF(A814="","",IFERROR(INDEX('3.員工名單'!$D:$D,MATCH(A814,'3.員工名單'!$A:$A,0)),""))</f>
        <v/>
      </c>
      <c r="E814" s="120">
        <f t="array" ref="E814:E814">IF(F814="","",IFERROR(INDEX('1.職能辭典'!$A:$A,MATCH(F814,'1.職能辭典'!$C:$C,0)),""))</f>
        <v/>
      </c>
      <c r="F814" s="94" t="n"/>
      <c r="G814" s="120">
        <f t="array" ref="G814:G814">IF(OR(D814="",F814=""),"",IFERROR(IF(AND(OR(INDEX('1.職能辭典'!$J:$J,MATCH(F814,'1.職能辭典'!$C:$C,0))="全部",INDEX('3.員工名單'!$H:$H,MATCH(A814,'3.員工名單'!$A:$A,0))="兩款共用",INDEX('3.員工名單'!$H:$H,MATCH(A814,'3.員工名單'!$A:$A,0))=INDEX('1.職能辭典'!$J:$J,MATCH(F814,'1.職能辭典'!$C:$C,0))),OR(INDEX('1.職能辭典'!$K:$K,MATCH(F814,'1.職能辭典'!$C:$C,0))="全部",SUMPRODUCT(ISNUMBER(SEARCH({"經營","管理","財務","企劃","營運","技術","數據","美術","測試","客服"},INDEX('3.員工名單'!$I:$I,MATCH(A814,'3.員工名單'!$A:$A,0))))*ISNUMBER(SEARCH({"經營","管理","財務","企劃","營運","技術","數據","美術","測試","客服"},INDEX('1.職能辭典'!$K:$K,MATCH(F814,'1.職能辭典'!$C:$C,0)))))&gt;0)),INDEX('2.職務職能需求'!$B$2:$F$28,MATCH(F814,'2.職務職能需求'!$A$2:$A$28,0),MATCH(D814,'2.職務職能需求'!$B$1:$F$1,0)),0),""))</f>
        <v/>
      </c>
      <c r="H814" s="94" t="n"/>
      <c r="I814" s="94" t="n"/>
      <c r="J814" s="120">
        <f>IF(OR(G814="",I814="",G814=0),"",I814-G814)</f>
        <v/>
      </c>
      <c r="K814" s="120">
        <f>IF(G814="","",IF(G814=0,"不適用",IF(I814="","待評核",IF(I814&gt;=G814,IF(I814&gt;G814,"超越","達標"),"待發展"))))</f>
        <v/>
      </c>
      <c r="L814" s="91" t="n"/>
      <c r="M814" s="91" t="n"/>
      <c r="N814" s="88" t="n"/>
    </row>
    <row r="815" ht="15.75" customHeight="1" s="64">
      <c r="A815" s="88" t="n"/>
      <c r="B815" s="120">
        <f t="array" ref="B815:B815">IF(A815="","",IFERROR(INDEX('3.員工名單'!$B:$B,MATCH(A815,'3.員工名單'!$A:$A,0)),"查無此員工"))</f>
        <v/>
      </c>
      <c r="C815" s="120">
        <f t="array" ref="C815:C815">IF(A815="","",IFERROR(INDEX('3.員工名單'!$C:$C,MATCH(A815,'3.員工名單'!$A:$A,0)),""))</f>
        <v/>
      </c>
      <c r="D815" s="120">
        <f t="array" ref="D815:D815">IF(A815="","",IFERROR(INDEX('3.員工名單'!$D:$D,MATCH(A815,'3.員工名單'!$A:$A,0)),""))</f>
        <v/>
      </c>
      <c r="E815" s="120">
        <f t="array" ref="E815:E815">IF(F815="","",IFERROR(INDEX('1.職能辭典'!$A:$A,MATCH(F815,'1.職能辭典'!$C:$C,0)),""))</f>
        <v/>
      </c>
      <c r="F815" s="94" t="n"/>
      <c r="G815" s="120">
        <f t="array" ref="G815:G815">IF(OR(D815="",F815=""),"",IFERROR(IF(AND(OR(INDEX('1.職能辭典'!$J:$J,MATCH(F815,'1.職能辭典'!$C:$C,0))="全部",INDEX('3.員工名單'!$H:$H,MATCH(A815,'3.員工名單'!$A:$A,0))="兩款共用",INDEX('3.員工名單'!$H:$H,MATCH(A815,'3.員工名單'!$A:$A,0))=INDEX('1.職能辭典'!$J:$J,MATCH(F815,'1.職能辭典'!$C:$C,0))),OR(INDEX('1.職能辭典'!$K:$K,MATCH(F815,'1.職能辭典'!$C:$C,0))="全部",SUMPRODUCT(ISNUMBER(SEARCH({"經營","管理","財務","企劃","營運","技術","數據","美術","測試","客服"},INDEX('3.員工名單'!$I:$I,MATCH(A815,'3.員工名單'!$A:$A,0))))*ISNUMBER(SEARCH({"經營","管理","財務","企劃","營運","技術","數據","美術","測試","客服"},INDEX('1.職能辭典'!$K:$K,MATCH(F815,'1.職能辭典'!$C:$C,0)))))&gt;0)),INDEX('2.職務職能需求'!$B$2:$F$28,MATCH(F815,'2.職務職能需求'!$A$2:$A$28,0),MATCH(D815,'2.職務職能需求'!$B$1:$F$1,0)),0),""))</f>
        <v/>
      </c>
      <c r="H815" s="94" t="n"/>
      <c r="I815" s="94" t="n"/>
      <c r="J815" s="120">
        <f>IF(OR(G815="",I815="",G815=0),"",I815-G815)</f>
        <v/>
      </c>
      <c r="K815" s="120">
        <f>IF(G815="","",IF(G815=0,"不適用",IF(I815="","待評核",IF(I815&gt;=G815,IF(I815&gt;G815,"超越","達標"),"待發展"))))</f>
        <v/>
      </c>
      <c r="L815" s="91" t="n"/>
      <c r="M815" s="91" t="n"/>
      <c r="N815" s="88" t="n"/>
    </row>
    <row r="816" ht="15.75" customHeight="1" s="64">
      <c r="A816" s="88" t="n"/>
      <c r="B816" s="120">
        <f t="array" ref="B816:B816">IF(A816="","",IFERROR(INDEX('3.員工名單'!$B:$B,MATCH(A816,'3.員工名單'!$A:$A,0)),"查無此員工"))</f>
        <v/>
      </c>
      <c r="C816" s="120">
        <f t="array" ref="C816:C816">IF(A816="","",IFERROR(INDEX('3.員工名單'!$C:$C,MATCH(A816,'3.員工名單'!$A:$A,0)),""))</f>
        <v/>
      </c>
      <c r="D816" s="120">
        <f t="array" ref="D816:D816">IF(A816="","",IFERROR(INDEX('3.員工名單'!$D:$D,MATCH(A816,'3.員工名單'!$A:$A,0)),""))</f>
        <v/>
      </c>
      <c r="E816" s="120">
        <f t="array" ref="E816:E816">IF(F816="","",IFERROR(INDEX('1.職能辭典'!$A:$A,MATCH(F816,'1.職能辭典'!$C:$C,0)),""))</f>
        <v/>
      </c>
      <c r="F816" s="94" t="n"/>
      <c r="G816" s="120">
        <f t="array" ref="G816:G816">IF(OR(D816="",F816=""),"",IFERROR(IF(AND(OR(INDEX('1.職能辭典'!$J:$J,MATCH(F816,'1.職能辭典'!$C:$C,0))="全部",INDEX('3.員工名單'!$H:$H,MATCH(A816,'3.員工名單'!$A:$A,0))="兩款共用",INDEX('3.員工名單'!$H:$H,MATCH(A816,'3.員工名單'!$A:$A,0))=INDEX('1.職能辭典'!$J:$J,MATCH(F816,'1.職能辭典'!$C:$C,0))),OR(INDEX('1.職能辭典'!$K:$K,MATCH(F816,'1.職能辭典'!$C:$C,0))="全部",SUMPRODUCT(ISNUMBER(SEARCH({"經營","管理","財務","企劃","營運","技術","數據","美術","測試","客服"},INDEX('3.員工名單'!$I:$I,MATCH(A816,'3.員工名單'!$A:$A,0))))*ISNUMBER(SEARCH({"經營","管理","財務","企劃","營運","技術","數據","美術","測試","客服"},INDEX('1.職能辭典'!$K:$K,MATCH(F816,'1.職能辭典'!$C:$C,0)))))&gt;0)),INDEX('2.職務職能需求'!$B$2:$F$28,MATCH(F816,'2.職務職能需求'!$A$2:$A$28,0),MATCH(D816,'2.職務職能需求'!$B$1:$F$1,0)),0),""))</f>
        <v/>
      </c>
      <c r="H816" s="94" t="n"/>
      <c r="I816" s="94" t="n"/>
      <c r="J816" s="120">
        <f>IF(OR(G816="",I816="",G816=0),"",I816-G816)</f>
        <v/>
      </c>
      <c r="K816" s="120">
        <f>IF(G816="","",IF(G816=0,"不適用",IF(I816="","待評核",IF(I816&gt;=G816,IF(I816&gt;G816,"超越","達標"),"待發展"))))</f>
        <v/>
      </c>
      <c r="L816" s="91" t="n"/>
      <c r="M816" s="91" t="n"/>
      <c r="N816" s="88" t="n"/>
    </row>
    <row r="817" ht="15.75" customHeight="1" s="64">
      <c r="A817" s="88" t="n"/>
      <c r="B817" s="120">
        <f t="array" ref="B817:B817">IF(A817="","",IFERROR(INDEX('3.員工名單'!$B:$B,MATCH(A817,'3.員工名單'!$A:$A,0)),"查無此員工"))</f>
        <v/>
      </c>
      <c r="C817" s="120">
        <f t="array" ref="C817:C817">IF(A817="","",IFERROR(INDEX('3.員工名單'!$C:$C,MATCH(A817,'3.員工名單'!$A:$A,0)),""))</f>
        <v/>
      </c>
      <c r="D817" s="120">
        <f t="array" ref="D817:D817">IF(A817="","",IFERROR(INDEX('3.員工名單'!$D:$D,MATCH(A817,'3.員工名單'!$A:$A,0)),""))</f>
        <v/>
      </c>
      <c r="E817" s="120">
        <f t="array" ref="E817:E817">IF(F817="","",IFERROR(INDEX('1.職能辭典'!$A:$A,MATCH(F817,'1.職能辭典'!$C:$C,0)),""))</f>
        <v/>
      </c>
      <c r="F817" s="94" t="n"/>
      <c r="G817" s="120">
        <f t="array" ref="G817:G817">IF(OR(D817="",F817=""),"",IFERROR(IF(AND(OR(INDEX('1.職能辭典'!$J:$J,MATCH(F817,'1.職能辭典'!$C:$C,0))="全部",INDEX('3.員工名單'!$H:$H,MATCH(A817,'3.員工名單'!$A:$A,0))="兩款共用",INDEX('3.員工名單'!$H:$H,MATCH(A817,'3.員工名單'!$A:$A,0))=INDEX('1.職能辭典'!$J:$J,MATCH(F817,'1.職能辭典'!$C:$C,0))),OR(INDEX('1.職能辭典'!$K:$K,MATCH(F817,'1.職能辭典'!$C:$C,0))="全部",SUMPRODUCT(ISNUMBER(SEARCH({"經營","管理","財務","企劃","營運","技術","數據","美術","測試","客服"},INDEX('3.員工名單'!$I:$I,MATCH(A817,'3.員工名單'!$A:$A,0))))*ISNUMBER(SEARCH({"經營","管理","財務","企劃","營運","技術","數據","美術","測試","客服"},INDEX('1.職能辭典'!$K:$K,MATCH(F817,'1.職能辭典'!$C:$C,0)))))&gt;0)),INDEX('2.職務職能需求'!$B$2:$F$28,MATCH(F817,'2.職務職能需求'!$A$2:$A$28,0),MATCH(D817,'2.職務職能需求'!$B$1:$F$1,0)),0),""))</f>
        <v/>
      </c>
      <c r="H817" s="94" t="n"/>
      <c r="I817" s="94" t="n"/>
      <c r="J817" s="120">
        <f>IF(OR(G817="",I817="",G817=0),"",I817-G817)</f>
        <v/>
      </c>
      <c r="K817" s="120">
        <f>IF(G817="","",IF(G817=0,"不適用",IF(I817="","待評核",IF(I817&gt;=G817,IF(I817&gt;G817,"超越","達標"),"待發展"))))</f>
        <v/>
      </c>
      <c r="L817" s="91" t="n"/>
      <c r="M817" s="91" t="n"/>
      <c r="N817" s="88" t="n"/>
    </row>
    <row r="818" ht="15.75" customHeight="1" s="64">
      <c r="A818" s="88" t="n"/>
      <c r="B818" s="120">
        <f t="array" ref="B818:B818">IF(A818="","",IFERROR(INDEX('3.員工名單'!$B:$B,MATCH(A818,'3.員工名單'!$A:$A,0)),"查無此員工"))</f>
        <v/>
      </c>
      <c r="C818" s="120">
        <f t="array" ref="C818:C818">IF(A818="","",IFERROR(INDEX('3.員工名單'!$C:$C,MATCH(A818,'3.員工名單'!$A:$A,0)),""))</f>
        <v/>
      </c>
      <c r="D818" s="120">
        <f t="array" ref="D818:D818">IF(A818="","",IFERROR(INDEX('3.員工名單'!$D:$D,MATCH(A818,'3.員工名單'!$A:$A,0)),""))</f>
        <v/>
      </c>
      <c r="E818" s="120">
        <f t="array" ref="E818:E818">IF(F818="","",IFERROR(INDEX('1.職能辭典'!$A:$A,MATCH(F818,'1.職能辭典'!$C:$C,0)),""))</f>
        <v/>
      </c>
      <c r="F818" s="94" t="n"/>
      <c r="G818" s="120">
        <f t="array" ref="G818:G818">IF(OR(D818="",F818=""),"",IFERROR(IF(AND(OR(INDEX('1.職能辭典'!$J:$J,MATCH(F818,'1.職能辭典'!$C:$C,0))="全部",INDEX('3.員工名單'!$H:$H,MATCH(A818,'3.員工名單'!$A:$A,0))="兩款共用",INDEX('3.員工名單'!$H:$H,MATCH(A818,'3.員工名單'!$A:$A,0))=INDEX('1.職能辭典'!$J:$J,MATCH(F818,'1.職能辭典'!$C:$C,0))),OR(INDEX('1.職能辭典'!$K:$K,MATCH(F818,'1.職能辭典'!$C:$C,0))="全部",SUMPRODUCT(ISNUMBER(SEARCH({"經營","管理","財務","企劃","營運","技術","數據","美術","測試","客服"},INDEX('3.員工名單'!$I:$I,MATCH(A818,'3.員工名單'!$A:$A,0))))*ISNUMBER(SEARCH({"經營","管理","財務","企劃","營運","技術","數據","美術","測試","客服"},INDEX('1.職能辭典'!$K:$K,MATCH(F818,'1.職能辭典'!$C:$C,0)))))&gt;0)),INDEX('2.職務職能需求'!$B$2:$F$28,MATCH(F818,'2.職務職能需求'!$A$2:$A$28,0),MATCH(D818,'2.職務職能需求'!$B$1:$F$1,0)),0),""))</f>
        <v/>
      </c>
      <c r="H818" s="94" t="n"/>
      <c r="I818" s="94" t="n"/>
      <c r="J818" s="120">
        <f>IF(OR(G818="",I818="",G818=0),"",I818-G818)</f>
        <v/>
      </c>
      <c r="K818" s="120">
        <f>IF(G818="","",IF(G818=0,"不適用",IF(I818="","待評核",IF(I818&gt;=G818,IF(I818&gt;G818,"超越","達標"),"待發展"))))</f>
        <v/>
      </c>
      <c r="L818" s="91" t="n"/>
      <c r="M818" s="91" t="n"/>
      <c r="N818" s="88" t="n"/>
    </row>
    <row r="819" ht="15.75" customHeight="1" s="64">
      <c r="A819" s="88" t="n"/>
      <c r="B819" s="120">
        <f t="array" ref="B819:B819">IF(A819="","",IFERROR(INDEX('3.員工名單'!$B:$B,MATCH(A819,'3.員工名單'!$A:$A,0)),"查無此員工"))</f>
        <v/>
      </c>
      <c r="C819" s="120">
        <f t="array" ref="C819:C819">IF(A819="","",IFERROR(INDEX('3.員工名單'!$C:$C,MATCH(A819,'3.員工名單'!$A:$A,0)),""))</f>
        <v/>
      </c>
      <c r="D819" s="120">
        <f t="array" ref="D819:D819">IF(A819="","",IFERROR(INDEX('3.員工名單'!$D:$D,MATCH(A819,'3.員工名單'!$A:$A,0)),""))</f>
        <v/>
      </c>
      <c r="E819" s="120">
        <f t="array" ref="E819:E819">IF(F819="","",IFERROR(INDEX('1.職能辭典'!$A:$A,MATCH(F819,'1.職能辭典'!$C:$C,0)),""))</f>
        <v/>
      </c>
      <c r="F819" s="94" t="n"/>
      <c r="G819" s="120">
        <f t="array" ref="G819:G819">IF(OR(D819="",F819=""),"",IFERROR(IF(AND(OR(INDEX('1.職能辭典'!$J:$J,MATCH(F819,'1.職能辭典'!$C:$C,0))="全部",INDEX('3.員工名單'!$H:$H,MATCH(A819,'3.員工名單'!$A:$A,0))="兩款共用",INDEX('3.員工名單'!$H:$H,MATCH(A819,'3.員工名單'!$A:$A,0))=INDEX('1.職能辭典'!$J:$J,MATCH(F819,'1.職能辭典'!$C:$C,0))),OR(INDEX('1.職能辭典'!$K:$K,MATCH(F819,'1.職能辭典'!$C:$C,0))="全部",SUMPRODUCT(ISNUMBER(SEARCH({"經營","管理","財務","企劃","營運","技術","數據","美術","測試","客服"},INDEX('3.員工名單'!$I:$I,MATCH(A819,'3.員工名單'!$A:$A,0))))*ISNUMBER(SEARCH({"經營","管理","財務","企劃","營運","技術","數據","美術","測試","客服"},INDEX('1.職能辭典'!$K:$K,MATCH(F819,'1.職能辭典'!$C:$C,0)))))&gt;0)),INDEX('2.職務職能需求'!$B$2:$F$28,MATCH(F819,'2.職務職能需求'!$A$2:$A$28,0),MATCH(D819,'2.職務職能需求'!$B$1:$F$1,0)),0),""))</f>
        <v/>
      </c>
      <c r="H819" s="94" t="n"/>
      <c r="I819" s="94" t="n"/>
      <c r="J819" s="120">
        <f>IF(OR(G819="",I819="",G819=0),"",I819-G819)</f>
        <v/>
      </c>
      <c r="K819" s="120">
        <f>IF(G819="","",IF(G819=0,"不適用",IF(I819="","待評核",IF(I819&gt;=G819,IF(I819&gt;G819,"超越","達標"),"待發展"))))</f>
        <v/>
      </c>
      <c r="L819" s="91" t="n"/>
      <c r="M819" s="91" t="n"/>
      <c r="N819" s="88" t="n"/>
    </row>
    <row r="820" ht="15.75" customHeight="1" s="64">
      <c r="A820" s="88" t="n"/>
      <c r="B820" s="120">
        <f t="array" ref="B820:B820">IF(A820="","",IFERROR(INDEX('3.員工名單'!$B:$B,MATCH(A820,'3.員工名單'!$A:$A,0)),"查無此員工"))</f>
        <v/>
      </c>
      <c r="C820" s="120">
        <f t="array" ref="C820:C820">IF(A820="","",IFERROR(INDEX('3.員工名單'!$C:$C,MATCH(A820,'3.員工名單'!$A:$A,0)),""))</f>
        <v/>
      </c>
      <c r="D820" s="120">
        <f t="array" ref="D820:D820">IF(A820="","",IFERROR(INDEX('3.員工名單'!$D:$D,MATCH(A820,'3.員工名單'!$A:$A,0)),""))</f>
        <v/>
      </c>
      <c r="E820" s="120">
        <f t="array" ref="E820:E820">IF(F820="","",IFERROR(INDEX('1.職能辭典'!$A:$A,MATCH(F820,'1.職能辭典'!$C:$C,0)),""))</f>
        <v/>
      </c>
      <c r="F820" s="94" t="n"/>
      <c r="G820" s="120">
        <f t="array" ref="G820:G820">IF(OR(D820="",F820=""),"",IFERROR(IF(AND(OR(INDEX('1.職能辭典'!$J:$J,MATCH(F820,'1.職能辭典'!$C:$C,0))="全部",INDEX('3.員工名單'!$H:$H,MATCH(A820,'3.員工名單'!$A:$A,0))="兩款共用",INDEX('3.員工名單'!$H:$H,MATCH(A820,'3.員工名單'!$A:$A,0))=INDEX('1.職能辭典'!$J:$J,MATCH(F820,'1.職能辭典'!$C:$C,0))),OR(INDEX('1.職能辭典'!$K:$K,MATCH(F820,'1.職能辭典'!$C:$C,0))="全部",SUMPRODUCT(ISNUMBER(SEARCH({"經營","管理","財務","企劃","營運","技術","數據","美術","測試","客服"},INDEX('3.員工名單'!$I:$I,MATCH(A820,'3.員工名單'!$A:$A,0))))*ISNUMBER(SEARCH({"經營","管理","財務","企劃","營運","技術","數據","美術","測試","客服"},INDEX('1.職能辭典'!$K:$K,MATCH(F820,'1.職能辭典'!$C:$C,0)))))&gt;0)),INDEX('2.職務職能需求'!$B$2:$F$28,MATCH(F820,'2.職務職能需求'!$A$2:$A$28,0),MATCH(D820,'2.職務職能需求'!$B$1:$F$1,0)),0),""))</f>
        <v/>
      </c>
      <c r="H820" s="94" t="n"/>
      <c r="I820" s="94" t="n"/>
      <c r="J820" s="120">
        <f>IF(OR(G820="",I820="",G820=0),"",I820-G820)</f>
        <v/>
      </c>
      <c r="K820" s="120">
        <f>IF(G820="","",IF(G820=0,"不適用",IF(I820="","待評核",IF(I820&gt;=G820,IF(I820&gt;G820,"超越","達標"),"待發展"))))</f>
        <v/>
      </c>
      <c r="L820" s="91" t="n"/>
      <c r="M820" s="91" t="n"/>
      <c r="N820" s="88" t="n"/>
    </row>
    <row r="821" ht="15.75" customHeight="1" s="64">
      <c r="A821" s="88" t="n"/>
      <c r="B821" s="120">
        <f t="array" ref="B821:B821">IF(A821="","",IFERROR(INDEX('3.員工名單'!$B:$B,MATCH(A821,'3.員工名單'!$A:$A,0)),"查無此員工"))</f>
        <v/>
      </c>
      <c r="C821" s="120">
        <f t="array" ref="C821:C821">IF(A821="","",IFERROR(INDEX('3.員工名單'!$C:$C,MATCH(A821,'3.員工名單'!$A:$A,0)),""))</f>
        <v/>
      </c>
      <c r="D821" s="120">
        <f t="array" ref="D821:D821">IF(A821="","",IFERROR(INDEX('3.員工名單'!$D:$D,MATCH(A821,'3.員工名單'!$A:$A,0)),""))</f>
        <v/>
      </c>
      <c r="E821" s="120">
        <f t="array" ref="E821:E821">IF(F821="","",IFERROR(INDEX('1.職能辭典'!$A:$A,MATCH(F821,'1.職能辭典'!$C:$C,0)),""))</f>
        <v/>
      </c>
      <c r="F821" s="94" t="n"/>
      <c r="G821" s="120">
        <f t="array" ref="G821:G821">IF(OR(D821="",F821=""),"",IFERROR(IF(AND(OR(INDEX('1.職能辭典'!$J:$J,MATCH(F821,'1.職能辭典'!$C:$C,0))="全部",INDEX('3.員工名單'!$H:$H,MATCH(A821,'3.員工名單'!$A:$A,0))="兩款共用",INDEX('3.員工名單'!$H:$H,MATCH(A821,'3.員工名單'!$A:$A,0))=INDEX('1.職能辭典'!$J:$J,MATCH(F821,'1.職能辭典'!$C:$C,0))),OR(INDEX('1.職能辭典'!$K:$K,MATCH(F821,'1.職能辭典'!$C:$C,0))="全部",SUMPRODUCT(ISNUMBER(SEARCH({"經營","管理","財務","企劃","營運","技術","數據","美術","測試","客服"},INDEX('3.員工名單'!$I:$I,MATCH(A821,'3.員工名單'!$A:$A,0))))*ISNUMBER(SEARCH({"經營","管理","財務","企劃","營運","技術","數據","美術","測試","客服"},INDEX('1.職能辭典'!$K:$K,MATCH(F821,'1.職能辭典'!$C:$C,0)))))&gt;0)),INDEX('2.職務職能需求'!$B$2:$F$28,MATCH(F821,'2.職務職能需求'!$A$2:$A$28,0),MATCH(D821,'2.職務職能需求'!$B$1:$F$1,0)),0),""))</f>
        <v/>
      </c>
      <c r="H821" s="94" t="n"/>
      <c r="I821" s="94" t="n"/>
      <c r="J821" s="120">
        <f>IF(OR(G821="",I821="",G821=0),"",I821-G821)</f>
        <v/>
      </c>
      <c r="K821" s="120">
        <f>IF(G821="","",IF(G821=0,"不適用",IF(I821="","待評核",IF(I821&gt;=G821,IF(I821&gt;G821,"超越","達標"),"待發展"))))</f>
        <v/>
      </c>
      <c r="L821" s="91" t="n"/>
      <c r="M821" s="91" t="n"/>
      <c r="N821" s="88" t="n"/>
    </row>
    <row r="822" ht="15.75" customHeight="1" s="64">
      <c r="A822" s="88" t="n"/>
      <c r="B822" s="120">
        <f t="array" ref="B822:B822">IF(A822="","",IFERROR(INDEX('3.員工名單'!$B:$B,MATCH(A822,'3.員工名單'!$A:$A,0)),"查無此員工"))</f>
        <v/>
      </c>
      <c r="C822" s="120">
        <f t="array" ref="C822:C822">IF(A822="","",IFERROR(INDEX('3.員工名單'!$C:$C,MATCH(A822,'3.員工名單'!$A:$A,0)),""))</f>
        <v/>
      </c>
      <c r="D822" s="120">
        <f t="array" ref="D822:D822">IF(A822="","",IFERROR(INDEX('3.員工名單'!$D:$D,MATCH(A822,'3.員工名單'!$A:$A,0)),""))</f>
        <v/>
      </c>
      <c r="E822" s="120">
        <f t="array" ref="E822:E822">IF(F822="","",IFERROR(INDEX('1.職能辭典'!$A:$A,MATCH(F822,'1.職能辭典'!$C:$C,0)),""))</f>
        <v/>
      </c>
      <c r="F822" s="94" t="n"/>
      <c r="G822" s="120">
        <f t="array" ref="G822:G822">IF(OR(D822="",F822=""),"",IFERROR(IF(AND(OR(INDEX('1.職能辭典'!$J:$J,MATCH(F822,'1.職能辭典'!$C:$C,0))="全部",INDEX('3.員工名單'!$H:$H,MATCH(A822,'3.員工名單'!$A:$A,0))="兩款共用",INDEX('3.員工名單'!$H:$H,MATCH(A822,'3.員工名單'!$A:$A,0))=INDEX('1.職能辭典'!$J:$J,MATCH(F822,'1.職能辭典'!$C:$C,0))),OR(INDEX('1.職能辭典'!$K:$K,MATCH(F822,'1.職能辭典'!$C:$C,0))="全部",SUMPRODUCT(ISNUMBER(SEARCH({"經營","管理","財務","企劃","營運","技術","數據","美術","測試","客服"},INDEX('3.員工名單'!$I:$I,MATCH(A822,'3.員工名單'!$A:$A,0))))*ISNUMBER(SEARCH({"經營","管理","財務","企劃","營運","技術","數據","美術","測試","客服"},INDEX('1.職能辭典'!$K:$K,MATCH(F822,'1.職能辭典'!$C:$C,0)))))&gt;0)),INDEX('2.職務職能需求'!$B$2:$F$28,MATCH(F822,'2.職務職能需求'!$A$2:$A$28,0),MATCH(D822,'2.職務職能需求'!$B$1:$F$1,0)),0),""))</f>
        <v/>
      </c>
      <c r="H822" s="94" t="n"/>
      <c r="I822" s="94" t="n"/>
      <c r="J822" s="120">
        <f>IF(OR(G822="",I822="",G822=0),"",I822-G822)</f>
        <v/>
      </c>
      <c r="K822" s="120">
        <f>IF(G822="","",IF(G822=0,"不適用",IF(I822="","待評核",IF(I822&gt;=G822,IF(I822&gt;G822,"超越","達標"),"待發展"))))</f>
        <v/>
      </c>
      <c r="L822" s="91" t="n"/>
      <c r="M822" s="91" t="n"/>
      <c r="N822" s="88" t="n"/>
    </row>
    <row r="823" ht="15.75" customHeight="1" s="64">
      <c r="A823" s="88" t="n"/>
      <c r="B823" s="120">
        <f t="array" ref="B823:B823">IF(A823="","",IFERROR(INDEX('3.員工名單'!$B:$B,MATCH(A823,'3.員工名單'!$A:$A,0)),"查無此員工"))</f>
        <v/>
      </c>
      <c r="C823" s="120">
        <f t="array" ref="C823:C823">IF(A823="","",IFERROR(INDEX('3.員工名單'!$C:$C,MATCH(A823,'3.員工名單'!$A:$A,0)),""))</f>
        <v/>
      </c>
      <c r="D823" s="120">
        <f t="array" ref="D823:D823">IF(A823="","",IFERROR(INDEX('3.員工名單'!$D:$D,MATCH(A823,'3.員工名單'!$A:$A,0)),""))</f>
        <v/>
      </c>
      <c r="E823" s="120">
        <f t="array" ref="E823:E823">IF(F823="","",IFERROR(INDEX('1.職能辭典'!$A:$A,MATCH(F823,'1.職能辭典'!$C:$C,0)),""))</f>
        <v/>
      </c>
      <c r="F823" s="94" t="n"/>
      <c r="G823" s="120">
        <f t="array" ref="G823:G823">IF(OR(D823="",F823=""),"",IFERROR(IF(AND(OR(INDEX('1.職能辭典'!$J:$J,MATCH(F823,'1.職能辭典'!$C:$C,0))="全部",INDEX('3.員工名單'!$H:$H,MATCH(A823,'3.員工名單'!$A:$A,0))="兩款共用",INDEX('3.員工名單'!$H:$H,MATCH(A823,'3.員工名單'!$A:$A,0))=INDEX('1.職能辭典'!$J:$J,MATCH(F823,'1.職能辭典'!$C:$C,0))),OR(INDEX('1.職能辭典'!$K:$K,MATCH(F823,'1.職能辭典'!$C:$C,0))="全部",SUMPRODUCT(ISNUMBER(SEARCH({"經營","管理","財務","企劃","營運","技術","數據","美術","測試","客服"},INDEX('3.員工名單'!$I:$I,MATCH(A823,'3.員工名單'!$A:$A,0))))*ISNUMBER(SEARCH({"經營","管理","財務","企劃","營運","技術","數據","美術","測試","客服"},INDEX('1.職能辭典'!$K:$K,MATCH(F823,'1.職能辭典'!$C:$C,0)))))&gt;0)),INDEX('2.職務職能需求'!$B$2:$F$28,MATCH(F823,'2.職務職能需求'!$A$2:$A$28,0),MATCH(D823,'2.職務職能需求'!$B$1:$F$1,0)),0),""))</f>
        <v/>
      </c>
      <c r="H823" s="94" t="n"/>
      <c r="I823" s="94" t="n"/>
      <c r="J823" s="120">
        <f>IF(OR(G823="",I823="",G823=0),"",I823-G823)</f>
        <v/>
      </c>
      <c r="K823" s="120">
        <f>IF(G823="","",IF(G823=0,"不適用",IF(I823="","待評核",IF(I823&gt;=G823,IF(I823&gt;G823,"超越","達標"),"待發展"))))</f>
        <v/>
      </c>
      <c r="L823" s="91" t="n"/>
      <c r="M823" s="91" t="n"/>
      <c r="N823" s="88" t="n"/>
    </row>
    <row r="824" ht="15.75" customHeight="1" s="64">
      <c r="A824" s="88" t="n"/>
      <c r="B824" s="120">
        <f t="array" ref="B824:B824">IF(A824="","",IFERROR(INDEX('3.員工名單'!$B:$B,MATCH(A824,'3.員工名單'!$A:$A,0)),"查無此員工"))</f>
        <v/>
      </c>
      <c r="C824" s="120">
        <f t="array" ref="C824:C824">IF(A824="","",IFERROR(INDEX('3.員工名單'!$C:$C,MATCH(A824,'3.員工名單'!$A:$A,0)),""))</f>
        <v/>
      </c>
      <c r="D824" s="120">
        <f t="array" ref="D824:D824">IF(A824="","",IFERROR(INDEX('3.員工名單'!$D:$D,MATCH(A824,'3.員工名單'!$A:$A,0)),""))</f>
        <v/>
      </c>
      <c r="E824" s="120">
        <f t="array" ref="E824:E824">IF(F824="","",IFERROR(INDEX('1.職能辭典'!$A:$A,MATCH(F824,'1.職能辭典'!$C:$C,0)),""))</f>
        <v/>
      </c>
      <c r="F824" s="94" t="n"/>
      <c r="G824" s="120">
        <f t="array" ref="G824:G824">IF(OR(D824="",F824=""),"",IFERROR(IF(AND(OR(INDEX('1.職能辭典'!$J:$J,MATCH(F824,'1.職能辭典'!$C:$C,0))="全部",INDEX('3.員工名單'!$H:$H,MATCH(A824,'3.員工名單'!$A:$A,0))="兩款共用",INDEX('3.員工名單'!$H:$H,MATCH(A824,'3.員工名單'!$A:$A,0))=INDEX('1.職能辭典'!$J:$J,MATCH(F824,'1.職能辭典'!$C:$C,0))),OR(INDEX('1.職能辭典'!$K:$K,MATCH(F824,'1.職能辭典'!$C:$C,0))="全部",SUMPRODUCT(ISNUMBER(SEARCH({"經營","管理","財務","企劃","營運","技術","數據","美術","測試","客服"},INDEX('3.員工名單'!$I:$I,MATCH(A824,'3.員工名單'!$A:$A,0))))*ISNUMBER(SEARCH({"經營","管理","財務","企劃","營運","技術","數據","美術","測試","客服"},INDEX('1.職能辭典'!$K:$K,MATCH(F824,'1.職能辭典'!$C:$C,0)))))&gt;0)),INDEX('2.職務職能需求'!$B$2:$F$28,MATCH(F824,'2.職務職能需求'!$A$2:$A$28,0),MATCH(D824,'2.職務職能需求'!$B$1:$F$1,0)),0),""))</f>
        <v/>
      </c>
      <c r="H824" s="94" t="n"/>
      <c r="I824" s="94" t="n"/>
      <c r="J824" s="120">
        <f>IF(OR(G824="",I824="",G824=0),"",I824-G824)</f>
        <v/>
      </c>
      <c r="K824" s="120">
        <f>IF(G824="","",IF(G824=0,"不適用",IF(I824="","待評核",IF(I824&gt;=G824,IF(I824&gt;G824,"超越","達標"),"待發展"))))</f>
        <v/>
      </c>
      <c r="L824" s="91" t="n"/>
      <c r="M824" s="91" t="n"/>
      <c r="N824" s="88" t="n"/>
    </row>
    <row r="825" ht="15.75" customHeight="1" s="64">
      <c r="A825" s="88" t="n"/>
      <c r="B825" s="120">
        <f t="array" ref="B825:B825">IF(A825="","",IFERROR(INDEX('3.員工名單'!$B:$B,MATCH(A825,'3.員工名單'!$A:$A,0)),"查無此員工"))</f>
        <v/>
      </c>
      <c r="C825" s="120">
        <f t="array" ref="C825:C825">IF(A825="","",IFERROR(INDEX('3.員工名單'!$C:$C,MATCH(A825,'3.員工名單'!$A:$A,0)),""))</f>
        <v/>
      </c>
      <c r="D825" s="120">
        <f t="array" ref="D825:D825">IF(A825="","",IFERROR(INDEX('3.員工名單'!$D:$D,MATCH(A825,'3.員工名單'!$A:$A,0)),""))</f>
        <v/>
      </c>
      <c r="E825" s="120">
        <f t="array" ref="E825:E825">IF(F825="","",IFERROR(INDEX('1.職能辭典'!$A:$A,MATCH(F825,'1.職能辭典'!$C:$C,0)),""))</f>
        <v/>
      </c>
      <c r="F825" s="94" t="n"/>
      <c r="G825" s="120">
        <f t="array" ref="G825:G825">IF(OR(D825="",F825=""),"",IFERROR(IF(AND(OR(INDEX('1.職能辭典'!$J:$J,MATCH(F825,'1.職能辭典'!$C:$C,0))="全部",INDEX('3.員工名單'!$H:$H,MATCH(A825,'3.員工名單'!$A:$A,0))="兩款共用",INDEX('3.員工名單'!$H:$H,MATCH(A825,'3.員工名單'!$A:$A,0))=INDEX('1.職能辭典'!$J:$J,MATCH(F825,'1.職能辭典'!$C:$C,0))),OR(INDEX('1.職能辭典'!$K:$K,MATCH(F825,'1.職能辭典'!$C:$C,0))="全部",SUMPRODUCT(ISNUMBER(SEARCH({"經營","管理","財務","企劃","營運","技術","數據","美術","測試","客服"},INDEX('3.員工名單'!$I:$I,MATCH(A825,'3.員工名單'!$A:$A,0))))*ISNUMBER(SEARCH({"經營","管理","財務","企劃","營運","技術","數據","美術","測試","客服"},INDEX('1.職能辭典'!$K:$K,MATCH(F825,'1.職能辭典'!$C:$C,0)))))&gt;0)),INDEX('2.職務職能需求'!$B$2:$F$28,MATCH(F825,'2.職務職能需求'!$A$2:$A$28,0),MATCH(D825,'2.職務職能需求'!$B$1:$F$1,0)),0),""))</f>
        <v/>
      </c>
      <c r="H825" s="94" t="n"/>
      <c r="I825" s="94" t="n"/>
      <c r="J825" s="120">
        <f>IF(OR(G825="",I825="",G825=0),"",I825-G825)</f>
        <v/>
      </c>
      <c r="K825" s="120">
        <f>IF(G825="","",IF(G825=0,"不適用",IF(I825="","待評核",IF(I825&gt;=G825,IF(I825&gt;G825,"超越","達標"),"待發展"))))</f>
        <v/>
      </c>
      <c r="L825" s="91" t="n"/>
      <c r="M825" s="91" t="n"/>
      <c r="N825" s="88" t="n"/>
    </row>
    <row r="826" ht="15.75" customHeight="1" s="64">
      <c r="A826" s="88" t="n"/>
      <c r="B826" s="120">
        <f t="array" ref="B826:B826">IF(A826="","",IFERROR(INDEX('3.員工名單'!$B:$B,MATCH(A826,'3.員工名單'!$A:$A,0)),"查無此員工"))</f>
        <v/>
      </c>
      <c r="C826" s="120">
        <f t="array" ref="C826:C826">IF(A826="","",IFERROR(INDEX('3.員工名單'!$C:$C,MATCH(A826,'3.員工名單'!$A:$A,0)),""))</f>
        <v/>
      </c>
      <c r="D826" s="120">
        <f t="array" ref="D826:D826">IF(A826="","",IFERROR(INDEX('3.員工名單'!$D:$D,MATCH(A826,'3.員工名單'!$A:$A,0)),""))</f>
        <v/>
      </c>
      <c r="E826" s="120">
        <f t="array" ref="E826:E826">IF(F826="","",IFERROR(INDEX('1.職能辭典'!$A:$A,MATCH(F826,'1.職能辭典'!$C:$C,0)),""))</f>
        <v/>
      </c>
      <c r="F826" s="94" t="n"/>
      <c r="G826" s="120">
        <f t="array" ref="G826:G826">IF(OR(D826="",F826=""),"",IFERROR(IF(AND(OR(INDEX('1.職能辭典'!$J:$J,MATCH(F826,'1.職能辭典'!$C:$C,0))="全部",INDEX('3.員工名單'!$H:$H,MATCH(A826,'3.員工名單'!$A:$A,0))="兩款共用",INDEX('3.員工名單'!$H:$H,MATCH(A826,'3.員工名單'!$A:$A,0))=INDEX('1.職能辭典'!$J:$J,MATCH(F826,'1.職能辭典'!$C:$C,0))),OR(INDEX('1.職能辭典'!$K:$K,MATCH(F826,'1.職能辭典'!$C:$C,0))="全部",SUMPRODUCT(ISNUMBER(SEARCH({"經營","管理","財務","企劃","營運","技術","數據","美術","測試","客服"},INDEX('3.員工名單'!$I:$I,MATCH(A826,'3.員工名單'!$A:$A,0))))*ISNUMBER(SEARCH({"經營","管理","財務","企劃","營運","技術","數據","美術","測試","客服"},INDEX('1.職能辭典'!$K:$K,MATCH(F826,'1.職能辭典'!$C:$C,0)))))&gt;0)),INDEX('2.職務職能需求'!$B$2:$F$28,MATCH(F826,'2.職務職能需求'!$A$2:$A$28,0),MATCH(D826,'2.職務職能需求'!$B$1:$F$1,0)),0),""))</f>
        <v/>
      </c>
      <c r="H826" s="94" t="n"/>
      <c r="I826" s="94" t="n"/>
      <c r="J826" s="120">
        <f>IF(OR(G826="",I826="",G826=0),"",I826-G826)</f>
        <v/>
      </c>
      <c r="K826" s="120">
        <f>IF(G826="","",IF(G826=0,"不適用",IF(I826="","待評核",IF(I826&gt;=G826,IF(I826&gt;G826,"超越","達標"),"待發展"))))</f>
        <v/>
      </c>
      <c r="L826" s="91" t="n"/>
      <c r="M826" s="91" t="n"/>
      <c r="N826" s="88" t="n"/>
    </row>
    <row r="827" ht="15.75" customHeight="1" s="64">
      <c r="A827" s="88" t="n"/>
      <c r="B827" s="120">
        <f t="array" ref="B827:B827">IF(A827="","",IFERROR(INDEX('3.員工名單'!$B:$B,MATCH(A827,'3.員工名單'!$A:$A,0)),"查無此員工"))</f>
        <v/>
      </c>
      <c r="C827" s="120">
        <f t="array" ref="C827:C827">IF(A827="","",IFERROR(INDEX('3.員工名單'!$C:$C,MATCH(A827,'3.員工名單'!$A:$A,0)),""))</f>
        <v/>
      </c>
      <c r="D827" s="120">
        <f t="array" ref="D827:D827">IF(A827="","",IFERROR(INDEX('3.員工名單'!$D:$D,MATCH(A827,'3.員工名單'!$A:$A,0)),""))</f>
        <v/>
      </c>
      <c r="E827" s="120">
        <f t="array" ref="E827:E827">IF(F827="","",IFERROR(INDEX('1.職能辭典'!$A:$A,MATCH(F827,'1.職能辭典'!$C:$C,0)),""))</f>
        <v/>
      </c>
      <c r="F827" s="94" t="n"/>
      <c r="G827" s="120">
        <f t="array" ref="G827:G827">IF(OR(D827="",F827=""),"",IFERROR(IF(AND(OR(INDEX('1.職能辭典'!$J:$J,MATCH(F827,'1.職能辭典'!$C:$C,0))="全部",INDEX('3.員工名單'!$H:$H,MATCH(A827,'3.員工名單'!$A:$A,0))="兩款共用",INDEX('3.員工名單'!$H:$H,MATCH(A827,'3.員工名單'!$A:$A,0))=INDEX('1.職能辭典'!$J:$J,MATCH(F827,'1.職能辭典'!$C:$C,0))),OR(INDEX('1.職能辭典'!$K:$K,MATCH(F827,'1.職能辭典'!$C:$C,0))="全部",SUMPRODUCT(ISNUMBER(SEARCH({"經營","管理","財務","企劃","營運","技術","數據","美術","測試","客服"},INDEX('3.員工名單'!$I:$I,MATCH(A827,'3.員工名單'!$A:$A,0))))*ISNUMBER(SEARCH({"經營","管理","財務","企劃","營運","技術","數據","美術","測試","客服"},INDEX('1.職能辭典'!$K:$K,MATCH(F827,'1.職能辭典'!$C:$C,0)))))&gt;0)),INDEX('2.職務職能需求'!$B$2:$F$28,MATCH(F827,'2.職務職能需求'!$A$2:$A$28,0),MATCH(D827,'2.職務職能需求'!$B$1:$F$1,0)),0),""))</f>
        <v/>
      </c>
      <c r="H827" s="94" t="n"/>
      <c r="I827" s="94" t="n"/>
      <c r="J827" s="120">
        <f>IF(OR(G827="",I827="",G827=0),"",I827-G827)</f>
        <v/>
      </c>
      <c r="K827" s="120">
        <f>IF(G827="","",IF(G827=0,"不適用",IF(I827="","待評核",IF(I827&gt;=G827,IF(I827&gt;G827,"超越","達標"),"待發展"))))</f>
        <v/>
      </c>
      <c r="L827" s="91" t="n"/>
      <c r="M827" s="91" t="n"/>
      <c r="N827" s="88" t="n"/>
    </row>
    <row r="828" ht="15.75" customHeight="1" s="64">
      <c r="A828" s="88" t="n"/>
      <c r="B828" s="120">
        <f t="array" ref="B828:B828">IF(A828="","",IFERROR(INDEX('3.員工名單'!$B:$B,MATCH(A828,'3.員工名單'!$A:$A,0)),"查無此員工"))</f>
        <v/>
      </c>
      <c r="C828" s="120">
        <f t="array" ref="C828:C828">IF(A828="","",IFERROR(INDEX('3.員工名單'!$C:$C,MATCH(A828,'3.員工名單'!$A:$A,0)),""))</f>
        <v/>
      </c>
      <c r="D828" s="120">
        <f t="array" ref="D828:D828">IF(A828="","",IFERROR(INDEX('3.員工名單'!$D:$D,MATCH(A828,'3.員工名單'!$A:$A,0)),""))</f>
        <v/>
      </c>
      <c r="E828" s="120">
        <f t="array" ref="E828:E828">IF(F828="","",IFERROR(INDEX('1.職能辭典'!$A:$A,MATCH(F828,'1.職能辭典'!$C:$C,0)),""))</f>
        <v/>
      </c>
      <c r="F828" s="94" t="n"/>
      <c r="G828" s="120">
        <f t="array" ref="G828:G828">IF(OR(D828="",F828=""),"",IFERROR(IF(AND(OR(INDEX('1.職能辭典'!$J:$J,MATCH(F828,'1.職能辭典'!$C:$C,0))="全部",INDEX('3.員工名單'!$H:$H,MATCH(A828,'3.員工名單'!$A:$A,0))="兩款共用",INDEX('3.員工名單'!$H:$H,MATCH(A828,'3.員工名單'!$A:$A,0))=INDEX('1.職能辭典'!$J:$J,MATCH(F828,'1.職能辭典'!$C:$C,0))),OR(INDEX('1.職能辭典'!$K:$K,MATCH(F828,'1.職能辭典'!$C:$C,0))="全部",SUMPRODUCT(ISNUMBER(SEARCH({"經營","管理","財務","企劃","營運","技術","數據","美術","測試","客服"},INDEX('3.員工名單'!$I:$I,MATCH(A828,'3.員工名單'!$A:$A,0))))*ISNUMBER(SEARCH({"經營","管理","財務","企劃","營運","技術","數據","美術","測試","客服"},INDEX('1.職能辭典'!$K:$K,MATCH(F828,'1.職能辭典'!$C:$C,0)))))&gt;0)),INDEX('2.職務職能需求'!$B$2:$F$28,MATCH(F828,'2.職務職能需求'!$A$2:$A$28,0),MATCH(D828,'2.職務職能需求'!$B$1:$F$1,0)),0),""))</f>
        <v/>
      </c>
      <c r="H828" s="94" t="n"/>
      <c r="I828" s="94" t="n"/>
      <c r="J828" s="120">
        <f>IF(OR(G828="",I828="",G828=0),"",I828-G828)</f>
        <v/>
      </c>
      <c r="K828" s="120">
        <f>IF(G828="","",IF(G828=0,"不適用",IF(I828="","待評核",IF(I828&gt;=G828,IF(I828&gt;G828,"超越","達標"),"待發展"))))</f>
        <v/>
      </c>
      <c r="L828" s="91" t="n"/>
      <c r="M828" s="91" t="n"/>
      <c r="N828" s="88" t="n"/>
    </row>
    <row r="829" ht="15.75" customHeight="1" s="64">
      <c r="A829" s="88" t="n"/>
      <c r="B829" s="120">
        <f t="array" ref="B829:B829">IF(A829="","",IFERROR(INDEX('3.員工名單'!$B:$B,MATCH(A829,'3.員工名單'!$A:$A,0)),"查無此員工"))</f>
        <v/>
      </c>
      <c r="C829" s="120">
        <f t="array" ref="C829:C829">IF(A829="","",IFERROR(INDEX('3.員工名單'!$C:$C,MATCH(A829,'3.員工名單'!$A:$A,0)),""))</f>
        <v/>
      </c>
      <c r="D829" s="120">
        <f t="array" ref="D829:D829">IF(A829="","",IFERROR(INDEX('3.員工名單'!$D:$D,MATCH(A829,'3.員工名單'!$A:$A,0)),""))</f>
        <v/>
      </c>
      <c r="E829" s="120">
        <f t="array" ref="E829:E829">IF(F829="","",IFERROR(INDEX('1.職能辭典'!$A:$A,MATCH(F829,'1.職能辭典'!$C:$C,0)),""))</f>
        <v/>
      </c>
      <c r="F829" s="94" t="n"/>
      <c r="G829" s="120">
        <f t="array" ref="G829:G829">IF(OR(D829="",F829=""),"",IFERROR(IF(AND(OR(INDEX('1.職能辭典'!$J:$J,MATCH(F829,'1.職能辭典'!$C:$C,0))="全部",INDEX('3.員工名單'!$H:$H,MATCH(A829,'3.員工名單'!$A:$A,0))="兩款共用",INDEX('3.員工名單'!$H:$H,MATCH(A829,'3.員工名單'!$A:$A,0))=INDEX('1.職能辭典'!$J:$J,MATCH(F829,'1.職能辭典'!$C:$C,0))),OR(INDEX('1.職能辭典'!$K:$K,MATCH(F829,'1.職能辭典'!$C:$C,0))="全部",SUMPRODUCT(ISNUMBER(SEARCH({"經營","管理","財務","企劃","營運","技術","數據","美術","測試","客服"},INDEX('3.員工名單'!$I:$I,MATCH(A829,'3.員工名單'!$A:$A,0))))*ISNUMBER(SEARCH({"經營","管理","財務","企劃","營運","技術","數據","美術","測試","客服"},INDEX('1.職能辭典'!$K:$K,MATCH(F829,'1.職能辭典'!$C:$C,0)))))&gt;0)),INDEX('2.職務職能需求'!$B$2:$F$28,MATCH(F829,'2.職務職能需求'!$A$2:$A$28,0),MATCH(D829,'2.職務職能需求'!$B$1:$F$1,0)),0),""))</f>
        <v/>
      </c>
      <c r="H829" s="94" t="n"/>
      <c r="I829" s="94" t="n"/>
      <c r="J829" s="120">
        <f>IF(OR(G829="",I829="",G829=0),"",I829-G829)</f>
        <v/>
      </c>
      <c r="K829" s="120">
        <f>IF(G829="","",IF(G829=0,"不適用",IF(I829="","待評核",IF(I829&gt;=G829,IF(I829&gt;G829,"超越","達標"),"待發展"))))</f>
        <v/>
      </c>
      <c r="L829" s="91" t="n"/>
      <c r="M829" s="91" t="n"/>
      <c r="N829" s="88" t="n"/>
    </row>
    <row r="830" ht="15.75" customHeight="1" s="64">
      <c r="A830" s="88" t="n"/>
      <c r="B830" s="120">
        <f t="array" ref="B830:B830">IF(A830="","",IFERROR(INDEX('3.員工名單'!$B:$B,MATCH(A830,'3.員工名單'!$A:$A,0)),"查無此員工"))</f>
        <v/>
      </c>
      <c r="C830" s="120">
        <f t="array" ref="C830:C830">IF(A830="","",IFERROR(INDEX('3.員工名單'!$C:$C,MATCH(A830,'3.員工名單'!$A:$A,0)),""))</f>
        <v/>
      </c>
      <c r="D830" s="120">
        <f t="array" ref="D830:D830">IF(A830="","",IFERROR(INDEX('3.員工名單'!$D:$D,MATCH(A830,'3.員工名單'!$A:$A,0)),""))</f>
        <v/>
      </c>
      <c r="E830" s="120">
        <f t="array" ref="E830:E830">IF(F830="","",IFERROR(INDEX('1.職能辭典'!$A:$A,MATCH(F830,'1.職能辭典'!$C:$C,0)),""))</f>
        <v/>
      </c>
      <c r="F830" s="94" t="n"/>
      <c r="G830" s="120">
        <f t="array" ref="G830:G830">IF(OR(D830="",F830=""),"",IFERROR(IF(AND(OR(INDEX('1.職能辭典'!$J:$J,MATCH(F830,'1.職能辭典'!$C:$C,0))="全部",INDEX('3.員工名單'!$H:$H,MATCH(A830,'3.員工名單'!$A:$A,0))="兩款共用",INDEX('3.員工名單'!$H:$H,MATCH(A830,'3.員工名單'!$A:$A,0))=INDEX('1.職能辭典'!$J:$J,MATCH(F830,'1.職能辭典'!$C:$C,0))),OR(INDEX('1.職能辭典'!$K:$K,MATCH(F830,'1.職能辭典'!$C:$C,0))="全部",SUMPRODUCT(ISNUMBER(SEARCH({"經營","管理","財務","企劃","營運","技術","數據","美術","測試","客服"},INDEX('3.員工名單'!$I:$I,MATCH(A830,'3.員工名單'!$A:$A,0))))*ISNUMBER(SEARCH({"經營","管理","財務","企劃","營運","技術","數據","美術","測試","客服"},INDEX('1.職能辭典'!$K:$K,MATCH(F830,'1.職能辭典'!$C:$C,0)))))&gt;0)),INDEX('2.職務職能需求'!$B$2:$F$28,MATCH(F830,'2.職務職能需求'!$A$2:$A$28,0),MATCH(D830,'2.職務職能需求'!$B$1:$F$1,0)),0),""))</f>
        <v/>
      </c>
      <c r="H830" s="94" t="n"/>
      <c r="I830" s="94" t="n"/>
      <c r="J830" s="120">
        <f>IF(OR(G830="",I830="",G830=0),"",I830-G830)</f>
        <v/>
      </c>
      <c r="K830" s="120">
        <f>IF(G830="","",IF(G830=0,"不適用",IF(I830="","待評核",IF(I830&gt;=G830,IF(I830&gt;G830,"超越","達標"),"待發展"))))</f>
        <v/>
      </c>
      <c r="L830" s="91" t="n"/>
      <c r="M830" s="91" t="n"/>
      <c r="N830" s="88" t="n"/>
    </row>
    <row r="831" ht="15.75" customHeight="1" s="64">
      <c r="A831" s="88" t="n"/>
      <c r="B831" s="120">
        <f t="array" ref="B831:B831">IF(A831="","",IFERROR(INDEX('3.員工名單'!$B:$B,MATCH(A831,'3.員工名單'!$A:$A,0)),"查無此員工"))</f>
        <v/>
      </c>
      <c r="C831" s="120">
        <f t="array" ref="C831:C831">IF(A831="","",IFERROR(INDEX('3.員工名單'!$C:$C,MATCH(A831,'3.員工名單'!$A:$A,0)),""))</f>
        <v/>
      </c>
      <c r="D831" s="120">
        <f t="array" ref="D831:D831">IF(A831="","",IFERROR(INDEX('3.員工名單'!$D:$D,MATCH(A831,'3.員工名單'!$A:$A,0)),""))</f>
        <v/>
      </c>
      <c r="E831" s="120">
        <f t="array" ref="E831:E831">IF(F831="","",IFERROR(INDEX('1.職能辭典'!$A:$A,MATCH(F831,'1.職能辭典'!$C:$C,0)),""))</f>
        <v/>
      </c>
      <c r="F831" s="94" t="n"/>
      <c r="G831" s="120">
        <f t="array" ref="G831:G831">IF(OR(D831="",F831=""),"",IFERROR(IF(AND(OR(INDEX('1.職能辭典'!$J:$J,MATCH(F831,'1.職能辭典'!$C:$C,0))="全部",INDEX('3.員工名單'!$H:$H,MATCH(A831,'3.員工名單'!$A:$A,0))="兩款共用",INDEX('3.員工名單'!$H:$H,MATCH(A831,'3.員工名單'!$A:$A,0))=INDEX('1.職能辭典'!$J:$J,MATCH(F831,'1.職能辭典'!$C:$C,0))),OR(INDEX('1.職能辭典'!$K:$K,MATCH(F831,'1.職能辭典'!$C:$C,0))="全部",SUMPRODUCT(ISNUMBER(SEARCH({"經營","管理","財務","企劃","營運","技術","數據","美術","測試","客服"},INDEX('3.員工名單'!$I:$I,MATCH(A831,'3.員工名單'!$A:$A,0))))*ISNUMBER(SEARCH({"經營","管理","財務","企劃","營運","技術","數據","美術","測試","客服"},INDEX('1.職能辭典'!$K:$K,MATCH(F831,'1.職能辭典'!$C:$C,0)))))&gt;0)),INDEX('2.職務職能需求'!$B$2:$F$28,MATCH(F831,'2.職務職能需求'!$A$2:$A$28,0),MATCH(D831,'2.職務職能需求'!$B$1:$F$1,0)),0),""))</f>
        <v/>
      </c>
      <c r="H831" s="94" t="n"/>
      <c r="I831" s="94" t="n"/>
      <c r="J831" s="120">
        <f>IF(OR(G831="",I831="",G831=0),"",I831-G831)</f>
        <v/>
      </c>
      <c r="K831" s="120">
        <f>IF(G831="","",IF(G831=0,"不適用",IF(I831="","待評核",IF(I831&gt;=G831,IF(I831&gt;G831,"超越","達標"),"待發展"))))</f>
        <v/>
      </c>
      <c r="L831" s="91" t="n"/>
      <c r="M831" s="91" t="n"/>
      <c r="N831" s="88" t="n"/>
    </row>
    <row r="832" ht="15.75" customHeight="1" s="64">
      <c r="A832" s="88" t="n"/>
      <c r="B832" s="120">
        <f t="array" ref="B832:B832">IF(A832="","",IFERROR(INDEX('3.員工名單'!$B:$B,MATCH(A832,'3.員工名單'!$A:$A,0)),"查無此員工"))</f>
        <v/>
      </c>
      <c r="C832" s="120">
        <f t="array" ref="C832:C832">IF(A832="","",IFERROR(INDEX('3.員工名單'!$C:$C,MATCH(A832,'3.員工名單'!$A:$A,0)),""))</f>
        <v/>
      </c>
      <c r="D832" s="120">
        <f t="array" ref="D832:D832">IF(A832="","",IFERROR(INDEX('3.員工名單'!$D:$D,MATCH(A832,'3.員工名單'!$A:$A,0)),""))</f>
        <v/>
      </c>
      <c r="E832" s="120">
        <f t="array" ref="E832:E832">IF(F832="","",IFERROR(INDEX('1.職能辭典'!$A:$A,MATCH(F832,'1.職能辭典'!$C:$C,0)),""))</f>
        <v/>
      </c>
      <c r="F832" s="94" t="n"/>
      <c r="G832" s="120">
        <f t="array" ref="G832:G832">IF(OR(D832="",F832=""),"",IFERROR(IF(AND(OR(INDEX('1.職能辭典'!$J:$J,MATCH(F832,'1.職能辭典'!$C:$C,0))="全部",INDEX('3.員工名單'!$H:$H,MATCH(A832,'3.員工名單'!$A:$A,0))="兩款共用",INDEX('3.員工名單'!$H:$H,MATCH(A832,'3.員工名單'!$A:$A,0))=INDEX('1.職能辭典'!$J:$J,MATCH(F832,'1.職能辭典'!$C:$C,0))),OR(INDEX('1.職能辭典'!$K:$K,MATCH(F832,'1.職能辭典'!$C:$C,0))="全部",SUMPRODUCT(ISNUMBER(SEARCH({"經營","管理","財務","企劃","營運","技術","數據","美術","測試","客服"},INDEX('3.員工名單'!$I:$I,MATCH(A832,'3.員工名單'!$A:$A,0))))*ISNUMBER(SEARCH({"經營","管理","財務","企劃","營運","技術","數據","美術","測試","客服"},INDEX('1.職能辭典'!$K:$K,MATCH(F832,'1.職能辭典'!$C:$C,0)))))&gt;0)),INDEX('2.職務職能需求'!$B$2:$F$28,MATCH(F832,'2.職務職能需求'!$A$2:$A$28,0),MATCH(D832,'2.職務職能需求'!$B$1:$F$1,0)),0),""))</f>
        <v/>
      </c>
      <c r="H832" s="94" t="n"/>
      <c r="I832" s="94" t="n"/>
      <c r="J832" s="120">
        <f>IF(OR(G832="",I832="",G832=0),"",I832-G832)</f>
        <v/>
      </c>
      <c r="K832" s="120">
        <f>IF(G832="","",IF(G832=0,"不適用",IF(I832="","待評核",IF(I832&gt;=G832,IF(I832&gt;G832,"超越","達標"),"待發展"))))</f>
        <v/>
      </c>
      <c r="L832" s="91" t="n"/>
      <c r="M832" s="91" t="n"/>
      <c r="N832" s="88" t="n"/>
    </row>
    <row r="833" ht="15.75" customHeight="1" s="64">
      <c r="A833" s="88" t="n"/>
      <c r="B833" s="120">
        <f t="array" ref="B833:B833">IF(A833="","",IFERROR(INDEX('3.員工名單'!$B:$B,MATCH(A833,'3.員工名單'!$A:$A,0)),"查無此員工"))</f>
        <v/>
      </c>
      <c r="C833" s="120">
        <f t="array" ref="C833:C833">IF(A833="","",IFERROR(INDEX('3.員工名單'!$C:$C,MATCH(A833,'3.員工名單'!$A:$A,0)),""))</f>
        <v/>
      </c>
      <c r="D833" s="120">
        <f t="array" ref="D833:D833">IF(A833="","",IFERROR(INDEX('3.員工名單'!$D:$D,MATCH(A833,'3.員工名單'!$A:$A,0)),""))</f>
        <v/>
      </c>
      <c r="E833" s="120">
        <f t="array" ref="E833:E833">IF(F833="","",IFERROR(INDEX('1.職能辭典'!$A:$A,MATCH(F833,'1.職能辭典'!$C:$C,0)),""))</f>
        <v/>
      </c>
      <c r="F833" s="94" t="n"/>
      <c r="G833" s="120">
        <f t="array" ref="G833:G833">IF(OR(D833="",F833=""),"",IFERROR(IF(AND(OR(INDEX('1.職能辭典'!$J:$J,MATCH(F833,'1.職能辭典'!$C:$C,0))="全部",INDEX('3.員工名單'!$H:$H,MATCH(A833,'3.員工名單'!$A:$A,0))="兩款共用",INDEX('3.員工名單'!$H:$H,MATCH(A833,'3.員工名單'!$A:$A,0))=INDEX('1.職能辭典'!$J:$J,MATCH(F833,'1.職能辭典'!$C:$C,0))),OR(INDEX('1.職能辭典'!$K:$K,MATCH(F833,'1.職能辭典'!$C:$C,0))="全部",SUMPRODUCT(ISNUMBER(SEARCH({"經營","管理","財務","企劃","營運","技術","數據","美術","測試","客服"},INDEX('3.員工名單'!$I:$I,MATCH(A833,'3.員工名單'!$A:$A,0))))*ISNUMBER(SEARCH({"經營","管理","財務","企劃","營運","技術","數據","美術","測試","客服"},INDEX('1.職能辭典'!$K:$K,MATCH(F833,'1.職能辭典'!$C:$C,0)))))&gt;0)),INDEX('2.職務職能需求'!$B$2:$F$28,MATCH(F833,'2.職務職能需求'!$A$2:$A$28,0),MATCH(D833,'2.職務職能需求'!$B$1:$F$1,0)),0),""))</f>
        <v/>
      </c>
      <c r="H833" s="94" t="n"/>
      <c r="I833" s="94" t="n"/>
      <c r="J833" s="120">
        <f>IF(OR(G833="",I833="",G833=0),"",I833-G833)</f>
        <v/>
      </c>
      <c r="K833" s="120">
        <f>IF(G833="","",IF(G833=0,"不適用",IF(I833="","待評核",IF(I833&gt;=G833,IF(I833&gt;G833,"超越","達標"),"待發展"))))</f>
        <v/>
      </c>
      <c r="L833" s="91" t="n"/>
      <c r="M833" s="91" t="n"/>
      <c r="N833" s="88" t="n"/>
    </row>
    <row r="834" ht="15.75" customHeight="1" s="64">
      <c r="A834" s="88" t="n"/>
      <c r="B834" s="120">
        <f t="array" ref="B834:B834">IF(A834="","",IFERROR(INDEX('3.員工名單'!$B:$B,MATCH(A834,'3.員工名單'!$A:$A,0)),"查無此員工"))</f>
        <v/>
      </c>
      <c r="C834" s="120">
        <f t="array" ref="C834:C834">IF(A834="","",IFERROR(INDEX('3.員工名單'!$C:$C,MATCH(A834,'3.員工名單'!$A:$A,0)),""))</f>
        <v/>
      </c>
      <c r="D834" s="120">
        <f t="array" ref="D834:D834">IF(A834="","",IFERROR(INDEX('3.員工名單'!$D:$D,MATCH(A834,'3.員工名單'!$A:$A,0)),""))</f>
        <v/>
      </c>
      <c r="E834" s="120">
        <f t="array" ref="E834:E834">IF(F834="","",IFERROR(INDEX('1.職能辭典'!$A:$A,MATCH(F834,'1.職能辭典'!$C:$C,0)),""))</f>
        <v/>
      </c>
      <c r="F834" s="94" t="n"/>
      <c r="G834" s="120">
        <f t="array" ref="G834:G834">IF(OR(D834="",F834=""),"",IFERROR(IF(AND(OR(INDEX('1.職能辭典'!$J:$J,MATCH(F834,'1.職能辭典'!$C:$C,0))="全部",INDEX('3.員工名單'!$H:$H,MATCH(A834,'3.員工名單'!$A:$A,0))="兩款共用",INDEX('3.員工名單'!$H:$H,MATCH(A834,'3.員工名單'!$A:$A,0))=INDEX('1.職能辭典'!$J:$J,MATCH(F834,'1.職能辭典'!$C:$C,0))),OR(INDEX('1.職能辭典'!$K:$K,MATCH(F834,'1.職能辭典'!$C:$C,0))="全部",SUMPRODUCT(ISNUMBER(SEARCH({"經營","管理","財務","企劃","營運","技術","數據","美術","測試","客服"},INDEX('3.員工名單'!$I:$I,MATCH(A834,'3.員工名單'!$A:$A,0))))*ISNUMBER(SEARCH({"經營","管理","財務","企劃","營運","技術","數據","美術","測試","客服"},INDEX('1.職能辭典'!$K:$K,MATCH(F834,'1.職能辭典'!$C:$C,0)))))&gt;0)),INDEX('2.職務職能需求'!$B$2:$F$28,MATCH(F834,'2.職務職能需求'!$A$2:$A$28,0),MATCH(D834,'2.職務職能需求'!$B$1:$F$1,0)),0),""))</f>
        <v/>
      </c>
      <c r="H834" s="94" t="n"/>
      <c r="I834" s="94" t="n"/>
      <c r="J834" s="120">
        <f>IF(OR(G834="",I834="",G834=0),"",I834-G834)</f>
        <v/>
      </c>
      <c r="K834" s="120">
        <f>IF(G834="","",IF(G834=0,"不適用",IF(I834="","待評核",IF(I834&gt;=G834,IF(I834&gt;G834,"超越","達標"),"待發展"))))</f>
        <v/>
      </c>
      <c r="L834" s="91" t="n"/>
      <c r="M834" s="91" t="n"/>
      <c r="N834" s="88" t="n"/>
    </row>
    <row r="835" ht="15.75" customHeight="1" s="64">
      <c r="A835" s="88" t="n"/>
      <c r="B835" s="120">
        <f t="array" ref="B835:B835">IF(A835="","",IFERROR(INDEX('3.員工名單'!$B:$B,MATCH(A835,'3.員工名單'!$A:$A,0)),"查無此員工"))</f>
        <v/>
      </c>
      <c r="C835" s="120">
        <f t="array" ref="C835:C835">IF(A835="","",IFERROR(INDEX('3.員工名單'!$C:$C,MATCH(A835,'3.員工名單'!$A:$A,0)),""))</f>
        <v/>
      </c>
      <c r="D835" s="120">
        <f t="array" ref="D835:D835">IF(A835="","",IFERROR(INDEX('3.員工名單'!$D:$D,MATCH(A835,'3.員工名單'!$A:$A,0)),""))</f>
        <v/>
      </c>
      <c r="E835" s="120">
        <f t="array" ref="E835:E835">IF(F835="","",IFERROR(INDEX('1.職能辭典'!$A:$A,MATCH(F835,'1.職能辭典'!$C:$C,0)),""))</f>
        <v/>
      </c>
      <c r="F835" s="94" t="n"/>
      <c r="G835" s="120">
        <f t="array" ref="G835:G835">IF(OR(D835="",F835=""),"",IFERROR(IF(AND(OR(INDEX('1.職能辭典'!$J:$J,MATCH(F835,'1.職能辭典'!$C:$C,0))="全部",INDEX('3.員工名單'!$H:$H,MATCH(A835,'3.員工名單'!$A:$A,0))="兩款共用",INDEX('3.員工名單'!$H:$H,MATCH(A835,'3.員工名單'!$A:$A,0))=INDEX('1.職能辭典'!$J:$J,MATCH(F835,'1.職能辭典'!$C:$C,0))),OR(INDEX('1.職能辭典'!$K:$K,MATCH(F835,'1.職能辭典'!$C:$C,0))="全部",SUMPRODUCT(ISNUMBER(SEARCH({"經營","管理","財務","企劃","營運","技術","數據","美術","測試","客服"},INDEX('3.員工名單'!$I:$I,MATCH(A835,'3.員工名單'!$A:$A,0))))*ISNUMBER(SEARCH({"經營","管理","財務","企劃","營運","技術","數據","美術","測試","客服"},INDEX('1.職能辭典'!$K:$K,MATCH(F835,'1.職能辭典'!$C:$C,0)))))&gt;0)),INDEX('2.職務職能需求'!$B$2:$F$28,MATCH(F835,'2.職務職能需求'!$A$2:$A$28,0),MATCH(D835,'2.職務職能需求'!$B$1:$F$1,0)),0),""))</f>
        <v/>
      </c>
      <c r="H835" s="94" t="n"/>
      <c r="I835" s="94" t="n"/>
      <c r="J835" s="120">
        <f>IF(OR(G835="",I835="",G835=0),"",I835-G835)</f>
        <v/>
      </c>
      <c r="K835" s="120">
        <f>IF(G835="","",IF(G835=0,"不適用",IF(I835="","待評核",IF(I835&gt;=G835,IF(I835&gt;G835,"超越","達標"),"待發展"))))</f>
        <v/>
      </c>
      <c r="L835" s="91" t="n"/>
      <c r="M835" s="91" t="n"/>
      <c r="N835" s="88" t="n"/>
    </row>
    <row r="836" ht="15.75" customHeight="1" s="64">
      <c r="A836" s="88" t="n"/>
      <c r="B836" s="120">
        <f t="array" ref="B836:B836">IF(A836="","",IFERROR(INDEX('3.員工名單'!$B:$B,MATCH(A836,'3.員工名單'!$A:$A,0)),"查無此員工"))</f>
        <v/>
      </c>
      <c r="C836" s="120">
        <f t="array" ref="C836:C836">IF(A836="","",IFERROR(INDEX('3.員工名單'!$C:$C,MATCH(A836,'3.員工名單'!$A:$A,0)),""))</f>
        <v/>
      </c>
      <c r="D836" s="120">
        <f t="array" ref="D836:D836">IF(A836="","",IFERROR(INDEX('3.員工名單'!$D:$D,MATCH(A836,'3.員工名單'!$A:$A,0)),""))</f>
        <v/>
      </c>
      <c r="E836" s="120">
        <f t="array" ref="E836:E836">IF(F836="","",IFERROR(INDEX('1.職能辭典'!$A:$A,MATCH(F836,'1.職能辭典'!$C:$C,0)),""))</f>
        <v/>
      </c>
      <c r="F836" s="94" t="n"/>
      <c r="G836" s="120">
        <f t="array" ref="G836:G836">IF(OR(D836="",F836=""),"",IFERROR(IF(AND(OR(INDEX('1.職能辭典'!$J:$J,MATCH(F836,'1.職能辭典'!$C:$C,0))="全部",INDEX('3.員工名單'!$H:$H,MATCH(A836,'3.員工名單'!$A:$A,0))="兩款共用",INDEX('3.員工名單'!$H:$H,MATCH(A836,'3.員工名單'!$A:$A,0))=INDEX('1.職能辭典'!$J:$J,MATCH(F836,'1.職能辭典'!$C:$C,0))),OR(INDEX('1.職能辭典'!$K:$K,MATCH(F836,'1.職能辭典'!$C:$C,0))="全部",SUMPRODUCT(ISNUMBER(SEARCH({"經營","管理","財務","企劃","營運","技術","數據","美術","測試","客服"},INDEX('3.員工名單'!$I:$I,MATCH(A836,'3.員工名單'!$A:$A,0))))*ISNUMBER(SEARCH({"經營","管理","財務","企劃","營運","技術","數據","美術","測試","客服"},INDEX('1.職能辭典'!$K:$K,MATCH(F836,'1.職能辭典'!$C:$C,0)))))&gt;0)),INDEX('2.職務職能需求'!$B$2:$F$28,MATCH(F836,'2.職務職能需求'!$A$2:$A$28,0),MATCH(D836,'2.職務職能需求'!$B$1:$F$1,0)),0),""))</f>
        <v/>
      </c>
      <c r="H836" s="94" t="n"/>
      <c r="I836" s="94" t="n"/>
      <c r="J836" s="120">
        <f>IF(OR(G836="",I836="",G836=0),"",I836-G836)</f>
        <v/>
      </c>
      <c r="K836" s="120">
        <f>IF(G836="","",IF(G836=0,"不適用",IF(I836="","待評核",IF(I836&gt;=G836,IF(I836&gt;G836,"超越","達標"),"待發展"))))</f>
        <v/>
      </c>
      <c r="L836" s="91" t="n"/>
      <c r="M836" s="91" t="n"/>
      <c r="N836" s="88" t="n"/>
    </row>
    <row r="837" ht="15.75" customHeight="1" s="64">
      <c r="A837" s="88" t="n"/>
      <c r="B837" s="120">
        <f t="array" ref="B837:B837">IF(A837="","",IFERROR(INDEX('3.員工名單'!$B:$B,MATCH(A837,'3.員工名單'!$A:$A,0)),"查無此員工"))</f>
        <v/>
      </c>
      <c r="C837" s="120">
        <f t="array" ref="C837:C837">IF(A837="","",IFERROR(INDEX('3.員工名單'!$C:$C,MATCH(A837,'3.員工名單'!$A:$A,0)),""))</f>
        <v/>
      </c>
      <c r="D837" s="120">
        <f t="array" ref="D837:D837">IF(A837="","",IFERROR(INDEX('3.員工名單'!$D:$D,MATCH(A837,'3.員工名單'!$A:$A,0)),""))</f>
        <v/>
      </c>
      <c r="E837" s="120">
        <f t="array" ref="E837:E837">IF(F837="","",IFERROR(INDEX('1.職能辭典'!$A:$A,MATCH(F837,'1.職能辭典'!$C:$C,0)),""))</f>
        <v/>
      </c>
      <c r="F837" s="94" t="n"/>
      <c r="G837" s="120">
        <f t="array" ref="G837:G837">IF(OR(D837="",F837=""),"",IFERROR(IF(AND(OR(INDEX('1.職能辭典'!$J:$J,MATCH(F837,'1.職能辭典'!$C:$C,0))="全部",INDEX('3.員工名單'!$H:$H,MATCH(A837,'3.員工名單'!$A:$A,0))="兩款共用",INDEX('3.員工名單'!$H:$H,MATCH(A837,'3.員工名單'!$A:$A,0))=INDEX('1.職能辭典'!$J:$J,MATCH(F837,'1.職能辭典'!$C:$C,0))),OR(INDEX('1.職能辭典'!$K:$K,MATCH(F837,'1.職能辭典'!$C:$C,0))="全部",SUMPRODUCT(ISNUMBER(SEARCH({"經營","管理","財務","企劃","營運","技術","數據","美術","測試","客服"},INDEX('3.員工名單'!$I:$I,MATCH(A837,'3.員工名單'!$A:$A,0))))*ISNUMBER(SEARCH({"經營","管理","財務","企劃","營運","技術","數據","美術","測試","客服"},INDEX('1.職能辭典'!$K:$K,MATCH(F837,'1.職能辭典'!$C:$C,0)))))&gt;0)),INDEX('2.職務職能需求'!$B$2:$F$28,MATCH(F837,'2.職務職能需求'!$A$2:$A$28,0),MATCH(D837,'2.職務職能需求'!$B$1:$F$1,0)),0),""))</f>
        <v/>
      </c>
      <c r="H837" s="94" t="n"/>
      <c r="I837" s="94" t="n"/>
      <c r="J837" s="120">
        <f>IF(OR(G837="",I837="",G837=0),"",I837-G837)</f>
        <v/>
      </c>
      <c r="K837" s="120">
        <f>IF(G837="","",IF(G837=0,"不適用",IF(I837="","待評核",IF(I837&gt;=G837,IF(I837&gt;G837,"超越","達標"),"待發展"))))</f>
        <v/>
      </c>
      <c r="L837" s="91" t="n"/>
      <c r="M837" s="91" t="n"/>
      <c r="N837" s="88" t="n"/>
    </row>
    <row r="838" ht="15.75" customHeight="1" s="64">
      <c r="A838" s="88" t="n"/>
      <c r="B838" s="120">
        <f t="array" ref="B838:B838">IF(A838="","",IFERROR(INDEX('3.員工名單'!$B:$B,MATCH(A838,'3.員工名單'!$A:$A,0)),"查無此員工"))</f>
        <v/>
      </c>
      <c r="C838" s="120">
        <f t="array" ref="C838:C838">IF(A838="","",IFERROR(INDEX('3.員工名單'!$C:$C,MATCH(A838,'3.員工名單'!$A:$A,0)),""))</f>
        <v/>
      </c>
      <c r="D838" s="120">
        <f t="array" ref="D838:D838">IF(A838="","",IFERROR(INDEX('3.員工名單'!$D:$D,MATCH(A838,'3.員工名單'!$A:$A,0)),""))</f>
        <v/>
      </c>
      <c r="E838" s="120">
        <f t="array" ref="E838:E838">IF(F838="","",IFERROR(INDEX('1.職能辭典'!$A:$A,MATCH(F838,'1.職能辭典'!$C:$C,0)),""))</f>
        <v/>
      </c>
      <c r="F838" s="94" t="n"/>
      <c r="G838" s="120">
        <f t="array" ref="G838:G838">IF(OR(D838="",F838=""),"",IFERROR(IF(AND(OR(INDEX('1.職能辭典'!$J:$J,MATCH(F838,'1.職能辭典'!$C:$C,0))="全部",INDEX('3.員工名單'!$H:$H,MATCH(A838,'3.員工名單'!$A:$A,0))="兩款共用",INDEX('3.員工名單'!$H:$H,MATCH(A838,'3.員工名單'!$A:$A,0))=INDEX('1.職能辭典'!$J:$J,MATCH(F838,'1.職能辭典'!$C:$C,0))),OR(INDEX('1.職能辭典'!$K:$K,MATCH(F838,'1.職能辭典'!$C:$C,0))="全部",SUMPRODUCT(ISNUMBER(SEARCH({"經營","管理","財務","企劃","營運","技術","數據","美術","測試","客服"},INDEX('3.員工名單'!$I:$I,MATCH(A838,'3.員工名單'!$A:$A,0))))*ISNUMBER(SEARCH({"經營","管理","財務","企劃","營運","技術","數據","美術","測試","客服"},INDEX('1.職能辭典'!$K:$K,MATCH(F838,'1.職能辭典'!$C:$C,0)))))&gt;0)),INDEX('2.職務職能需求'!$B$2:$F$28,MATCH(F838,'2.職務職能需求'!$A$2:$A$28,0),MATCH(D838,'2.職務職能需求'!$B$1:$F$1,0)),0),""))</f>
        <v/>
      </c>
      <c r="H838" s="94" t="n"/>
      <c r="I838" s="94" t="n"/>
      <c r="J838" s="120">
        <f>IF(OR(G838="",I838="",G838=0),"",I838-G838)</f>
        <v/>
      </c>
      <c r="K838" s="120">
        <f>IF(G838="","",IF(G838=0,"不適用",IF(I838="","待評核",IF(I838&gt;=G838,IF(I838&gt;G838,"超越","達標"),"待發展"))))</f>
        <v/>
      </c>
      <c r="L838" s="91" t="n"/>
      <c r="M838" s="91" t="n"/>
      <c r="N838" s="88" t="n"/>
    </row>
    <row r="839" ht="15.75" customHeight="1" s="64">
      <c r="A839" s="88" t="n"/>
      <c r="B839" s="120">
        <f t="array" ref="B839:B839">IF(A839="","",IFERROR(INDEX('3.員工名單'!$B:$B,MATCH(A839,'3.員工名單'!$A:$A,0)),"查無此員工"))</f>
        <v/>
      </c>
      <c r="C839" s="120">
        <f t="array" ref="C839:C839">IF(A839="","",IFERROR(INDEX('3.員工名單'!$C:$C,MATCH(A839,'3.員工名單'!$A:$A,0)),""))</f>
        <v/>
      </c>
      <c r="D839" s="120">
        <f t="array" ref="D839:D839">IF(A839="","",IFERROR(INDEX('3.員工名單'!$D:$D,MATCH(A839,'3.員工名單'!$A:$A,0)),""))</f>
        <v/>
      </c>
      <c r="E839" s="120">
        <f t="array" ref="E839:E839">IF(F839="","",IFERROR(INDEX('1.職能辭典'!$A:$A,MATCH(F839,'1.職能辭典'!$C:$C,0)),""))</f>
        <v/>
      </c>
      <c r="F839" s="94" t="n"/>
      <c r="G839" s="120">
        <f t="array" ref="G839:G839">IF(OR(D839="",F839=""),"",IFERROR(IF(AND(OR(INDEX('1.職能辭典'!$J:$J,MATCH(F839,'1.職能辭典'!$C:$C,0))="全部",INDEX('3.員工名單'!$H:$H,MATCH(A839,'3.員工名單'!$A:$A,0))="兩款共用",INDEX('3.員工名單'!$H:$H,MATCH(A839,'3.員工名單'!$A:$A,0))=INDEX('1.職能辭典'!$J:$J,MATCH(F839,'1.職能辭典'!$C:$C,0))),OR(INDEX('1.職能辭典'!$K:$K,MATCH(F839,'1.職能辭典'!$C:$C,0))="全部",SUMPRODUCT(ISNUMBER(SEARCH({"經營","管理","財務","企劃","營運","技術","數據","美術","測試","客服"},INDEX('3.員工名單'!$I:$I,MATCH(A839,'3.員工名單'!$A:$A,0))))*ISNUMBER(SEARCH({"經營","管理","財務","企劃","營運","技術","數據","美術","測試","客服"},INDEX('1.職能辭典'!$K:$K,MATCH(F839,'1.職能辭典'!$C:$C,0)))))&gt;0)),INDEX('2.職務職能需求'!$B$2:$F$28,MATCH(F839,'2.職務職能需求'!$A$2:$A$28,0),MATCH(D839,'2.職務職能需求'!$B$1:$F$1,0)),0),""))</f>
        <v/>
      </c>
      <c r="H839" s="94" t="n"/>
      <c r="I839" s="94" t="n"/>
      <c r="J839" s="120">
        <f>IF(OR(G839="",I839="",G839=0),"",I839-G839)</f>
        <v/>
      </c>
      <c r="K839" s="120">
        <f>IF(G839="","",IF(G839=0,"不適用",IF(I839="","待評核",IF(I839&gt;=G839,IF(I839&gt;G839,"超越","達標"),"待發展"))))</f>
        <v/>
      </c>
      <c r="L839" s="91" t="n"/>
      <c r="M839" s="91" t="n"/>
      <c r="N839" s="88" t="n"/>
    </row>
    <row r="840" ht="15.75" customHeight="1" s="64">
      <c r="A840" s="88" t="n"/>
      <c r="B840" s="120">
        <f t="array" ref="B840:B840">IF(A840="","",IFERROR(INDEX('3.員工名單'!$B:$B,MATCH(A840,'3.員工名單'!$A:$A,0)),"查無此員工"))</f>
        <v/>
      </c>
      <c r="C840" s="120">
        <f t="array" ref="C840:C840">IF(A840="","",IFERROR(INDEX('3.員工名單'!$C:$C,MATCH(A840,'3.員工名單'!$A:$A,0)),""))</f>
        <v/>
      </c>
      <c r="D840" s="120">
        <f t="array" ref="D840:D840">IF(A840="","",IFERROR(INDEX('3.員工名單'!$D:$D,MATCH(A840,'3.員工名單'!$A:$A,0)),""))</f>
        <v/>
      </c>
      <c r="E840" s="120">
        <f t="array" ref="E840:E840">IF(F840="","",IFERROR(INDEX('1.職能辭典'!$A:$A,MATCH(F840,'1.職能辭典'!$C:$C,0)),""))</f>
        <v/>
      </c>
      <c r="F840" s="94" t="n"/>
      <c r="G840" s="120">
        <f t="array" ref="G840:G840">IF(OR(D840="",F840=""),"",IFERROR(IF(AND(OR(INDEX('1.職能辭典'!$J:$J,MATCH(F840,'1.職能辭典'!$C:$C,0))="全部",INDEX('3.員工名單'!$H:$H,MATCH(A840,'3.員工名單'!$A:$A,0))="兩款共用",INDEX('3.員工名單'!$H:$H,MATCH(A840,'3.員工名單'!$A:$A,0))=INDEX('1.職能辭典'!$J:$J,MATCH(F840,'1.職能辭典'!$C:$C,0))),OR(INDEX('1.職能辭典'!$K:$K,MATCH(F840,'1.職能辭典'!$C:$C,0))="全部",SUMPRODUCT(ISNUMBER(SEARCH({"經營","管理","財務","企劃","營運","技術","數據","美術","測試","客服"},INDEX('3.員工名單'!$I:$I,MATCH(A840,'3.員工名單'!$A:$A,0))))*ISNUMBER(SEARCH({"經營","管理","財務","企劃","營運","技術","數據","美術","測試","客服"},INDEX('1.職能辭典'!$K:$K,MATCH(F840,'1.職能辭典'!$C:$C,0)))))&gt;0)),INDEX('2.職務職能需求'!$B$2:$F$28,MATCH(F840,'2.職務職能需求'!$A$2:$A$28,0),MATCH(D840,'2.職務職能需求'!$B$1:$F$1,0)),0),""))</f>
        <v/>
      </c>
      <c r="H840" s="94" t="n"/>
      <c r="I840" s="94" t="n"/>
      <c r="J840" s="120">
        <f>IF(OR(G840="",I840="",G840=0),"",I840-G840)</f>
        <v/>
      </c>
      <c r="K840" s="120">
        <f>IF(G840="","",IF(G840=0,"不適用",IF(I840="","待評核",IF(I840&gt;=G840,IF(I840&gt;G840,"超越","達標"),"待發展"))))</f>
        <v/>
      </c>
      <c r="L840" s="91" t="n"/>
      <c r="M840" s="91" t="n"/>
      <c r="N840" s="88" t="n"/>
    </row>
    <row r="841" ht="15.75" customHeight="1" s="64">
      <c r="A841" s="88" t="n"/>
      <c r="B841" s="120">
        <f t="array" ref="B841:B841">IF(A841="","",IFERROR(INDEX('3.員工名單'!$B:$B,MATCH(A841,'3.員工名單'!$A:$A,0)),"查無此員工"))</f>
        <v/>
      </c>
      <c r="C841" s="120">
        <f t="array" ref="C841:C841">IF(A841="","",IFERROR(INDEX('3.員工名單'!$C:$C,MATCH(A841,'3.員工名單'!$A:$A,0)),""))</f>
        <v/>
      </c>
      <c r="D841" s="120">
        <f t="array" ref="D841:D841">IF(A841="","",IFERROR(INDEX('3.員工名單'!$D:$D,MATCH(A841,'3.員工名單'!$A:$A,0)),""))</f>
        <v/>
      </c>
      <c r="E841" s="120">
        <f t="array" ref="E841:E841">IF(F841="","",IFERROR(INDEX('1.職能辭典'!$A:$A,MATCH(F841,'1.職能辭典'!$C:$C,0)),""))</f>
        <v/>
      </c>
      <c r="F841" s="94" t="n"/>
      <c r="G841" s="120">
        <f t="array" ref="G841:G841">IF(OR(D841="",F841=""),"",IFERROR(IF(AND(OR(INDEX('1.職能辭典'!$J:$J,MATCH(F841,'1.職能辭典'!$C:$C,0))="全部",INDEX('3.員工名單'!$H:$H,MATCH(A841,'3.員工名單'!$A:$A,0))="兩款共用",INDEX('3.員工名單'!$H:$H,MATCH(A841,'3.員工名單'!$A:$A,0))=INDEX('1.職能辭典'!$J:$J,MATCH(F841,'1.職能辭典'!$C:$C,0))),OR(INDEX('1.職能辭典'!$K:$K,MATCH(F841,'1.職能辭典'!$C:$C,0))="全部",SUMPRODUCT(ISNUMBER(SEARCH({"經營","管理","財務","企劃","營運","技術","數據","美術","測試","客服"},INDEX('3.員工名單'!$I:$I,MATCH(A841,'3.員工名單'!$A:$A,0))))*ISNUMBER(SEARCH({"經營","管理","財務","企劃","營運","技術","數據","美術","測試","客服"},INDEX('1.職能辭典'!$K:$K,MATCH(F841,'1.職能辭典'!$C:$C,0)))))&gt;0)),INDEX('2.職務職能需求'!$B$2:$F$28,MATCH(F841,'2.職務職能需求'!$A$2:$A$28,0),MATCH(D841,'2.職務職能需求'!$B$1:$F$1,0)),0),""))</f>
        <v/>
      </c>
      <c r="H841" s="94" t="n"/>
      <c r="I841" s="94" t="n"/>
      <c r="J841" s="120">
        <f>IF(OR(G841="",I841="",G841=0),"",I841-G841)</f>
        <v/>
      </c>
      <c r="K841" s="120">
        <f>IF(G841="","",IF(G841=0,"不適用",IF(I841="","待評核",IF(I841&gt;=G841,IF(I841&gt;G841,"超越","達標"),"待發展"))))</f>
        <v/>
      </c>
      <c r="L841" s="91" t="n"/>
      <c r="M841" s="91" t="n"/>
      <c r="N841" s="88" t="n"/>
    </row>
    <row r="842" ht="15.75" customHeight="1" s="64">
      <c r="A842" s="88" t="n"/>
      <c r="B842" s="120">
        <f t="array" ref="B842:B842">IF(A842="","",IFERROR(INDEX('3.員工名單'!$B:$B,MATCH(A842,'3.員工名單'!$A:$A,0)),"查無此員工"))</f>
        <v/>
      </c>
      <c r="C842" s="120">
        <f t="array" ref="C842:C842">IF(A842="","",IFERROR(INDEX('3.員工名單'!$C:$C,MATCH(A842,'3.員工名單'!$A:$A,0)),""))</f>
        <v/>
      </c>
      <c r="D842" s="120">
        <f t="array" ref="D842:D842">IF(A842="","",IFERROR(INDEX('3.員工名單'!$D:$D,MATCH(A842,'3.員工名單'!$A:$A,0)),""))</f>
        <v/>
      </c>
      <c r="E842" s="120">
        <f t="array" ref="E842:E842">IF(F842="","",IFERROR(INDEX('1.職能辭典'!$A:$A,MATCH(F842,'1.職能辭典'!$C:$C,0)),""))</f>
        <v/>
      </c>
      <c r="F842" s="94" t="n"/>
      <c r="G842" s="120">
        <f t="array" ref="G842:G842">IF(OR(D842="",F842=""),"",IFERROR(IF(AND(OR(INDEX('1.職能辭典'!$J:$J,MATCH(F842,'1.職能辭典'!$C:$C,0))="全部",INDEX('3.員工名單'!$H:$H,MATCH(A842,'3.員工名單'!$A:$A,0))="兩款共用",INDEX('3.員工名單'!$H:$H,MATCH(A842,'3.員工名單'!$A:$A,0))=INDEX('1.職能辭典'!$J:$J,MATCH(F842,'1.職能辭典'!$C:$C,0))),OR(INDEX('1.職能辭典'!$K:$K,MATCH(F842,'1.職能辭典'!$C:$C,0))="全部",SUMPRODUCT(ISNUMBER(SEARCH({"經營","管理","財務","企劃","營運","技術","數據","美術","測試","客服"},INDEX('3.員工名單'!$I:$I,MATCH(A842,'3.員工名單'!$A:$A,0))))*ISNUMBER(SEARCH({"經營","管理","財務","企劃","營運","技術","數據","美術","測試","客服"},INDEX('1.職能辭典'!$K:$K,MATCH(F842,'1.職能辭典'!$C:$C,0)))))&gt;0)),INDEX('2.職務職能需求'!$B$2:$F$28,MATCH(F842,'2.職務職能需求'!$A$2:$A$28,0),MATCH(D842,'2.職務職能需求'!$B$1:$F$1,0)),0),""))</f>
        <v/>
      </c>
      <c r="H842" s="94" t="n"/>
      <c r="I842" s="94" t="n"/>
      <c r="J842" s="120">
        <f>IF(OR(G842="",I842="",G842=0),"",I842-G842)</f>
        <v/>
      </c>
      <c r="K842" s="120">
        <f>IF(G842="","",IF(G842=0,"不適用",IF(I842="","待評核",IF(I842&gt;=G842,IF(I842&gt;G842,"超越","達標"),"待發展"))))</f>
        <v/>
      </c>
      <c r="L842" s="91" t="n"/>
      <c r="M842" s="91" t="n"/>
      <c r="N842" s="88" t="n"/>
    </row>
    <row r="843" ht="15.75" customHeight="1" s="64">
      <c r="A843" s="88" t="n"/>
      <c r="B843" s="120">
        <f t="array" ref="B843:B843">IF(A843="","",IFERROR(INDEX('3.員工名單'!$B:$B,MATCH(A843,'3.員工名單'!$A:$A,0)),"查無此員工"))</f>
        <v/>
      </c>
      <c r="C843" s="120">
        <f t="array" ref="C843:C843">IF(A843="","",IFERROR(INDEX('3.員工名單'!$C:$C,MATCH(A843,'3.員工名單'!$A:$A,0)),""))</f>
        <v/>
      </c>
      <c r="D843" s="120">
        <f t="array" ref="D843:D843">IF(A843="","",IFERROR(INDEX('3.員工名單'!$D:$D,MATCH(A843,'3.員工名單'!$A:$A,0)),""))</f>
        <v/>
      </c>
      <c r="E843" s="120">
        <f t="array" ref="E843:E843">IF(F843="","",IFERROR(INDEX('1.職能辭典'!$A:$A,MATCH(F843,'1.職能辭典'!$C:$C,0)),""))</f>
        <v/>
      </c>
      <c r="F843" s="94" t="n"/>
      <c r="G843" s="120">
        <f t="array" ref="G843:G843">IF(OR(D843="",F843=""),"",IFERROR(IF(AND(OR(INDEX('1.職能辭典'!$J:$J,MATCH(F843,'1.職能辭典'!$C:$C,0))="全部",INDEX('3.員工名單'!$H:$H,MATCH(A843,'3.員工名單'!$A:$A,0))="兩款共用",INDEX('3.員工名單'!$H:$H,MATCH(A843,'3.員工名單'!$A:$A,0))=INDEX('1.職能辭典'!$J:$J,MATCH(F843,'1.職能辭典'!$C:$C,0))),OR(INDEX('1.職能辭典'!$K:$K,MATCH(F843,'1.職能辭典'!$C:$C,0))="全部",SUMPRODUCT(ISNUMBER(SEARCH({"經營","管理","財務","企劃","營運","技術","數據","美術","測試","客服"},INDEX('3.員工名單'!$I:$I,MATCH(A843,'3.員工名單'!$A:$A,0))))*ISNUMBER(SEARCH({"經營","管理","財務","企劃","營運","技術","數據","美術","測試","客服"},INDEX('1.職能辭典'!$K:$K,MATCH(F843,'1.職能辭典'!$C:$C,0)))))&gt;0)),INDEX('2.職務職能需求'!$B$2:$F$28,MATCH(F843,'2.職務職能需求'!$A$2:$A$28,0),MATCH(D843,'2.職務職能需求'!$B$1:$F$1,0)),0),""))</f>
        <v/>
      </c>
      <c r="H843" s="94" t="n"/>
      <c r="I843" s="94" t="n"/>
      <c r="J843" s="120">
        <f>IF(OR(G843="",I843="",G843=0),"",I843-G843)</f>
        <v/>
      </c>
      <c r="K843" s="120">
        <f>IF(G843="","",IF(G843=0,"不適用",IF(I843="","待評核",IF(I843&gt;=G843,IF(I843&gt;G843,"超越","達標"),"待發展"))))</f>
        <v/>
      </c>
      <c r="L843" s="91" t="n"/>
      <c r="M843" s="91" t="n"/>
      <c r="N843" s="88" t="n"/>
    </row>
    <row r="844" ht="15.75" customHeight="1" s="64">
      <c r="A844" s="88" t="n"/>
      <c r="B844" s="120">
        <f t="array" ref="B844:B844">IF(A844="","",IFERROR(INDEX('3.員工名單'!$B:$B,MATCH(A844,'3.員工名單'!$A:$A,0)),"查無此員工"))</f>
        <v/>
      </c>
      <c r="C844" s="120">
        <f t="array" ref="C844:C844">IF(A844="","",IFERROR(INDEX('3.員工名單'!$C:$C,MATCH(A844,'3.員工名單'!$A:$A,0)),""))</f>
        <v/>
      </c>
      <c r="D844" s="120">
        <f t="array" ref="D844:D844">IF(A844="","",IFERROR(INDEX('3.員工名單'!$D:$D,MATCH(A844,'3.員工名單'!$A:$A,0)),""))</f>
        <v/>
      </c>
      <c r="E844" s="120">
        <f t="array" ref="E844:E844">IF(F844="","",IFERROR(INDEX('1.職能辭典'!$A:$A,MATCH(F844,'1.職能辭典'!$C:$C,0)),""))</f>
        <v/>
      </c>
      <c r="F844" s="94" t="n"/>
      <c r="G844" s="120">
        <f t="array" ref="G844:G844">IF(OR(D844="",F844=""),"",IFERROR(IF(AND(OR(INDEX('1.職能辭典'!$J:$J,MATCH(F844,'1.職能辭典'!$C:$C,0))="全部",INDEX('3.員工名單'!$H:$H,MATCH(A844,'3.員工名單'!$A:$A,0))="兩款共用",INDEX('3.員工名單'!$H:$H,MATCH(A844,'3.員工名單'!$A:$A,0))=INDEX('1.職能辭典'!$J:$J,MATCH(F844,'1.職能辭典'!$C:$C,0))),OR(INDEX('1.職能辭典'!$K:$K,MATCH(F844,'1.職能辭典'!$C:$C,0))="全部",SUMPRODUCT(ISNUMBER(SEARCH({"經營","管理","財務","企劃","營運","技術","數據","美術","測試","客服"},INDEX('3.員工名單'!$I:$I,MATCH(A844,'3.員工名單'!$A:$A,0))))*ISNUMBER(SEARCH({"經營","管理","財務","企劃","營運","技術","數據","美術","測試","客服"},INDEX('1.職能辭典'!$K:$K,MATCH(F844,'1.職能辭典'!$C:$C,0)))))&gt;0)),INDEX('2.職務職能需求'!$B$2:$F$28,MATCH(F844,'2.職務職能需求'!$A$2:$A$28,0),MATCH(D844,'2.職務職能需求'!$B$1:$F$1,0)),0),""))</f>
        <v/>
      </c>
      <c r="H844" s="94" t="n"/>
      <c r="I844" s="94" t="n"/>
      <c r="J844" s="120">
        <f>IF(OR(G844="",I844="",G844=0),"",I844-G844)</f>
        <v/>
      </c>
      <c r="K844" s="120">
        <f>IF(G844="","",IF(G844=0,"不適用",IF(I844="","待評核",IF(I844&gt;=G844,IF(I844&gt;G844,"超越","達標"),"待發展"))))</f>
        <v/>
      </c>
      <c r="L844" s="91" t="n"/>
      <c r="M844" s="91" t="n"/>
      <c r="N844" s="88" t="n"/>
    </row>
    <row r="845" ht="15.75" customHeight="1" s="64">
      <c r="A845" s="88" t="n"/>
      <c r="B845" s="120">
        <f t="array" ref="B845:B845">IF(A845="","",IFERROR(INDEX('3.員工名單'!$B:$B,MATCH(A845,'3.員工名單'!$A:$A,0)),"查無此員工"))</f>
        <v/>
      </c>
      <c r="C845" s="120">
        <f t="array" ref="C845:C845">IF(A845="","",IFERROR(INDEX('3.員工名單'!$C:$C,MATCH(A845,'3.員工名單'!$A:$A,0)),""))</f>
        <v/>
      </c>
      <c r="D845" s="120">
        <f t="array" ref="D845:D845">IF(A845="","",IFERROR(INDEX('3.員工名單'!$D:$D,MATCH(A845,'3.員工名單'!$A:$A,0)),""))</f>
        <v/>
      </c>
      <c r="E845" s="120">
        <f t="array" ref="E845:E845">IF(F845="","",IFERROR(INDEX('1.職能辭典'!$A:$A,MATCH(F845,'1.職能辭典'!$C:$C,0)),""))</f>
        <v/>
      </c>
      <c r="F845" s="94" t="n"/>
      <c r="G845" s="120">
        <f t="array" ref="G845:G845">IF(OR(D845="",F845=""),"",IFERROR(IF(AND(OR(INDEX('1.職能辭典'!$J:$J,MATCH(F845,'1.職能辭典'!$C:$C,0))="全部",INDEX('3.員工名單'!$H:$H,MATCH(A845,'3.員工名單'!$A:$A,0))="兩款共用",INDEX('3.員工名單'!$H:$H,MATCH(A845,'3.員工名單'!$A:$A,0))=INDEX('1.職能辭典'!$J:$J,MATCH(F845,'1.職能辭典'!$C:$C,0))),OR(INDEX('1.職能辭典'!$K:$K,MATCH(F845,'1.職能辭典'!$C:$C,0))="全部",SUMPRODUCT(ISNUMBER(SEARCH({"經營","管理","財務","企劃","營運","技術","數據","美術","測試","客服"},INDEX('3.員工名單'!$I:$I,MATCH(A845,'3.員工名單'!$A:$A,0))))*ISNUMBER(SEARCH({"經營","管理","財務","企劃","營運","技術","數據","美術","測試","客服"},INDEX('1.職能辭典'!$K:$K,MATCH(F845,'1.職能辭典'!$C:$C,0)))))&gt;0)),INDEX('2.職務職能需求'!$B$2:$F$28,MATCH(F845,'2.職務職能需求'!$A$2:$A$28,0),MATCH(D845,'2.職務職能需求'!$B$1:$F$1,0)),0),""))</f>
        <v/>
      </c>
      <c r="H845" s="94" t="n"/>
      <c r="I845" s="94" t="n"/>
      <c r="J845" s="120">
        <f>IF(OR(G845="",I845="",G845=0),"",I845-G845)</f>
        <v/>
      </c>
      <c r="K845" s="120">
        <f>IF(G845="","",IF(G845=0,"不適用",IF(I845="","待評核",IF(I845&gt;=G845,IF(I845&gt;G845,"超越","達標"),"待發展"))))</f>
        <v/>
      </c>
      <c r="L845" s="91" t="n"/>
      <c r="M845" s="91" t="n"/>
      <c r="N845" s="88" t="n"/>
    </row>
    <row r="846" ht="15.75" customHeight="1" s="64">
      <c r="A846" s="88" t="n"/>
      <c r="B846" s="120">
        <f t="array" ref="B846:B846">IF(A846="","",IFERROR(INDEX('3.員工名單'!$B:$B,MATCH(A846,'3.員工名單'!$A:$A,0)),"查無此員工"))</f>
        <v/>
      </c>
      <c r="C846" s="120">
        <f t="array" ref="C846:C846">IF(A846="","",IFERROR(INDEX('3.員工名單'!$C:$C,MATCH(A846,'3.員工名單'!$A:$A,0)),""))</f>
        <v/>
      </c>
      <c r="D846" s="120">
        <f t="array" ref="D846:D846">IF(A846="","",IFERROR(INDEX('3.員工名單'!$D:$D,MATCH(A846,'3.員工名單'!$A:$A,0)),""))</f>
        <v/>
      </c>
      <c r="E846" s="120">
        <f t="array" ref="E846:E846">IF(F846="","",IFERROR(INDEX('1.職能辭典'!$A:$A,MATCH(F846,'1.職能辭典'!$C:$C,0)),""))</f>
        <v/>
      </c>
      <c r="F846" s="94" t="n"/>
      <c r="G846" s="120">
        <f t="array" ref="G846:G846">IF(OR(D846="",F846=""),"",IFERROR(IF(AND(OR(INDEX('1.職能辭典'!$J:$J,MATCH(F846,'1.職能辭典'!$C:$C,0))="全部",INDEX('3.員工名單'!$H:$H,MATCH(A846,'3.員工名單'!$A:$A,0))="兩款共用",INDEX('3.員工名單'!$H:$H,MATCH(A846,'3.員工名單'!$A:$A,0))=INDEX('1.職能辭典'!$J:$J,MATCH(F846,'1.職能辭典'!$C:$C,0))),OR(INDEX('1.職能辭典'!$K:$K,MATCH(F846,'1.職能辭典'!$C:$C,0))="全部",SUMPRODUCT(ISNUMBER(SEARCH({"經營","管理","財務","企劃","營運","技術","數據","美術","測試","客服"},INDEX('3.員工名單'!$I:$I,MATCH(A846,'3.員工名單'!$A:$A,0))))*ISNUMBER(SEARCH({"經營","管理","財務","企劃","營運","技術","數據","美術","測試","客服"},INDEX('1.職能辭典'!$K:$K,MATCH(F846,'1.職能辭典'!$C:$C,0)))))&gt;0)),INDEX('2.職務職能需求'!$B$2:$F$28,MATCH(F846,'2.職務職能需求'!$A$2:$A$28,0),MATCH(D846,'2.職務職能需求'!$B$1:$F$1,0)),0),""))</f>
        <v/>
      </c>
      <c r="H846" s="94" t="n"/>
      <c r="I846" s="94" t="n"/>
      <c r="J846" s="120">
        <f>IF(OR(G846="",I846="",G846=0),"",I846-G846)</f>
        <v/>
      </c>
      <c r="K846" s="120">
        <f>IF(G846="","",IF(G846=0,"不適用",IF(I846="","待評核",IF(I846&gt;=G846,IF(I846&gt;G846,"超越","達標"),"待發展"))))</f>
        <v/>
      </c>
      <c r="L846" s="91" t="n"/>
      <c r="M846" s="91" t="n"/>
      <c r="N846" s="88" t="n"/>
    </row>
    <row r="847" ht="15.75" customHeight="1" s="64">
      <c r="A847" s="88" t="n"/>
      <c r="B847" s="120">
        <f t="array" ref="B847:B847">IF(A847="","",IFERROR(INDEX('3.員工名單'!$B:$B,MATCH(A847,'3.員工名單'!$A:$A,0)),"查無此員工"))</f>
        <v/>
      </c>
      <c r="C847" s="120">
        <f t="array" ref="C847:C847">IF(A847="","",IFERROR(INDEX('3.員工名單'!$C:$C,MATCH(A847,'3.員工名單'!$A:$A,0)),""))</f>
        <v/>
      </c>
      <c r="D847" s="120">
        <f t="array" ref="D847:D847">IF(A847="","",IFERROR(INDEX('3.員工名單'!$D:$D,MATCH(A847,'3.員工名單'!$A:$A,0)),""))</f>
        <v/>
      </c>
      <c r="E847" s="120">
        <f t="array" ref="E847:E847">IF(F847="","",IFERROR(INDEX('1.職能辭典'!$A:$A,MATCH(F847,'1.職能辭典'!$C:$C,0)),""))</f>
        <v/>
      </c>
      <c r="F847" s="94" t="n"/>
      <c r="G847" s="120">
        <f t="array" ref="G847:G847">IF(OR(D847="",F847=""),"",IFERROR(IF(AND(OR(INDEX('1.職能辭典'!$J:$J,MATCH(F847,'1.職能辭典'!$C:$C,0))="全部",INDEX('3.員工名單'!$H:$H,MATCH(A847,'3.員工名單'!$A:$A,0))="兩款共用",INDEX('3.員工名單'!$H:$H,MATCH(A847,'3.員工名單'!$A:$A,0))=INDEX('1.職能辭典'!$J:$J,MATCH(F847,'1.職能辭典'!$C:$C,0))),OR(INDEX('1.職能辭典'!$K:$K,MATCH(F847,'1.職能辭典'!$C:$C,0))="全部",SUMPRODUCT(ISNUMBER(SEARCH({"經營","管理","財務","企劃","營運","技術","數據","美術","測試","客服"},INDEX('3.員工名單'!$I:$I,MATCH(A847,'3.員工名單'!$A:$A,0))))*ISNUMBER(SEARCH({"經營","管理","財務","企劃","營運","技術","數據","美術","測試","客服"},INDEX('1.職能辭典'!$K:$K,MATCH(F847,'1.職能辭典'!$C:$C,0)))))&gt;0)),INDEX('2.職務職能需求'!$B$2:$F$28,MATCH(F847,'2.職務職能需求'!$A$2:$A$28,0),MATCH(D847,'2.職務職能需求'!$B$1:$F$1,0)),0),""))</f>
        <v/>
      </c>
      <c r="H847" s="94" t="n"/>
      <c r="I847" s="94" t="n"/>
      <c r="J847" s="120">
        <f>IF(OR(G847="",I847="",G847=0),"",I847-G847)</f>
        <v/>
      </c>
      <c r="K847" s="120">
        <f>IF(G847="","",IF(G847=0,"不適用",IF(I847="","待評核",IF(I847&gt;=G847,IF(I847&gt;G847,"超越","達標"),"待發展"))))</f>
        <v/>
      </c>
      <c r="L847" s="91" t="n"/>
      <c r="M847" s="91" t="n"/>
      <c r="N847" s="88" t="n"/>
    </row>
    <row r="848" ht="15.75" customHeight="1" s="64">
      <c r="A848" s="88" t="n"/>
      <c r="B848" s="120">
        <f t="array" ref="B848:B848">IF(A848="","",IFERROR(INDEX('3.員工名單'!$B:$B,MATCH(A848,'3.員工名單'!$A:$A,0)),"查無此員工"))</f>
        <v/>
      </c>
      <c r="C848" s="120">
        <f t="array" ref="C848:C848">IF(A848="","",IFERROR(INDEX('3.員工名單'!$C:$C,MATCH(A848,'3.員工名單'!$A:$A,0)),""))</f>
        <v/>
      </c>
      <c r="D848" s="120">
        <f t="array" ref="D848:D848">IF(A848="","",IFERROR(INDEX('3.員工名單'!$D:$D,MATCH(A848,'3.員工名單'!$A:$A,0)),""))</f>
        <v/>
      </c>
      <c r="E848" s="120">
        <f t="array" ref="E848:E848">IF(F848="","",IFERROR(INDEX('1.職能辭典'!$A:$A,MATCH(F848,'1.職能辭典'!$C:$C,0)),""))</f>
        <v/>
      </c>
      <c r="F848" s="94" t="n"/>
      <c r="G848" s="120">
        <f t="array" ref="G848:G848">IF(OR(D848="",F848=""),"",IFERROR(IF(AND(OR(INDEX('1.職能辭典'!$J:$J,MATCH(F848,'1.職能辭典'!$C:$C,0))="全部",INDEX('3.員工名單'!$H:$H,MATCH(A848,'3.員工名單'!$A:$A,0))="兩款共用",INDEX('3.員工名單'!$H:$H,MATCH(A848,'3.員工名單'!$A:$A,0))=INDEX('1.職能辭典'!$J:$J,MATCH(F848,'1.職能辭典'!$C:$C,0))),OR(INDEX('1.職能辭典'!$K:$K,MATCH(F848,'1.職能辭典'!$C:$C,0))="全部",SUMPRODUCT(ISNUMBER(SEARCH({"經營","管理","財務","企劃","營運","技術","數據","美術","測試","客服"},INDEX('3.員工名單'!$I:$I,MATCH(A848,'3.員工名單'!$A:$A,0))))*ISNUMBER(SEARCH({"經營","管理","財務","企劃","營運","技術","數據","美術","測試","客服"},INDEX('1.職能辭典'!$K:$K,MATCH(F848,'1.職能辭典'!$C:$C,0)))))&gt;0)),INDEX('2.職務職能需求'!$B$2:$F$28,MATCH(F848,'2.職務職能需求'!$A$2:$A$28,0),MATCH(D848,'2.職務職能需求'!$B$1:$F$1,0)),0),""))</f>
        <v/>
      </c>
      <c r="H848" s="94" t="n"/>
      <c r="I848" s="94" t="n"/>
      <c r="J848" s="120">
        <f>IF(OR(G848="",I848="",G848=0),"",I848-G848)</f>
        <v/>
      </c>
      <c r="K848" s="120">
        <f>IF(G848="","",IF(G848=0,"不適用",IF(I848="","待評核",IF(I848&gt;=G848,IF(I848&gt;G848,"超越","達標"),"待發展"))))</f>
        <v/>
      </c>
      <c r="L848" s="91" t="n"/>
      <c r="M848" s="91" t="n"/>
      <c r="N848" s="88" t="n"/>
    </row>
    <row r="849" ht="15.75" customHeight="1" s="64">
      <c r="A849" s="88" t="n"/>
      <c r="B849" s="120">
        <f t="array" ref="B849:B849">IF(A849="","",IFERROR(INDEX('3.員工名單'!$B:$B,MATCH(A849,'3.員工名單'!$A:$A,0)),"查無此員工"))</f>
        <v/>
      </c>
      <c r="C849" s="120">
        <f t="array" ref="C849:C849">IF(A849="","",IFERROR(INDEX('3.員工名單'!$C:$C,MATCH(A849,'3.員工名單'!$A:$A,0)),""))</f>
        <v/>
      </c>
      <c r="D849" s="120">
        <f t="array" ref="D849:D849">IF(A849="","",IFERROR(INDEX('3.員工名單'!$D:$D,MATCH(A849,'3.員工名單'!$A:$A,0)),""))</f>
        <v/>
      </c>
      <c r="E849" s="120">
        <f t="array" ref="E849:E849">IF(F849="","",IFERROR(INDEX('1.職能辭典'!$A:$A,MATCH(F849,'1.職能辭典'!$C:$C,0)),""))</f>
        <v/>
      </c>
      <c r="F849" s="94" t="n"/>
      <c r="G849" s="120">
        <f t="array" ref="G849:G849">IF(OR(D849="",F849=""),"",IFERROR(IF(AND(OR(INDEX('1.職能辭典'!$J:$J,MATCH(F849,'1.職能辭典'!$C:$C,0))="全部",INDEX('3.員工名單'!$H:$H,MATCH(A849,'3.員工名單'!$A:$A,0))="兩款共用",INDEX('3.員工名單'!$H:$H,MATCH(A849,'3.員工名單'!$A:$A,0))=INDEX('1.職能辭典'!$J:$J,MATCH(F849,'1.職能辭典'!$C:$C,0))),OR(INDEX('1.職能辭典'!$K:$K,MATCH(F849,'1.職能辭典'!$C:$C,0))="全部",SUMPRODUCT(ISNUMBER(SEARCH({"經營","管理","財務","企劃","營運","技術","數據","美術","測試","客服"},INDEX('3.員工名單'!$I:$I,MATCH(A849,'3.員工名單'!$A:$A,0))))*ISNUMBER(SEARCH({"經營","管理","財務","企劃","營運","技術","數據","美術","測試","客服"},INDEX('1.職能辭典'!$K:$K,MATCH(F849,'1.職能辭典'!$C:$C,0)))))&gt;0)),INDEX('2.職務職能需求'!$B$2:$F$28,MATCH(F849,'2.職務職能需求'!$A$2:$A$28,0),MATCH(D849,'2.職務職能需求'!$B$1:$F$1,0)),0),""))</f>
        <v/>
      </c>
      <c r="H849" s="94" t="n"/>
      <c r="I849" s="94" t="n"/>
      <c r="J849" s="120">
        <f>IF(OR(G849="",I849="",G849=0),"",I849-G849)</f>
        <v/>
      </c>
      <c r="K849" s="120">
        <f>IF(G849="","",IF(G849=0,"不適用",IF(I849="","待評核",IF(I849&gt;=G849,IF(I849&gt;G849,"超越","達標"),"待發展"))))</f>
        <v/>
      </c>
      <c r="L849" s="91" t="n"/>
      <c r="M849" s="91" t="n"/>
      <c r="N849" s="88" t="n"/>
    </row>
    <row r="850" ht="15.75" customHeight="1" s="64">
      <c r="A850" s="88" t="n"/>
      <c r="B850" s="120">
        <f t="array" ref="B850:B850">IF(A850="","",IFERROR(INDEX('3.員工名單'!$B:$B,MATCH(A850,'3.員工名單'!$A:$A,0)),"查無此員工"))</f>
        <v/>
      </c>
      <c r="C850" s="120">
        <f t="array" ref="C850:C850">IF(A850="","",IFERROR(INDEX('3.員工名單'!$C:$C,MATCH(A850,'3.員工名單'!$A:$A,0)),""))</f>
        <v/>
      </c>
      <c r="D850" s="120">
        <f t="array" ref="D850:D850">IF(A850="","",IFERROR(INDEX('3.員工名單'!$D:$D,MATCH(A850,'3.員工名單'!$A:$A,0)),""))</f>
        <v/>
      </c>
      <c r="E850" s="120">
        <f t="array" ref="E850:E850">IF(F850="","",IFERROR(INDEX('1.職能辭典'!$A:$A,MATCH(F850,'1.職能辭典'!$C:$C,0)),""))</f>
        <v/>
      </c>
      <c r="F850" s="94" t="n"/>
      <c r="G850" s="120">
        <f t="array" ref="G850:G850">IF(OR(D850="",F850=""),"",IFERROR(IF(AND(OR(INDEX('1.職能辭典'!$J:$J,MATCH(F850,'1.職能辭典'!$C:$C,0))="全部",INDEX('3.員工名單'!$H:$H,MATCH(A850,'3.員工名單'!$A:$A,0))="兩款共用",INDEX('3.員工名單'!$H:$H,MATCH(A850,'3.員工名單'!$A:$A,0))=INDEX('1.職能辭典'!$J:$J,MATCH(F850,'1.職能辭典'!$C:$C,0))),OR(INDEX('1.職能辭典'!$K:$K,MATCH(F850,'1.職能辭典'!$C:$C,0))="全部",SUMPRODUCT(ISNUMBER(SEARCH({"經營","管理","財務","企劃","營運","技術","數據","美術","測試","客服"},INDEX('3.員工名單'!$I:$I,MATCH(A850,'3.員工名單'!$A:$A,0))))*ISNUMBER(SEARCH({"經營","管理","財務","企劃","營運","技術","數據","美術","測試","客服"},INDEX('1.職能辭典'!$K:$K,MATCH(F850,'1.職能辭典'!$C:$C,0)))))&gt;0)),INDEX('2.職務職能需求'!$B$2:$F$28,MATCH(F850,'2.職務職能需求'!$A$2:$A$28,0),MATCH(D850,'2.職務職能需求'!$B$1:$F$1,0)),0),""))</f>
        <v/>
      </c>
      <c r="H850" s="94" t="n"/>
      <c r="I850" s="94" t="n"/>
      <c r="J850" s="120">
        <f>IF(OR(G850="",I850="",G850=0),"",I850-G850)</f>
        <v/>
      </c>
      <c r="K850" s="120">
        <f>IF(G850="","",IF(G850=0,"不適用",IF(I850="","待評核",IF(I850&gt;=G850,IF(I850&gt;G850,"超越","達標"),"待發展"))))</f>
        <v/>
      </c>
      <c r="L850" s="91" t="n"/>
      <c r="M850" s="91" t="n"/>
      <c r="N850" s="88" t="n"/>
    </row>
    <row r="851" ht="15.75" customHeight="1" s="64">
      <c r="A851" s="88" t="n"/>
      <c r="B851" s="120">
        <f t="array" ref="B851:B851">IF(A851="","",IFERROR(INDEX('3.員工名單'!$B:$B,MATCH(A851,'3.員工名單'!$A:$A,0)),"查無此員工"))</f>
        <v/>
      </c>
      <c r="C851" s="120">
        <f t="array" ref="C851:C851">IF(A851="","",IFERROR(INDEX('3.員工名單'!$C:$C,MATCH(A851,'3.員工名單'!$A:$A,0)),""))</f>
        <v/>
      </c>
      <c r="D851" s="120">
        <f t="array" ref="D851:D851">IF(A851="","",IFERROR(INDEX('3.員工名單'!$D:$D,MATCH(A851,'3.員工名單'!$A:$A,0)),""))</f>
        <v/>
      </c>
      <c r="E851" s="120">
        <f t="array" ref="E851:E851">IF(F851="","",IFERROR(INDEX('1.職能辭典'!$A:$A,MATCH(F851,'1.職能辭典'!$C:$C,0)),""))</f>
        <v/>
      </c>
      <c r="F851" s="94" t="n"/>
      <c r="G851" s="120">
        <f t="array" ref="G851:G851">IF(OR(D851="",F851=""),"",IFERROR(IF(AND(OR(INDEX('1.職能辭典'!$J:$J,MATCH(F851,'1.職能辭典'!$C:$C,0))="全部",INDEX('3.員工名單'!$H:$H,MATCH(A851,'3.員工名單'!$A:$A,0))="兩款共用",INDEX('3.員工名單'!$H:$H,MATCH(A851,'3.員工名單'!$A:$A,0))=INDEX('1.職能辭典'!$J:$J,MATCH(F851,'1.職能辭典'!$C:$C,0))),OR(INDEX('1.職能辭典'!$K:$K,MATCH(F851,'1.職能辭典'!$C:$C,0))="全部",SUMPRODUCT(ISNUMBER(SEARCH({"經營","管理","財務","企劃","營運","技術","數據","美術","測試","客服"},INDEX('3.員工名單'!$I:$I,MATCH(A851,'3.員工名單'!$A:$A,0))))*ISNUMBER(SEARCH({"經營","管理","財務","企劃","營運","技術","數據","美術","測試","客服"},INDEX('1.職能辭典'!$K:$K,MATCH(F851,'1.職能辭典'!$C:$C,0)))))&gt;0)),INDEX('2.職務職能需求'!$B$2:$F$28,MATCH(F851,'2.職務職能需求'!$A$2:$A$28,0),MATCH(D851,'2.職務職能需求'!$B$1:$F$1,0)),0),""))</f>
        <v/>
      </c>
      <c r="H851" s="94" t="n"/>
      <c r="I851" s="94" t="n"/>
      <c r="J851" s="120">
        <f>IF(OR(G851="",I851="",G851=0),"",I851-G851)</f>
        <v/>
      </c>
      <c r="K851" s="120">
        <f>IF(G851="","",IF(G851=0,"不適用",IF(I851="","待評核",IF(I851&gt;=G851,IF(I851&gt;G851,"超越","達標"),"待發展"))))</f>
        <v/>
      </c>
      <c r="L851" s="91" t="n"/>
      <c r="M851" s="91" t="n"/>
      <c r="N851" s="88" t="n"/>
    </row>
    <row r="852" ht="15.75" customHeight="1" s="64">
      <c r="A852" s="88" t="n"/>
      <c r="B852" s="120">
        <f t="array" ref="B852:B852">IF(A852="","",IFERROR(INDEX('3.員工名單'!$B:$B,MATCH(A852,'3.員工名單'!$A:$A,0)),"查無此員工"))</f>
        <v/>
      </c>
      <c r="C852" s="120">
        <f t="array" ref="C852:C852">IF(A852="","",IFERROR(INDEX('3.員工名單'!$C:$C,MATCH(A852,'3.員工名單'!$A:$A,0)),""))</f>
        <v/>
      </c>
      <c r="D852" s="120">
        <f t="array" ref="D852:D852">IF(A852="","",IFERROR(INDEX('3.員工名單'!$D:$D,MATCH(A852,'3.員工名單'!$A:$A,0)),""))</f>
        <v/>
      </c>
      <c r="E852" s="120">
        <f t="array" ref="E852:E852">IF(F852="","",IFERROR(INDEX('1.職能辭典'!$A:$A,MATCH(F852,'1.職能辭典'!$C:$C,0)),""))</f>
        <v/>
      </c>
      <c r="F852" s="94" t="n"/>
      <c r="G852" s="120">
        <f t="array" ref="G852:G852">IF(OR(D852="",F852=""),"",IFERROR(IF(AND(OR(INDEX('1.職能辭典'!$J:$J,MATCH(F852,'1.職能辭典'!$C:$C,0))="全部",INDEX('3.員工名單'!$H:$H,MATCH(A852,'3.員工名單'!$A:$A,0))="兩款共用",INDEX('3.員工名單'!$H:$H,MATCH(A852,'3.員工名單'!$A:$A,0))=INDEX('1.職能辭典'!$J:$J,MATCH(F852,'1.職能辭典'!$C:$C,0))),OR(INDEX('1.職能辭典'!$K:$K,MATCH(F852,'1.職能辭典'!$C:$C,0))="全部",SUMPRODUCT(ISNUMBER(SEARCH({"經營","管理","財務","企劃","營運","技術","數據","美術","測試","客服"},INDEX('3.員工名單'!$I:$I,MATCH(A852,'3.員工名單'!$A:$A,0))))*ISNUMBER(SEARCH({"經營","管理","財務","企劃","營運","技術","數據","美術","測試","客服"},INDEX('1.職能辭典'!$K:$K,MATCH(F852,'1.職能辭典'!$C:$C,0)))))&gt;0)),INDEX('2.職務職能需求'!$B$2:$F$28,MATCH(F852,'2.職務職能需求'!$A$2:$A$28,0),MATCH(D852,'2.職務職能需求'!$B$1:$F$1,0)),0),""))</f>
        <v/>
      </c>
      <c r="H852" s="94" t="n"/>
      <c r="I852" s="94" t="n"/>
      <c r="J852" s="120">
        <f>IF(OR(G852="",I852="",G852=0),"",I852-G852)</f>
        <v/>
      </c>
      <c r="K852" s="120">
        <f>IF(G852="","",IF(G852=0,"不適用",IF(I852="","待評核",IF(I852&gt;=G852,IF(I852&gt;G852,"超越","達標"),"待發展"))))</f>
        <v/>
      </c>
      <c r="L852" s="91" t="n"/>
      <c r="M852" s="91" t="n"/>
      <c r="N852" s="88" t="n"/>
    </row>
    <row r="853" ht="15.75" customHeight="1" s="64">
      <c r="A853" s="88" t="n"/>
      <c r="B853" s="120">
        <f t="array" ref="B853:B853">IF(A853="","",IFERROR(INDEX('3.員工名單'!$B:$B,MATCH(A853,'3.員工名單'!$A:$A,0)),"查無此員工"))</f>
        <v/>
      </c>
      <c r="C853" s="120">
        <f t="array" ref="C853:C853">IF(A853="","",IFERROR(INDEX('3.員工名單'!$C:$C,MATCH(A853,'3.員工名單'!$A:$A,0)),""))</f>
        <v/>
      </c>
      <c r="D853" s="120">
        <f t="array" ref="D853:D853">IF(A853="","",IFERROR(INDEX('3.員工名單'!$D:$D,MATCH(A853,'3.員工名單'!$A:$A,0)),""))</f>
        <v/>
      </c>
      <c r="E853" s="120">
        <f t="array" ref="E853:E853">IF(F853="","",IFERROR(INDEX('1.職能辭典'!$A:$A,MATCH(F853,'1.職能辭典'!$C:$C,0)),""))</f>
        <v/>
      </c>
      <c r="F853" s="94" t="n"/>
      <c r="G853" s="120">
        <f t="array" ref="G853:G853">IF(OR(D853="",F853=""),"",IFERROR(IF(AND(OR(INDEX('1.職能辭典'!$J:$J,MATCH(F853,'1.職能辭典'!$C:$C,0))="全部",INDEX('3.員工名單'!$H:$H,MATCH(A853,'3.員工名單'!$A:$A,0))="兩款共用",INDEX('3.員工名單'!$H:$H,MATCH(A853,'3.員工名單'!$A:$A,0))=INDEX('1.職能辭典'!$J:$J,MATCH(F853,'1.職能辭典'!$C:$C,0))),OR(INDEX('1.職能辭典'!$K:$K,MATCH(F853,'1.職能辭典'!$C:$C,0))="全部",SUMPRODUCT(ISNUMBER(SEARCH({"經營","管理","財務","企劃","營運","技術","數據","美術","測試","客服"},INDEX('3.員工名單'!$I:$I,MATCH(A853,'3.員工名單'!$A:$A,0))))*ISNUMBER(SEARCH({"經營","管理","財務","企劃","營運","技術","數據","美術","測試","客服"},INDEX('1.職能辭典'!$K:$K,MATCH(F853,'1.職能辭典'!$C:$C,0)))))&gt;0)),INDEX('2.職務職能需求'!$B$2:$F$28,MATCH(F853,'2.職務職能需求'!$A$2:$A$28,0),MATCH(D853,'2.職務職能需求'!$B$1:$F$1,0)),0),""))</f>
        <v/>
      </c>
      <c r="H853" s="94" t="n"/>
      <c r="I853" s="94" t="n"/>
      <c r="J853" s="120">
        <f>IF(OR(G853="",I853="",G853=0),"",I853-G853)</f>
        <v/>
      </c>
      <c r="K853" s="120">
        <f>IF(G853="","",IF(G853=0,"不適用",IF(I853="","待評核",IF(I853&gt;=G853,IF(I853&gt;G853,"超越","達標"),"待發展"))))</f>
        <v/>
      </c>
      <c r="L853" s="91" t="n"/>
      <c r="M853" s="91" t="n"/>
      <c r="N853" s="88" t="n"/>
    </row>
    <row r="854" ht="15.75" customHeight="1" s="64">
      <c r="A854" s="88" t="n"/>
      <c r="B854" s="120">
        <f t="array" ref="B854:B854">IF(A854="","",IFERROR(INDEX('3.員工名單'!$B:$B,MATCH(A854,'3.員工名單'!$A:$A,0)),"查無此員工"))</f>
        <v/>
      </c>
      <c r="C854" s="120">
        <f t="array" ref="C854:C854">IF(A854="","",IFERROR(INDEX('3.員工名單'!$C:$C,MATCH(A854,'3.員工名單'!$A:$A,0)),""))</f>
        <v/>
      </c>
      <c r="D854" s="120">
        <f t="array" ref="D854:D854">IF(A854="","",IFERROR(INDEX('3.員工名單'!$D:$D,MATCH(A854,'3.員工名單'!$A:$A,0)),""))</f>
        <v/>
      </c>
      <c r="E854" s="120">
        <f t="array" ref="E854:E854">IF(F854="","",IFERROR(INDEX('1.職能辭典'!$A:$A,MATCH(F854,'1.職能辭典'!$C:$C,0)),""))</f>
        <v/>
      </c>
      <c r="F854" s="94" t="n"/>
      <c r="G854" s="120">
        <f t="array" ref="G854:G854">IF(OR(D854="",F854=""),"",IFERROR(IF(AND(OR(INDEX('1.職能辭典'!$J:$J,MATCH(F854,'1.職能辭典'!$C:$C,0))="全部",INDEX('3.員工名單'!$H:$H,MATCH(A854,'3.員工名單'!$A:$A,0))="兩款共用",INDEX('3.員工名單'!$H:$H,MATCH(A854,'3.員工名單'!$A:$A,0))=INDEX('1.職能辭典'!$J:$J,MATCH(F854,'1.職能辭典'!$C:$C,0))),OR(INDEX('1.職能辭典'!$K:$K,MATCH(F854,'1.職能辭典'!$C:$C,0))="全部",SUMPRODUCT(ISNUMBER(SEARCH({"經營","管理","財務","企劃","營運","技術","數據","美術","測試","客服"},INDEX('3.員工名單'!$I:$I,MATCH(A854,'3.員工名單'!$A:$A,0))))*ISNUMBER(SEARCH({"經營","管理","財務","企劃","營運","技術","數據","美術","測試","客服"},INDEX('1.職能辭典'!$K:$K,MATCH(F854,'1.職能辭典'!$C:$C,0)))))&gt;0)),INDEX('2.職務職能需求'!$B$2:$F$28,MATCH(F854,'2.職務職能需求'!$A$2:$A$28,0),MATCH(D854,'2.職務職能需求'!$B$1:$F$1,0)),0),""))</f>
        <v/>
      </c>
      <c r="H854" s="94" t="n"/>
      <c r="I854" s="94" t="n"/>
      <c r="J854" s="120">
        <f>IF(OR(G854="",I854="",G854=0),"",I854-G854)</f>
        <v/>
      </c>
      <c r="K854" s="120">
        <f>IF(G854="","",IF(G854=0,"不適用",IF(I854="","待評核",IF(I854&gt;=G854,IF(I854&gt;G854,"超越","達標"),"待發展"))))</f>
        <v/>
      </c>
      <c r="L854" s="91" t="n"/>
      <c r="M854" s="91" t="n"/>
      <c r="N854" s="88" t="n"/>
    </row>
    <row r="855" ht="15.75" customHeight="1" s="64">
      <c r="A855" s="88" t="n"/>
      <c r="B855" s="120">
        <f t="array" ref="B855:B855">IF(A855="","",IFERROR(INDEX('3.員工名單'!$B:$B,MATCH(A855,'3.員工名單'!$A:$A,0)),"查無此員工"))</f>
        <v/>
      </c>
      <c r="C855" s="120">
        <f t="array" ref="C855:C855">IF(A855="","",IFERROR(INDEX('3.員工名單'!$C:$C,MATCH(A855,'3.員工名單'!$A:$A,0)),""))</f>
        <v/>
      </c>
      <c r="D855" s="120">
        <f t="array" ref="D855:D855">IF(A855="","",IFERROR(INDEX('3.員工名單'!$D:$D,MATCH(A855,'3.員工名單'!$A:$A,0)),""))</f>
        <v/>
      </c>
      <c r="E855" s="120">
        <f t="array" ref="E855:E855">IF(F855="","",IFERROR(INDEX('1.職能辭典'!$A:$A,MATCH(F855,'1.職能辭典'!$C:$C,0)),""))</f>
        <v/>
      </c>
      <c r="F855" s="94" t="n"/>
      <c r="G855" s="120">
        <f t="array" ref="G855:G855">IF(OR(D855="",F855=""),"",IFERROR(IF(AND(OR(INDEX('1.職能辭典'!$J:$J,MATCH(F855,'1.職能辭典'!$C:$C,0))="全部",INDEX('3.員工名單'!$H:$H,MATCH(A855,'3.員工名單'!$A:$A,0))="兩款共用",INDEX('3.員工名單'!$H:$H,MATCH(A855,'3.員工名單'!$A:$A,0))=INDEX('1.職能辭典'!$J:$J,MATCH(F855,'1.職能辭典'!$C:$C,0))),OR(INDEX('1.職能辭典'!$K:$K,MATCH(F855,'1.職能辭典'!$C:$C,0))="全部",SUMPRODUCT(ISNUMBER(SEARCH({"經營","管理","財務","企劃","營運","技術","數據","美術","測試","客服"},INDEX('3.員工名單'!$I:$I,MATCH(A855,'3.員工名單'!$A:$A,0))))*ISNUMBER(SEARCH({"經營","管理","財務","企劃","營運","技術","數據","美術","測試","客服"},INDEX('1.職能辭典'!$K:$K,MATCH(F855,'1.職能辭典'!$C:$C,0)))))&gt;0)),INDEX('2.職務職能需求'!$B$2:$F$28,MATCH(F855,'2.職務職能需求'!$A$2:$A$28,0),MATCH(D855,'2.職務職能需求'!$B$1:$F$1,0)),0),""))</f>
        <v/>
      </c>
      <c r="H855" s="94" t="n"/>
      <c r="I855" s="94" t="n"/>
      <c r="J855" s="120">
        <f>IF(OR(G855="",I855="",G855=0),"",I855-G855)</f>
        <v/>
      </c>
      <c r="K855" s="120">
        <f>IF(G855="","",IF(G855=0,"不適用",IF(I855="","待評核",IF(I855&gt;=G855,IF(I855&gt;G855,"超越","達標"),"待發展"))))</f>
        <v/>
      </c>
      <c r="L855" s="91" t="n"/>
      <c r="M855" s="91" t="n"/>
      <c r="N855" s="88" t="n"/>
    </row>
    <row r="856" ht="15.75" customHeight="1" s="64">
      <c r="A856" s="88" t="n"/>
      <c r="B856" s="120">
        <f t="array" ref="B856:B856">IF(A856="","",IFERROR(INDEX('3.員工名單'!$B:$B,MATCH(A856,'3.員工名單'!$A:$A,0)),"查無此員工"))</f>
        <v/>
      </c>
      <c r="C856" s="120">
        <f t="array" ref="C856:C856">IF(A856="","",IFERROR(INDEX('3.員工名單'!$C:$C,MATCH(A856,'3.員工名單'!$A:$A,0)),""))</f>
        <v/>
      </c>
      <c r="D856" s="120">
        <f t="array" ref="D856:D856">IF(A856="","",IFERROR(INDEX('3.員工名單'!$D:$D,MATCH(A856,'3.員工名單'!$A:$A,0)),""))</f>
        <v/>
      </c>
      <c r="E856" s="120">
        <f t="array" ref="E856:E856">IF(F856="","",IFERROR(INDEX('1.職能辭典'!$A:$A,MATCH(F856,'1.職能辭典'!$C:$C,0)),""))</f>
        <v/>
      </c>
      <c r="F856" s="94" t="n"/>
      <c r="G856" s="120">
        <f t="array" ref="G856:G856">IF(OR(D856="",F856=""),"",IFERROR(IF(AND(OR(INDEX('1.職能辭典'!$J:$J,MATCH(F856,'1.職能辭典'!$C:$C,0))="全部",INDEX('3.員工名單'!$H:$H,MATCH(A856,'3.員工名單'!$A:$A,0))="兩款共用",INDEX('3.員工名單'!$H:$H,MATCH(A856,'3.員工名單'!$A:$A,0))=INDEX('1.職能辭典'!$J:$J,MATCH(F856,'1.職能辭典'!$C:$C,0))),OR(INDEX('1.職能辭典'!$K:$K,MATCH(F856,'1.職能辭典'!$C:$C,0))="全部",SUMPRODUCT(ISNUMBER(SEARCH({"經營","管理","財務","企劃","營運","技術","數據","美術","測試","客服"},INDEX('3.員工名單'!$I:$I,MATCH(A856,'3.員工名單'!$A:$A,0))))*ISNUMBER(SEARCH({"經營","管理","財務","企劃","營運","技術","數據","美術","測試","客服"},INDEX('1.職能辭典'!$K:$K,MATCH(F856,'1.職能辭典'!$C:$C,0)))))&gt;0)),INDEX('2.職務職能需求'!$B$2:$F$28,MATCH(F856,'2.職務職能需求'!$A$2:$A$28,0),MATCH(D856,'2.職務職能需求'!$B$1:$F$1,0)),0),""))</f>
        <v/>
      </c>
      <c r="H856" s="94" t="n"/>
      <c r="I856" s="94" t="n"/>
      <c r="J856" s="120">
        <f>IF(OR(G856="",I856="",G856=0),"",I856-G856)</f>
        <v/>
      </c>
      <c r="K856" s="120">
        <f>IF(G856="","",IF(G856=0,"不適用",IF(I856="","待評核",IF(I856&gt;=G856,IF(I856&gt;G856,"超越","達標"),"待發展"))))</f>
        <v/>
      </c>
      <c r="L856" s="91" t="n"/>
      <c r="M856" s="91" t="n"/>
      <c r="N856" s="88" t="n"/>
    </row>
    <row r="857" ht="15.75" customHeight="1" s="64">
      <c r="A857" s="88" t="n"/>
      <c r="B857" s="120">
        <f t="array" ref="B857:B857">IF(A857="","",IFERROR(INDEX('3.員工名單'!$B:$B,MATCH(A857,'3.員工名單'!$A:$A,0)),"查無此員工"))</f>
        <v/>
      </c>
      <c r="C857" s="120">
        <f t="array" ref="C857:C857">IF(A857="","",IFERROR(INDEX('3.員工名單'!$C:$C,MATCH(A857,'3.員工名單'!$A:$A,0)),""))</f>
        <v/>
      </c>
      <c r="D857" s="120">
        <f t="array" ref="D857:D857">IF(A857="","",IFERROR(INDEX('3.員工名單'!$D:$D,MATCH(A857,'3.員工名單'!$A:$A,0)),""))</f>
        <v/>
      </c>
      <c r="E857" s="120">
        <f t="array" ref="E857:E857">IF(F857="","",IFERROR(INDEX('1.職能辭典'!$A:$A,MATCH(F857,'1.職能辭典'!$C:$C,0)),""))</f>
        <v/>
      </c>
      <c r="F857" s="94" t="n"/>
      <c r="G857" s="120">
        <f t="array" ref="G857:G857">IF(OR(D857="",F857=""),"",IFERROR(IF(AND(OR(INDEX('1.職能辭典'!$J:$J,MATCH(F857,'1.職能辭典'!$C:$C,0))="全部",INDEX('3.員工名單'!$H:$H,MATCH(A857,'3.員工名單'!$A:$A,0))="兩款共用",INDEX('3.員工名單'!$H:$H,MATCH(A857,'3.員工名單'!$A:$A,0))=INDEX('1.職能辭典'!$J:$J,MATCH(F857,'1.職能辭典'!$C:$C,0))),OR(INDEX('1.職能辭典'!$K:$K,MATCH(F857,'1.職能辭典'!$C:$C,0))="全部",SUMPRODUCT(ISNUMBER(SEARCH({"經營","管理","財務","企劃","營運","技術","數據","美術","測試","客服"},INDEX('3.員工名單'!$I:$I,MATCH(A857,'3.員工名單'!$A:$A,0))))*ISNUMBER(SEARCH({"經營","管理","財務","企劃","營運","技術","數據","美術","測試","客服"},INDEX('1.職能辭典'!$K:$K,MATCH(F857,'1.職能辭典'!$C:$C,0)))))&gt;0)),INDEX('2.職務職能需求'!$B$2:$F$28,MATCH(F857,'2.職務職能需求'!$A$2:$A$28,0),MATCH(D857,'2.職務職能需求'!$B$1:$F$1,0)),0),""))</f>
        <v/>
      </c>
      <c r="H857" s="94" t="n"/>
      <c r="I857" s="94" t="n"/>
      <c r="J857" s="120">
        <f>IF(OR(G857="",I857="",G857=0),"",I857-G857)</f>
        <v/>
      </c>
      <c r="K857" s="120">
        <f>IF(G857="","",IF(G857=0,"不適用",IF(I857="","待評核",IF(I857&gt;=G857,IF(I857&gt;G857,"超越","達標"),"待發展"))))</f>
        <v/>
      </c>
      <c r="L857" s="91" t="n"/>
      <c r="M857" s="91" t="n"/>
      <c r="N857" s="88" t="n"/>
    </row>
    <row r="858" ht="15.75" customHeight="1" s="64">
      <c r="A858" s="88" t="n"/>
      <c r="B858" s="120">
        <f t="array" ref="B858:B858">IF(A858="","",IFERROR(INDEX('3.員工名單'!$B:$B,MATCH(A858,'3.員工名單'!$A:$A,0)),"查無此員工"))</f>
        <v/>
      </c>
      <c r="C858" s="120">
        <f t="array" ref="C858:C858">IF(A858="","",IFERROR(INDEX('3.員工名單'!$C:$C,MATCH(A858,'3.員工名單'!$A:$A,0)),""))</f>
        <v/>
      </c>
      <c r="D858" s="120">
        <f t="array" ref="D858:D858">IF(A858="","",IFERROR(INDEX('3.員工名單'!$D:$D,MATCH(A858,'3.員工名單'!$A:$A,0)),""))</f>
        <v/>
      </c>
      <c r="E858" s="120">
        <f t="array" ref="E858:E858">IF(F858="","",IFERROR(INDEX('1.職能辭典'!$A:$A,MATCH(F858,'1.職能辭典'!$C:$C,0)),""))</f>
        <v/>
      </c>
      <c r="F858" s="94" t="n"/>
      <c r="G858" s="120">
        <f t="array" ref="G858:G858">IF(OR(D858="",F858=""),"",IFERROR(IF(AND(OR(INDEX('1.職能辭典'!$J:$J,MATCH(F858,'1.職能辭典'!$C:$C,0))="全部",INDEX('3.員工名單'!$H:$H,MATCH(A858,'3.員工名單'!$A:$A,0))="兩款共用",INDEX('3.員工名單'!$H:$H,MATCH(A858,'3.員工名單'!$A:$A,0))=INDEX('1.職能辭典'!$J:$J,MATCH(F858,'1.職能辭典'!$C:$C,0))),OR(INDEX('1.職能辭典'!$K:$K,MATCH(F858,'1.職能辭典'!$C:$C,0))="全部",SUMPRODUCT(ISNUMBER(SEARCH({"經營","管理","財務","企劃","營運","技術","數據","美術","測試","客服"},INDEX('3.員工名單'!$I:$I,MATCH(A858,'3.員工名單'!$A:$A,0))))*ISNUMBER(SEARCH({"經營","管理","財務","企劃","營運","技術","數據","美術","測試","客服"},INDEX('1.職能辭典'!$K:$K,MATCH(F858,'1.職能辭典'!$C:$C,0)))))&gt;0)),INDEX('2.職務職能需求'!$B$2:$F$28,MATCH(F858,'2.職務職能需求'!$A$2:$A$28,0),MATCH(D858,'2.職務職能需求'!$B$1:$F$1,0)),0),""))</f>
        <v/>
      </c>
      <c r="H858" s="94" t="n"/>
      <c r="I858" s="94" t="n"/>
      <c r="J858" s="120">
        <f>IF(OR(G858="",I858="",G858=0),"",I858-G858)</f>
        <v/>
      </c>
      <c r="K858" s="120">
        <f>IF(G858="","",IF(G858=0,"不適用",IF(I858="","待評核",IF(I858&gt;=G858,IF(I858&gt;G858,"超越","達標"),"待發展"))))</f>
        <v/>
      </c>
      <c r="L858" s="91" t="n"/>
      <c r="M858" s="91" t="n"/>
      <c r="N858" s="88" t="n"/>
    </row>
    <row r="859" ht="15.75" customHeight="1" s="64">
      <c r="A859" s="88" t="n"/>
      <c r="B859" s="120">
        <f t="array" ref="B859:B859">IF(A859="","",IFERROR(INDEX('3.員工名單'!$B:$B,MATCH(A859,'3.員工名單'!$A:$A,0)),"查無此員工"))</f>
        <v/>
      </c>
      <c r="C859" s="120">
        <f t="array" ref="C859:C859">IF(A859="","",IFERROR(INDEX('3.員工名單'!$C:$C,MATCH(A859,'3.員工名單'!$A:$A,0)),""))</f>
        <v/>
      </c>
      <c r="D859" s="120">
        <f t="array" ref="D859:D859">IF(A859="","",IFERROR(INDEX('3.員工名單'!$D:$D,MATCH(A859,'3.員工名單'!$A:$A,0)),""))</f>
        <v/>
      </c>
      <c r="E859" s="120">
        <f t="array" ref="E859:E859">IF(F859="","",IFERROR(INDEX('1.職能辭典'!$A:$A,MATCH(F859,'1.職能辭典'!$C:$C,0)),""))</f>
        <v/>
      </c>
      <c r="F859" s="94" t="n"/>
      <c r="G859" s="120">
        <f t="array" ref="G859:G859">IF(OR(D859="",F859=""),"",IFERROR(IF(AND(OR(INDEX('1.職能辭典'!$J:$J,MATCH(F859,'1.職能辭典'!$C:$C,0))="全部",INDEX('3.員工名單'!$H:$H,MATCH(A859,'3.員工名單'!$A:$A,0))="兩款共用",INDEX('3.員工名單'!$H:$H,MATCH(A859,'3.員工名單'!$A:$A,0))=INDEX('1.職能辭典'!$J:$J,MATCH(F859,'1.職能辭典'!$C:$C,0))),OR(INDEX('1.職能辭典'!$K:$K,MATCH(F859,'1.職能辭典'!$C:$C,0))="全部",SUMPRODUCT(ISNUMBER(SEARCH({"經營","管理","財務","企劃","營運","技術","數據","美術","測試","客服"},INDEX('3.員工名單'!$I:$I,MATCH(A859,'3.員工名單'!$A:$A,0))))*ISNUMBER(SEARCH({"經營","管理","財務","企劃","營運","技術","數據","美術","測試","客服"},INDEX('1.職能辭典'!$K:$K,MATCH(F859,'1.職能辭典'!$C:$C,0)))))&gt;0)),INDEX('2.職務職能需求'!$B$2:$F$28,MATCH(F859,'2.職務職能需求'!$A$2:$A$28,0),MATCH(D859,'2.職務職能需求'!$B$1:$F$1,0)),0),""))</f>
        <v/>
      </c>
      <c r="H859" s="94" t="n"/>
      <c r="I859" s="94" t="n"/>
      <c r="J859" s="120">
        <f>IF(OR(G859="",I859="",G859=0),"",I859-G859)</f>
        <v/>
      </c>
      <c r="K859" s="120">
        <f>IF(G859="","",IF(G859=0,"不適用",IF(I859="","待評核",IF(I859&gt;=G859,IF(I859&gt;G859,"超越","達標"),"待發展"))))</f>
        <v/>
      </c>
      <c r="L859" s="91" t="n"/>
      <c r="M859" s="91" t="n"/>
      <c r="N859" s="88" t="n"/>
    </row>
    <row r="860" ht="15.75" customHeight="1" s="64">
      <c r="A860" s="88" t="n"/>
      <c r="B860" s="120">
        <f t="array" ref="B860:B860">IF(A860="","",IFERROR(INDEX('3.員工名單'!$B:$B,MATCH(A860,'3.員工名單'!$A:$A,0)),"查無此員工"))</f>
        <v/>
      </c>
      <c r="C860" s="120">
        <f t="array" ref="C860:C860">IF(A860="","",IFERROR(INDEX('3.員工名單'!$C:$C,MATCH(A860,'3.員工名單'!$A:$A,0)),""))</f>
        <v/>
      </c>
      <c r="D860" s="120">
        <f t="array" ref="D860:D860">IF(A860="","",IFERROR(INDEX('3.員工名單'!$D:$D,MATCH(A860,'3.員工名單'!$A:$A,0)),""))</f>
        <v/>
      </c>
      <c r="E860" s="120">
        <f t="array" ref="E860:E860">IF(F860="","",IFERROR(INDEX('1.職能辭典'!$A:$A,MATCH(F860,'1.職能辭典'!$C:$C,0)),""))</f>
        <v/>
      </c>
      <c r="F860" s="94" t="n"/>
      <c r="G860" s="120">
        <f t="array" ref="G860:G860">IF(OR(D860="",F860=""),"",IFERROR(IF(AND(OR(INDEX('1.職能辭典'!$J:$J,MATCH(F860,'1.職能辭典'!$C:$C,0))="全部",INDEX('3.員工名單'!$H:$H,MATCH(A860,'3.員工名單'!$A:$A,0))="兩款共用",INDEX('3.員工名單'!$H:$H,MATCH(A860,'3.員工名單'!$A:$A,0))=INDEX('1.職能辭典'!$J:$J,MATCH(F860,'1.職能辭典'!$C:$C,0))),OR(INDEX('1.職能辭典'!$K:$K,MATCH(F860,'1.職能辭典'!$C:$C,0))="全部",SUMPRODUCT(ISNUMBER(SEARCH({"經營","管理","財務","企劃","營運","技術","數據","美術","測試","客服"},INDEX('3.員工名單'!$I:$I,MATCH(A860,'3.員工名單'!$A:$A,0))))*ISNUMBER(SEARCH({"經營","管理","財務","企劃","營運","技術","數據","美術","測試","客服"},INDEX('1.職能辭典'!$K:$K,MATCH(F860,'1.職能辭典'!$C:$C,0)))))&gt;0)),INDEX('2.職務職能需求'!$B$2:$F$28,MATCH(F860,'2.職務職能需求'!$A$2:$A$28,0),MATCH(D860,'2.職務職能需求'!$B$1:$F$1,0)),0),""))</f>
        <v/>
      </c>
      <c r="H860" s="94" t="n"/>
      <c r="I860" s="94" t="n"/>
      <c r="J860" s="120">
        <f>IF(OR(G860="",I860="",G860=0),"",I860-G860)</f>
        <v/>
      </c>
      <c r="K860" s="120">
        <f>IF(G860="","",IF(G860=0,"不適用",IF(I860="","待評核",IF(I860&gt;=G860,IF(I860&gt;G860,"超越","達標"),"待發展"))))</f>
        <v/>
      </c>
      <c r="L860" s="91" t="n"/>
      <c r="M860" s="91" t="n"/>
      <c r="N860" s="88" t="n"/>
    </row>
    <row r="861" ht="15.75" customHeight="1" s="64">
      <c r="A861" s="88" t="n"/>
      <c r="B861" s="120">
        <f t="array" ref="B861:B861">IF(A861="","",IFERROR(INDEX('3.員工名單'!$B:$B,MATCH(A861,'3.員工名單'!$A:$A,0)),"查無此員工"))</f>
        <v/>
      </c>
      <c r="C861" s="120">
        <f t="array" ref="C861:C861">IF(A861="","",IFERROR(INDEX('3.員工名單'!$C:$C,MATCH(A861,'3.員工名單'!$A:$A,0)),""))</f>
        <v/>
      </c>
      <c r="D861" s="120">
        <f t="array" ref="D861:D861">IF(A861="","",IFERROR(INDEX('3.員工名單'!$D:$D,MATCH(A861,'3.員工名單'!$A:$A,0)),""))</f>
        <v/>
      </c>
      <c r="E861" s="120">
        <f t="array" ref="E861:E861">IF(F861="","",IFERROR(INDEX('1.職能辭典'!$A:$A,MATCH(F861,'1.職能辭典'!$C:$C,0)),""))</f>
        <v/>
      </c>
      <c r="F861" s="94" t="n"/>
      <c r="G861" s="120">
        <f t="array" ref="G861:G861">IF(OR(D861="",F861=""),"",IFERROR(IF(AND(OR(INDEX('1.職能辭典'!$J:$J,MATCH(F861,'1.職能辭典'!$C:$C,0))="全部",INDEX('3.員工名單'!$H:$H,MATCH(A861,'3.員工名單'!$A:$A,0))="兩款共用",INDEX('3.員工名單'!$H:$H,MATCH(A861,'3.員工名單'!$A:$A,0))=INDEX('1.職能辭典'!$J:$J,MATCH(F861,'1.職能辭典'!$C:$C,0))),OR(INDEX('1.職能辭典'!$K:$K,MATCH(F861,'1.職能辭典'!$C:$C,0))="全部",SUMPRODUCT(ISNUMBER(SEARCH({"經營","管理","財務","企劃","營運","技術","數據","美術","測試","客服"},INDEX('3.員工名單'!$I:$I,MATCH(A861,'3.員工名單'!$A:$A,0))))*ISNUMBER(SEARCH({"經營","管理","財務","企劃","營運","技術","數據","美術","測試","客服"},INDEX('1.職能辭典'!$K:$K,MATCH(F861,'1.職能辭典'!$C:$C,0)))))&gt;0)),INDEX('2.職務職能需求'!$B$2:$F$28,MATCH(F861,'2.職務職能需求'!$A$2:$A$28,0),MATCH(D861,'2.職務職能需求'!$B$1:$F$1,0)),0),""))</f>
        <v/>
      </c>
      <c r="H861" s="94" t="n"/>
      <c r="I861" s="94" t="n"/>
      <c r="J861" s="120">
        <f>IF(OR(G861="",I861="",G861=0),"",I861-G861)</f>
        <v/>
      </c>
      <c r="K861" s="120">
        <f>IF(G861="","",IF(G861=0,"不適用",IF(I861="","待評核",IF(I861&gt;=G861,IF(I861&gt;G861,"超越","達標"),"待發展"))))</f>
        <v/>
      </c>
      <c r="L861" s="91" t="n"/>
      <c r="M861" s="91" t="n"/>
      <c r="N861" s="88" t="n"/>
    </row>
    <row r="862" ht="15.75" customHeight="1" s="64">
      <c r="A862" s="88" t="n"/>
      <c r="B862" s="120">
        <f t="array" ref="B862:B862">IF(A862="","",IFERROR(INDEX('3.員工名單'!$B:$B,MATCH(A862,'3.員工名單'!$A:$A,0)),"查無此員工"))</f>
        <v/>
      </c>
      <c r="C862" s="120">
        <f t="array" ref="C862:C862">IF(A862="","",IFERROR(INDEX('3.員工名單'!$C:$C,MATCH(A862,'3.員工名單'!$A:$A,0)),""))</f>
        <v/>
      </c>
      <c r="D862" s="120">
        <f t="array" ref="D862:D862">IF(A862="","",IFERROR(INDEX('3.員工名單'!$D:$D,MATCH(A862,'3.員工名單'!$A:$A,0)),""))</f>
        <v/>
      </c>
      <c r="E862" s="120">
        <f t="array" ref="E862:E862">IF(F862="","",IFERROR(INDEX('1.職能辭典'!$A:$A,MATCH(F862,'1.職能辭典'!$C:$C,0)),""))</f>
        <v/>
      </c>
      <c r="F862" s="94" t="n"/>
      <c r="G862" s="120">
        <f t="array" ref="G862:G862">IF(OR(D862="",F862=""),"",IFERROR(IF(AND(OR(INDEX('1.職能辭典'!$J:$J,MATCH(F862,'1.職能辭典'!$C:$C,0))="全部",INDEX('3.員工名單'!$H:$H,MATCH(A862,'3.員工名單'!$A:$A,0))="兩款共用",INDEX('3.員工名單'!$H:$H,MATCH(A862,'3.員工名單'!$A:$A,0))=INDEX('1.職能辭典'!$J:$J,MATCH(F862,'1.職能辭典'!$C:$C,0))),OR(INDEX('1.職能辭典'!$K:$K,MATCH(F862,'1.職能辭典'!$C:$C,0))="全部",SUMPRODUCT(ISNUMBER(SEARCH({"經營","管理","財務","企劃","營運","技術","數據","美術","測試","客服"},INDEX('3.員工名單'!$I:$I,MATCH(A862,'3.員工名單'!$A:$A,0))))*ISNUMBER(SEARCH({"經營","管理","財務","企劃","營運","技術","數據","美術","測試","客服"},INDEX('1.職能辭典'!$K:$K,MATCH(F862,'1.職能辭典'!$C:$C,0)))))&gt;0)),INDEX('2.職務職能需求'!$B$2:$F$28,MATCH(F862,'2.職務職能需求'!$A$2:$A$28,0),MATCH(D862,'2.職務職能需求'!$B$1:$F$1,0)),0),""))</f>
        <v/>
      </c>
      <c r="H862" s="94" t="n"/>
      <c r="I862" s="94" t="n"/>
      <c r="J862" s="120">
        <f>IF(OR(G862="",I862="",G862=0),"",I862-G862)</f>
        <v/>
      </c>
      <c r="K862" s="120">
        <f>IF(G862="","",IF(G862=0,"不適用",IF(I862="","待評核",IF(I862&gt;=G862,IF(I862&gt;G862,"超越","達標"),"待發展"))))</f>
        <v/>
      </c>
      <c r="L862" s="91" t="n"/>
      <c r="M862" s="91" t="n"/>
      <c r="N862" s="88" t="n"/>
    </row>
    <row r="863" ht="15.75" customHeight="1" s="64">
      <c r="A863" s="88" t="n"/>
      <c r="B863" s="120">
        <f t="array" ref="B863:B863">IF(A863="","",IFERROR(INDEX('3.員工名單'!$B:$B,MATCH(A863,'3.員工名單'!$A:$A,0)),"查無此員工"))</f>
        <v/>
      </c>
      <c r="C863" s="120">
        <f t="array" ref="C863:C863">IF(A863="","",IFERROR(INDEX('3.員工名單'!$C:$C,MATCH(A863,'3.員工名單'!$A:$A,0)),""))</f>
        <v/>
      </c>
      <c r="D863" s="120">
        <f t="array" ref="D863:D863">IF(A863="","",IFERROR(INDEX('3.員工名單'!$D:$D,MATCH(A863,'3.員工名單'!$A:$A,0)),""))</f>
        <v/>
      </c>
      <c r="E863" s="120">
        <f t="array" ref="E863:E863">IF(F863="","",IFERROR(INDEX('1.職能辭典'!$A:$A,MATCH(F863,'1.職能辭典'!$C:$C,0)),""))</f>
        <v/>
      </c>
      <c r="F863" s="94" t="n"/>
      <c r="G863" s="120">
        <f t="array" ref="G863:G863">IF(OR(D863="",F863=""),"",IFERROR(IF(AND(OR(INDEX('1.職能辭典'!$J:$J,MATCH(F863,'1.職能辭典'!$C:$C,0))="全部",INDEX('3.員工名單'!$H:$H,MATCH(A863,'3.員工名單'!$A:$A,0))="兩款共用",INDEX('3.員工名單'!$H:$H,MATCH(A863,'3.員工名單'!$A:$A,0))=INDEX('1.職能辭典'!$J:$J,MATCH(F863,'1.職能辭典'!$C:$C,0))),OR(INDEX('1.職能辭典'!$K:$K,MATCH(F863,'1.職能辭典'!$C:$C,0))="全部",SUMPRODUCT(ISNUMBER(SEARCH({"經營","管理","財務","企劃","營運","技術","數據","美術","測試","客服"},INDEX('3.員工名單'!$I:$I,MATCH(A863,'3.員工名單'!$A:$A,0))))*ISNUMBER(SEARCH({"經營","管理","財務","企劃","營運","技術","數據","美術","測試","客服"},INDEX('1.職能辭典'!$K:$K,MATCH(F863,'1.職能辭典'!$C:$C,0)))))&gt;0)),INDEX('2.職務職能需求'!$B$2:$F$28,MATCH(F863,'2.職務職能需求'!$A$2:$A$28,0),MATCH(D863,'2.職務職能需求'!$B$1:$F$1,0)),0),""))</f>
        <v/>
      </c>
      <c r="H863" s="94" t="n"/>
      <c r="I863" s="94" t="n"/>
      <c r="J863" s="120">
        <f>IF(OR(G863="",I863="",G863=0),"",I863-G863)</f>
        <v/>
      </c>
      <c r="K863" s="120">
        <f>IF(G863="","",IF(G863=0,"不適用",IF(I863="","待評核",IF(I863&gt;=G863,IF(I863&gt;G863,"超越","達標"),"待發展"))))</f>
        <v/>
      </c>
      <c r="L863" s="91" t="n"/>
      <c r="M863" s="91" t="n"/>
      <c r="N863" s="88" t="n"/>
    </row>
    <row r="864" ht="15.75" customHeight="1" s="64">
      <c r="A864" s="88" t="n"/>
      <c r="B864" s="120">
        <f t="array" ref="B864:B864">IF(A864="","",IFERROR(INDEX('3.員工名單'!$B:$B,MATCH(A864,'3.員工名單'!$A:$A,0)),"查無此員工"))</f>
        <v/>
      </c>
      <c r="C864" s="120">
        <f t="array" ref="C864:C864">IF(A864="","",IFERROR(INDEX('3.員工名單'!$C:$C,MATCH(A864,'3.員工名單'!$A:$A,0)),""))</f>
        <v/>
      </c>
      <c r="D864" s="120">
        <f t="array" ref="D864:D864">IF(A864="","",IFERROR(INDEX('3.員工名單'!$D:$D,MATCH(A864,'3.員工名單'!$A:$A,0)),""))</f>
        <v/>
      </c>
      <c r="E864" s="120">
        <f t="array" ref="E864:E864">IF(F864="","",IFERROR(INDEX('1.職能辭典'!$A:$A,MATCH(F864,'1.職能辭典'!$C:$C,0)),""))</f>
        <v/>
      </c>
      <c r="F864" s="94" t="n"/>
      <c r="G864" s="120">
        <f t="array" ref="G864:G864">IF(OR(D864="",F864=""),"",IFERROR(IF(AND(OR(INDEX('1.職能辭典'!$J:$J,MATCH(F864,'1.職能辭典'!$C:$C,0))="全部",INDEX('3.員工名單'!$H:$H,MATCH(A864,'3.員工名單'!$A:$A,0))="兩款共用",INDEX('3.員工名單'!$H:$H,MATCH(A864,'3.員工名單'!$A:$A,0))=INDEX('1.職能辭典'!$J:$J,MATCH(F864,'1.職能辭典'!$C:$C,0))),OR(INDEX('1.職能辭典'!$K:$K,MATCH(F864,'1.職能辭典'!$C:$C,0))="全部",SUMPRODUCT(ISNUMBER(SEARCH({"經營","管理","財務","企劃","營運","技術","數據","美術","測試","客服"},INDEX('3.員工名單'!$I:$I,MATCH(A864,'3.員工名單'!$A:$A,0))))*ISNUMBER(SEARCH({"經營","管理","財務","企劃","營運","技術","數據","美術","測試","客服"},INDEX('1.職能辭典'!$K:$K,MATCH(F864,'1.職能辭典'!$C:$C,0)))))&gt;0)),INDEX('2.職務職能需求'!$B$2:$F$28,MATCH(F864,'2.職務職能需求'!$A$2:$A$28,0),MATCH(D864,'2.職務職能需求'!$B$1:$F$1,0)),0),""))</f>
        <v/>
      </c>
      <c r="H864" s="94" t="n"/>
      <c r="I864" s="94" t="n"/>
      <c r="J864" s="120">
        <f>IF(OR(G864="",I864="",G864=0),"",I864-G864)</f>
        <v/>
      </c>
      <c r="K864" s="120">
        <f>IF(G864="","",IF(G864=0,"不適用",IF(I864="","待評核",IF(I864&gt;=G864,IF(I864&gt;G864,"超越","達標"),"待發展"))))</f>
        <v/>
      </c>
      <c r="L864" s="91" t="n"/>
      <c r="M864" s="91" t="n"/>
      <c r="N864" s="88" t="n"/>
    </row>
    <row r="865" ht="15.75" customHeight="1" s="64">
      <c r="A865" s="88" t="n"/>
      <c r="B865" s="120">
        <f t="array" ref="B865:B865">IF(A865="","",IFERROR(INDEX('3.員工名單'!$B:$B,MATCH(A865,'3.員工名單'!$A:$A,0)),"查無此員工"))</f>
        <v/>
      </c>
      <c r="C865" s="120">
        <f t="array" ref="C865:C865">IF(A865="","",IFERROR(INDEX('3.員工名單'!$C:$C,MATCH(A865,'3.員工名單'!$A:$A,0)),""))</f>
        <v/>
      </c>
      <c r="D865" s="120">
        <f t="array" ref="D865:D865">IF(A865="","",IFERROR(INDEX('3.員工名單'!$D:$D,MATCH(A865,'3.員工名單'!$A:$A,0)),""))</f>
        <v/>
      </c>
      <c r="E865" s="120">
        <f t="array" ref="E865:E865">IF(F865="","",IFERROR(INDEX('1.職能辭典'!$A:$A,MATCH(F865,'1.職能辭典'!$C:$C,0)),""))</f>
        <v/>
      </c>
      <c r="F865" s="94" t="n"/>
      <c r="G865" s="120">
        <f t="array" ref="G865:G865">IF(OR(D865="",F865=""),"",IFERROR(IF(AND(OR(INDEX('1.職能辭典'!$J:$J,MATCH(F865,'1.職能辭典'!$C:$C,0))="全部",INDEX('3.員工名單'!$H:$H,MATCH(A865,'3.員工名單'!$A:$A,0))="兩款共用",INDEX('3.員工名單'!$H:$H,MATCH(A865,'3.員工名單'!$A:$A,0))=INDEX('1.職能辭典'!$J:$J,MATCH(F865,'1.職能辭典'!$C:$C,0))),OR(INDEX('1.職能辭典'!$K:$K,MATCH(F865,'1.職能辭典'!$C:$C,0))="全部",SUMPRODUCT(ISNUMBER(SEARCH({"經營","管理","財務","企劃","營運","技術","數據","美術","測試","客服"},INDEX('3.員工名單'!$I:$I,MATCH(A865,'3.員工名單'!$A:$A,0))))*ISNUMBER(SEARCH({"經營","管理","財務","企劃","營運","技術","數據","美術","測試","客服"},INDEX('1.職能辭典'!$K:$K,MATCH(F865,'1.職能辭典'!$C:$C,0)))))&gt;0)),INDEX('2.職務職能需求'!$B$2:$F$28,MATCH(F865,'2.職務職能需求'!$A$2:$A$28,0),MATCH(D865,'2.職務職能需求'!$B$1:$F$1,0)),0),""))</f>
        <v/>
      </c>
      <c r="H865" s="94" t="n"/>
      <c r="I865" s="94" t="n"/>
      <c r="J865" s="120">
        <f>IF(OR(G865="",I865="",G865=0),"",I865-G865)</f>
        <v/>
      </c>
      <c r="K865" s="120">
        <f>IF(G865="","",IF(G865=0,"不適用",IF(I865="","待評核",IF(I865&gt;=G865,IF(I865&gt;G865,"超越","達標"),"待發展"))))</f>
        <v/>
      </c>
      <c r="L865" s="91" t="n"/>
      <c r="M865" s="91" t="n"/>
      <c r="N865" s="88" t="n"/>
    </row>
    <row r="866" ht="15.75" customHeight="1" s="64">
      <c r="A866" s="88" t="n"/>
      <c r="B866" s="120">
        <f t="array" ref="B866:B866">IF(A866="","",IFERROR(INDEX('3.員工名單'!$B:$B,MATCH(A866,'3.員工名單'!$A:$A,0)),"查無此員工"))</f>
        <v/>
      </c>
      <c r="C866" s="120">
        <f t="array" ref="C866:C866">IF(A866="","",IFERROR(INDEX('3.員工名單'!$C:$C,MATCH(A866,'3.員工名單'!$A:$A,0)),""))</f>
        <v/>
      </c>
      <c r="D866" s="120">
        <f t="array" ref="D866:D866">IF(A866="","",IFERROR(INDEX('3.員工名單'!$D:$D,MATCH(A866,'3.員工名單'!$A:$A,0)),""))</f>
        <v/>
      </c>
      <c r="E866" s="120">
        <f t="array" ref="E866:E866">IF(F866="","",IFERROR(INDEX('1.職能辭典'!$A:$A,MATCH(F866,'1.職能辭典'!$C:$C,0)),""))</f>
        <v/>
      </c>
      <c r="F866" s="94" t="n"/>
      <c r="G866" s="120">
        <f t="array" ref="G866:G866">IF(OR(D866="",F866=""),"",IFERROR(IF(AND(OR(INDEX('1.職能辭典'!$J:$J,MATCH(F866,'1.職能辭典'!$C:$C,0))="全部",INDEX('3.員工名單'!$H:$H,MATCH(A866,'3.員工名單'!$A:$A,0))="兩款共用",INDEX('3.員工名單'!$H:$H,MATCH(A866,'3.員工名單'!$A:$A,0))=INDEX('1.職能辭典'!$J:$J,MATCH(F866,'1.職能辭典'!$C:$C,0))),OR(INDEX('1.職能辭典'!$K:$K,MATCH(F866,'1.職能辭典'!$C:$C,0))="全部",SUMPRODUCT(ISNUMBER(SEARCH({"經營","管理","財務","企劃","營運","技術","數據","美術","測試","客服"},INDEX('3.員工名單'!$I:$I,MATCH(A866,'3.員工名單'!$A:$A,0))))*ISNUMBER(SEARCH({"經營","管理","財務","企劃","營運","技術","數據","美術","測試","客服"},INDEX('1.職能辭典'!$K:$K,MATCH(F866,'1.職能辭典'!$C:$C,0)))))&gt;0)),INDEX('2.職務職能需求'!$B$2:$F$28,MATCH(F866,'2.職務職能需求'!$A$2:$A$28,0),MATCH(D866,'2.職務職能需求'!$B$1:$F$1,0)),0),""))</f>
        <v/>
      </c>
      <c r="H866" s="94" t="n"/>
      <c r="I866" s="94" t="n"/>
      <c r="J866" s="120">
        <f>IF(OR(G866="",I866="",G866=0),"",I866-G866)</f>
        <v/>
      </c>
      <c r="K866" s="120">
        <f>IF(G866="","",IF(G866=0,"不適用",IF(I866="","待評核",IF(I866&gt;=G866,IF(I866&gt;G866,"超越","達標"),"待發展"))))</f>
        <v/>
      </c>
      <c r="L866" s="91" t="n"/>
      <c r="M866" s="91" t="n"/>
      <c r="N866" s="88" t="n"/>
    </row>
    <row r="867" ht="15.75" customHeight="1" s="64">
      <c r="A867" s="88" t="n"/>
      <c r="B867" s="120">
        <f t="array" ref="B867:B867">IF(A867="","",IFERROR(INDEX('3.員工名單'!$B:$B,MATCH(A867,'3.員工名單'!$A:$A,0)),"查無此員工"))</f>
        <v/>
      </c>
      <c r="C867" s="120">
        <f t="array" ref="C867:C867">IF(A867="","",IFERROR(INDEX('3.員工名單'!$C:$C,MATCH(A867,'3.員工名單'!$A:$A,0)),""))</f>
        <v/>
      </c>
      <c r="D867" s="120">
        <f t="array" ref="D867:D867">IF(A867="","",IFERROR(INDEX('3.員工名單'!$D:$D,MATCH(A867,'3.員工名單'!$A:$A,0)),""))</f>
        <v/>
      </c>
      <c r="E867" s="120">
        <f t="array" ref="E867:E867">IF(F867="","",IFERROR(INDEX('1.職能辭典'!$A:$A,MATCH(F867,'1.職能辭典'!$C:$C,0)),""))</f>
        <v/>
      </c>
      <c r="F867" s="94" t="n"/>
      <c r="G867" s="120">
        <f t="array" ref="G867:G867">IF(OR(D867="",F867=""),"",IFERROR(IF(AND(OR(INDEX('1.職能辭典'!$J:$J,MATCH(F867,'1.職能辭典'!$C:$C,0))="全部",INDEX('3.員工名單'!$H:$H,MATCH(A867,'3.員工名單'!$A:$A,0))="兩款共用",INDEX('3.員工名單'!$H:$H,MATCH(A867,'3.員工名單'!$A:$A,0))=INDEX('1.職能辭典'!$J:$J,MATCH(F867,'1.職能辭典'!$C:$C,0))),OR(INDEX('1.職能辭典'!$K:$K,MATCH(F867,'1.職能辭典'!$C:$C,0))="全部",SUMPRODUCT(ISNUMBER(SEARCH({"經營","管理","財務","企劃","營運","技術","數據","美術","測試","客服"},INDEX('3.員工名單'!$I:$I,MATCH(A867,'3.員工名單'!$A:$A,0))))*ISNUMBER(SEARCH({"經營","管理","財務","企劃","營運","技術","數據","美術","測試","客服"},INDEX('1.職能辭典'!$K:$K,MATCH(F867,'1.職能辭典'!$C:$C,0)))))&gt;0)),INDEX('2.職務職能需求'!$B$2:$F$28,MATCH(F867,'2.職務職能需求'!$A$2:$A$28,0),MATCH(D867,'2.職務職能需求'!$B$1:$F$1,0)),0),""))</f>
        <v/>
      </c>
      <c r="H867" s="94" t="n"/>
      <c r="I867" s="94" t="n"/>
      <c r="J867" s="120">
        <f>IF(OR(G867="",I867="",G867=0),"",I867-G867)</f>
        <v/>
      </c>
      <c r="K867" s="120">
        <f>IF(G867="","",IF(G867=0,"不適用",IF(I867="","待評核",IF(I867&gt;=G867,IF(I867&gt;G867,"超越","達標"),"待發展"))))</f>
        <v/>
      </c>
      <c r="L867" s="91" t="n"/>
      <c r="M867" s="91" t="n"/>
      <c r="N867" s="88" t="n"/>
    </row>
    <row r="868" ht="15.75" customHeight="1" s="64">
      <c r="A868" s="88" t="n"/>
      <c r="B868" s="120">
        <f t="array" ref="B868:B868">IF(A868="","",IFERROR(INDEX('3.員工名單'!$B:$B,MATCH(A868,'3.員工名單'!$A:$A,0)),"查無此員工"))</f>
        <v/>
      </c>
      <c r="C868" s="120">
        <f t="array" ref="C868:C868">IF(A868="","",IFERROR(INDEX('3.員工名單'!$C:$C,MATCH(A868,'3.員工名單'!$A:$A,0)),""))</f>
        <v/>
      </c>
      <c r="D868" s="120">
        <f t="array" ref="D868:D868">IF(A868="","",IFERROR(INDEX('3.員工名單'!$D:$D,MATCH(A868,'3.員工名單'!$A:$A,0)),""))</f>
        <v/>
      </c>
      <c r="E868" s="120">
        <f t="array" ref="E868:E868">IF(F868="","",IFERROR(INDEX('1.職能辭典'!$A:$A,MATCH(F868,'1.職能辭典'!$C:$C,0)),""))</f>
        <v/>
      </c>
      <c r="F868" s="94" t="n"/>
      <c r="G868" s="120">
        <f t="array" ref="G868:G868">IF(OR(D868="",F868=""),"",IFERROR(IF(AND(OR(INDEX('1.職能辭典'!$J:$J,MATCH(F868,'1.職能辭典'!$C:$C,0))="全部",INDEX('3.員工名單'!$H:$H,MATCH(A868,'3.員工名單'!$A:$A,0))="兩款共用",INDEX('3.員工名單'!$H:$H,MATCH(A868,'3.員工名單'!$A:$A,0))=INDEX('1.職能辭典'!$J:$J,MATCH(F868,'1.職能辭典'!$C:$C,0))),OR(INDEX('1.職能辭典'!$K:$K,MATCH(F868,'1.職能辭典'!$C:$C,0))="全部",SUMPRODUCT(ISNUMBER(SEARCH({"經營","管理","財務","企劃","營運","技術","數據","美術","測試","客服"},INDEX('3.員工名單'!$I:$I,MATCH(A868,'3.員工名單'!$A:$A,0))))*ISNUMBER(SEARCH({"經營","管理","財務","企劃","營運","技術","數據","美術","測試","客服"},INDEX('1.職能辭典'!$K:$K,MATCH(F868,'1.職能辭典'!$C:$C,0)))))&gt;0)),INDEX('2.職務職能需求'!$B$2:$F$28,MATCH(F868,'2.職務職能需求'!$A$2:$A$28,0),MATCH(D868,'2.職務職能需求'!$B$1:$F$1,0)),0),""))</f>
        <v/>
      </c>
      <c r="H868" s="94" t="n"/>
      <c r="I868" s="94" t="n"/>
      <c r="J868" s="120">
        <f>IF(OR(G868="",I868="",G868=0),"",I868-G868)</f>
        <v/>
      </c>
      <c r="K868" s="120">
        <f>IF(G868="","",IF(G868=0,"不適用",IF(I868="","待評核",IF(I868&gt;=G868,IF(I868&gt;G868,"超越","達標"),"待發展"))))</f>
        <v/>
      </c>
      <c r="L868" s="91" t="n"/>
      <c r="M868" s="91" t="n"/>
      <c r="N868" s="88" t="n"/>
    </row>
    <row r="869" ht="15.75" customHeight="1" s="64">
      <c r="A869" s="88" t="n"/>
      <c r="B869" s="120">
        <f t="array" ref="B869:B869">IF(A869="","",IFERROR(INDEX('3.員工名單'!$B:$B,MATCH(A869,'3.員工名單'!$A:$A,0)),"查無此員工"))</f>
        <v/>
      </c>
      <c r="C869" s="120">
        <f t="array" ref="C869:C869">IF(A869="","",IFERROR(INDEX('3.員工名單'!$C:$C,MATCH(A869,'3.員工名單'!$A:$A,0)),""))</f>
        <v/>
      </c>
      <c r="D869" s="120">
        <f t="array" ref="D869:D869">IF(A869="","",IFERROR(INDEX('3.員工名單'!$D:$D,MATCH(A869,'3.員工名單'!$A:$A,0)),""))</f>
        <v/>
      </c>
      <c r="E869" s="120">
        <f t="array" ref="E869:E869">IF(F869="","",IFERROR(INDEX('1.職能辭典'!$A:$A,MATCH(F869,'1.職能辭典'!$C:$C,0)),""))</f>
        <v/>
      </c>
      <c r="F869" s="94" t="n"/>
      <c r="G869" s="120">
        <f t="array" ref="G869:G869">IF(OR(D869="",F869=""),"",IFERROR(IF(AND(OR(INDEX('1.職能辭典'!$J:$J,MATCH(F869,'1.職能辭典'!$C:$C,0))="全部",INDEX('3.員工名單'!$H:$H,MATCH(A869,'3.員工名單'!$A:$A,0))="兩款共用",INDEX('3.員工名單'!$H:$H,MATCH(A869,'3.員工名單'!$A:$A,0))=INDEX('1.職能辭典'!$J:$J,MATCH(F869,'1.職能辭典'!$C:$C,0))),OR(INDEX('1.職能辭典'!$K:$K,MATCH(F869,'1.職能辭典'!$C:$C,0))="全部",SUMPRODUCT(ISNUMBER(SEARCH({"經營","管理","財務","企劃","營運","技術","數據","美術","測試","客服"},INDEX('3.員工名單'!$I:$I,MATCH(A869,'3.員工名單'!$A:$A,0))))*ISNUMBER(SEARCH({"經營","管理","財務","企劃","營運","技術","數據","美術","測試","客服"},INDEX('1.職能辭典'!$K:$K,MATCH(F869,'1.職能辭典'!$C:$C,0)))))&gt;0)),INDEX('2.職務職能需求'!$B$2:$F$28,MATCH(F869,'2.職務職能需求'!$A$2:$A$28,0),MATCH(D869,'2.職務職能需求'!$B$1:$F$1,0)),0),""))</f>
        <v/>
      </c>
      <c r="H869" s="94" t="n"/>
      <c r="I869" s="94" t="n"/>
      <c r="J869" s="120">
        <f>IF(OR(G869="",I869="",G869=0),"",I869-G869)</f>
        <v/>
      </c>
      <c r="K869" s="120">
        <f>IF(G869="","",IF(G869=0,"不適用",IF(I869="","待評核",IF(I869&gt;=G869,IF(I869&gt;G869,"超越","達標"),"待發展"))))</f>
        <v/>
      </c>
      <c r="L869" s="91" t="n"/>
      <c r="M869" s="91" t="n"/>
      <c r="N869" s="88" t="n"/>
    </row>
    <row r="870" ht="15.75" customHeight="1" s="64">
      <c r="A870" s="88" t="n"/>
      <c r="B870" s="120">
        <f t="array" ref="B870:B870">IF(A870="","",IFERROR(INDEX('3.員工名單'!$B:$B,MATCH(A870,'3.員工名單'!$A:$A,0)),"查無此員工"))</f>
        <v/>
      </c>
      <c r="C870" s="120">
        <f t="array" ref="C870:C870">IF(A870="","",IFERROR(INDEX('3.員工名單'!$C:$C,MATCH(A870,'3.員工名單'!$A:$A,0)),""))</f>
        <v/>
      </c>
      <c r="D870" s="120">
        <f t="array" ref="D870:D870">IF(A870="","",IFERROR(INDEX('3.員工名單'!$D:$D,MATCH(A870,'3.員工名單'!$A:$A,0)),""))</f>
        <v/>
      </c>
      <c r="E870" s="120">
        <f t="array" ref="E870:E870">IF(F870="","",IFERROR(INDEX('1.職能辭典'!$A:$A,MATCH(F870,'1.職能辭典'!$C:$C,0)),""))</f>
        <v/>
      </c>
      <c r="F870" s="94" t="n"/>
      <c r="G870" s="120">
        <f t="array" ref="G870:G870">IF(OR(D870="",F870=""),"",IFERROR(IF(AND(OR(INDEX('1.職能辭典'!$J:$J,MATCH(F870,'1.職能辭典'!$C:$C,0))="全部",INDEX('3.員工名單'!$H:$H,MATCH(A870,'3.員工名單'!$A:$A,0))="兩款共用",INDEX('3.員工名單'!$H:$H,MATCH(A870,'3.員工名單'!$A:$A,0))=INDEX('1.職能辭典'!$J:$J,MATCH(F870,'1.職能辭典'!$C:$C,0))),OR(INDEX('1.職能辭典'!$K:$K,MATCH(F870,'1.職能辭典'!$C:$C,0))="全部",SUMPRODUCT(ISNUMBER(SEARCH({"經營","管理","財務","企劃","營運","技術","數據","美術","測試","客服"},INDEX('3.員工名單'!$I:$I,MATCH(A870,'3.員工名單'!$A:$A,0))))*ISNUMBER(SEARCH({"經營","管理","財務","企劃","營運","技術","數據","美術","測試","客服"},INDEX('1.職能辭典'!$K:$K,MATCH(F870,'1.職能辭典'!$C:$C,0)))))&gt;0)),INDEX('2.職務職能需求'!$B$2:$F$28,MATCH(F870,'2.職務職能需求'!$A$2:$A$28,0),MATCH(D870,'2.職務職能需求'!$B$1:$F$1,0)),0),""))</f>
        <v/>
      </c>
      <c r="H870" s="94" t="n"/>
      <c r="I870" s="94" t="n"/>
      <c r="J870" s="120">
        <f>IF(OR(G870="",I870="",G870=0),"",I870-G870)</f>
        <v/>
      </c>
      <c r="K870" s="120">
        <f>IF(G870="","",IF(G870=0,"不適用",IF(I870="","待評核",IF(I870&gt;=G870,IF(I870&gt;G870,"超越","達標"),"待發展"))))</f>
        <v/>
      </c>
      <c r="L870" s="91" t="n"/>
      <c r="M870" s="91" t="n"/>
      <c r="N870" s="88" t="n"/>
    </row>
    <row r="871" ht="15.75" customHeight="1" s="64">
      <c r="A871" s="88" t="n"/>
      <c r="B871" s="120">
        <f t="array" ref="B871:B871">IF(A871="","",IFERROR(INDEX('3.員工名單'!$B:$B,MATCH(A871,'3.員工名單'!$A:$A,0)),"查無此員工"))</f>
        <v/>
      </c>
      <c r="C871" s="120">
        <f t="array" ref="C871:C871">IF(A871="","",IFERROR(INDEX('3.員工名單'!$C:$C,MATCH(A871,'3.員工名單'!$A:$A,0)),""))</f>
        <v/>
      </c>
      <c r="D871" s="120">
        <f t="array" ref="D871:D871">IF(A871="","",IFERROR(INDEX('3.員工名單'!$D:$D,MATCH(A871,'3.員工名單'!$A:$A,0)),""))</f>
        <v/>
      </c>
      <c r="E871" s="120">
        <f t="array" ref="E871:E871">IF(F871="","",IFERROR(INDEX('1.職能辭典'!$A:$A,MATCH(F871,'1.職能辭典'!$C:$C,0)),""))</f>
        <v/>
      </c>
      <c r="F871" s="94" t="n"/>
      <c r="G871" s="120">
        <f t="array" ref="G871:G871">IF(OR(D871="",F871=""),"",IFERROR(IF(AND(OR(INDEX('1.職能辭典'!$J:$J,MATCH(F871,'1.職能辭典'!$C:$C,0))="全部",INDEX('3.員工名單'!$H:$H,MATCH(A871,'3.員工名單'!$A:$A,0))="兩款共用",INDEX('3.員工名單'!$H:$H,MATCH(A871,'3.員工名單'!$A:$A,0))=INDEX('1.職能辭典'!$J:$J,MATCH(F871,'1.職能辭典'!$C:$C,0))),OR(INDEX('1.職能辭典'!$K:$K,MATCH(F871,'1.職能辭典'!$C:$C,0))="全部",SUMPRODUCT(ISNUMBER(SEARCH({"經營","管理","財務","企劃","營運","技術","數據","美術","測試","客服"},INDEX('3.員工名單'!$I:$I,MATCH(A871,'3.員工名單'!$A:$A,0))))*ISNUMBER(SEARCH({"經營","管理","財務","企劃","營運","技術","數據","美術","測試","客服"},INDEX('1.職能辭典'!$K:$K,MATCH(F871,'1.職能辭典'!$C:$C,0)))))&gt;0)),INDEX('2.職務職能需求'!$B$2:$F$28,MATCH(F871,'2.職務職能需求'!$A$2:$A$28,0),MATCH(D871,'2.職務職能需求'!$B$1:$F$1,0)),0),""))</f>
        <v/>
      </c>
      <c r="H871" s="94" t="n"/>
      <c r="I871" s="94" t="n"/>
      <c r="J871" s="120">
        <f>IF(OR(G871="",I871="",G871=0),"",I871-G871)</f>
        <v/>
      </c>
      <c r="K871" s="120">
        <f>IF(G871="","",IF(G871=0,"不適用",IF(I871="","待評核",IF(I871&gt;=G871,IF(I871&gt;G871,"超越","達標"),"待發展"))))</f>
        <v/>
      </c>
      <c r="L871" s="91" t="n"/>
      <c r="M871" s="91" t="n"/>
      <c r="N871" s="88" t="n"/>
    </row>
    <row r="872" ht="15.75" customHeight="1" s="64">
      <c r="A872" s="88" t="n"/>
      <c r="B872" s="120">
        <f t="array" ref="B872:B872">IF(A872="","",IFERROR(INDEX('3.員工名單'!$B:$B,MATCH(A872,'3.員工名單'!$A:$A,0)),"查無此員工"))</f>
        <v/>
      </c>
      <c r="C872" s="120">
        <f t="array" ref="C872:C872">IF(A872="","",IFERROR(INDEX('3.員工名單'!$C:$C,MATCH(A872,'3.員工名單'!$A:$A,0)),""))</f>
        <v/>
      </c>
      <c r="D872" s="120">
        <f t="array" ref="D872:D872">IF(A872="","",IFERROR(INDEX('3.員工名單'!$D:$D,MATCH(A872,'3.員工名單'!$A:$A,0)),""))</f>
        <v/>
      </c>
      <c r="E872" s="120">
        <f t="array" ref="E872:E872">IF(F872="","",IFERROR(INDEX('1.職能辭典'!$A:$A,MATCH(F872,'1.職能辭典'!$C:$C,0)),""))</f>
        <v/>
      </c>
      <c r="F872" s="94" t="n"/>
      <c r="G872" s="120">
        <f t="array" ref="G872:G872">IF(OR(D872="",F872=""),"",IFERROR(IF(AND(OR(INDEX('1.職能辭典'!$J:$J,MATCH(F872,'1.職能辭典'!$C:$C,0))="全部",INDEX('3.員工名單'!$H:$H,MATCH(A872,'3.員工名單'!$A:$A,0))="兩款共用",INDEX('3.員工名單'!$H:$H,MATCH(A872,'3.員工名單'!$A:$A,0))=INDEX('1.職能辭典'!$J:$J,MATCH(F872,'1.職能辭典'!$C:$C,0))),OR(INDEX('1.職能辭典'!$K:$K,MATCH(F872,'1.職能辭典'!$C:$C,0))="全部",SUMPRODUCT(ISNUMBER(SEARCH({"經營","管理","財務","企劃","營運","技術","數據","美術","測試","客服"},INDEX('3.員工名單'!$I:$I,MATCH(A872,'3.員工名單'!$A:$A,0))))*ISNUMBER(SEARCH({"經營","管理","財務","企劃","營運","技術","數據","美術","測試","客服"},INDEX('1.職能辭典'!$K:$K,MATCH(F872,'1.職能辭典'!$C:$C,0)))))&gt;0)),INDEX('2.職務職能需求'!$B$2:$F$28,MATCH(F872,'2.職務職能需求'!$A$2:$A$28,0),MATCH(D872,'2.職務職能需求'!$B$1:$F$1,0)),0),""))</f>
        <v/>
      </c>
      <c r="H872" s="94" t="n"/>
      <c r="I872" s="94" t="n"/>
      <c r="J872" s="120">
        <f>IF(OR(G872="",I872="",G872=0),"",I872-G872)</f>
        <v/>
      </c>
      <c r="K872" s="120">
        <f>IF(G872="","",IF(G872=0,"不適用",IF(I872="","待評核",IF(I872&gt;=G872,IF(I872&gt;G872,"超越","達標"),"待發展"))))</f>
        <v/>
      </c>
      <c r="L872" s="91" t="n"/>
      <c r="M872" s="91" t="n"/>
      <c r="N872" s="88" t="n"/>
    </row>
    <row r="873" ht="15.75" customHeight="1" s="64">
      <c r="A873" s="88" t="n"/>
      <c r="B873" s="120">
        <f t="array" ref="B873:B873">IF(A873="","",IFERROR(INDEX('3.員工名單'!$B:$B,MATCH(A873,'3.員工名單'!$A:$A,0)),"查無此員工"))</f>
        <v/>
      </c>
      <c r="C873" s="120">
        <f t="array" ref="C873:C873">IF(A873="","",IFERROR(INDEX('3.員工名單'!$C:$C,MATCH(A873,'3.員工名單'!$A:$A,0)),""))</f>
        <v/>
      </c>
      <c r="D873" s="120">
        <f t="array" ref="D873:D873">IF(A873="","",IFERROR(INDEX('3.員工名單'!$D:$D,MATCH(A873,'3.員工名單'!$A:$A,0)),""))</f>
        <v/>
      </c>
      <c r="E873" s="120">
        <f t="array" ref="E873:E873">IF(F873="","",IFERROR(INDEX('1.職能辭典'!$A:$A,MATCH(F873,'1.職能辭典'!$C:$C,0)),""))</f>
        <v/>
      </c>
      <c r="F873" s="94" t="n"/>
      <c r="G873" s="120">
        <f t="array" ref="G873:G873">IF(OR(D873="",F873=""),"",IFERROR(IF(AND(OR(INDEX('1.職能辭典'!$J:$J,MATCH(F873,'1.職能辭典'!$C:$C,0))="全部",INDEX('3.員工名單'!$H:$H,MATCH(A873,'3.員工名單'!$A:$A,0))="兩款共用",INDEX('3.員工名單'!$H:$H,MATCH(A873,'3.員工名單'!$A:$A,0))=INDEX('1.職能辭典'!$J:$J,MATCH(F873,'1.職能辭典'!$C:$C,0))),OR(INDEX('1.職能辭典'!$K:$K,MATCH(F873,'1.職能辭典'!$C:$C,0))="全部",SUMPRODUCT(ISNUMBER(SEARCH({"經營","管理","財務","企劃","營運","技術","數據","美術","測試","客服"},INDEX('3.員工名單'!$I:$I,MATCH(A873,'3.員工名單'!$A:$A,0))))*ISNUMBER(SEARCH({"經營","管理","財務","企劃","營運","技術","數據","美術","測試","客服"},INDEX('1.職能辭典'!$K:$K,MATCH(F873,'1.職能辭典'!$C:$C,0)))))&gt;0)),INDEX('2.職務職能需求'!$B$2:$F$28,MATCH(F873,'2.職務職能需求'!$A$2:$A$28,0),MATCH(D873,'2.職務職能需求'!$B$1:$F$1,0)),0),""))</f>
        <v/>
      </c>
      <c r="H873" s="94" t="n"/>
      <c r="I873" s="94" t="n"/>
      <c r="J873" s="120">
        <f>IF(OR(G873="",I873="",G873=0),"",I873-G873)</f>
        <v/>
      </c>
      <c r="K873" s="120">
        <f>IF(G873="","",IF(G873=0,"不適用",IF(I873="","待評核",IF(I873&gt;=G873,IF(I873&gt;G873,"超越","達標"),"待發展"))))</f>
        <v/>
      </c>
      <c r="L873" s="91" t="n"/>
      <c r="M873" s="91" t="n"/>
      <c r="N873" s="88" t="n"/>
    </row>
    <row r="874" ht="15.75" customHeight="1" s="64">
      <c r="A874" s="88" t="n"/>
      <c r="B874" s="120">
        <f t="array" ref="B874:B874">IF(A874="","",IFERROR(INDEX('3.員工名單'!$B:$B,MATCH(A874,'3.員工名單'!$A:$A,0)),"查無此員工"))</f>
        <v/>
      </c>
      <c r="C874" s="120">
        <f t="array" ref="C874:C874">IF(A874="","",IFERROR(INDEX('3.員工名單'!$C:$C,MATCH(A874,'3.員工名單'!$A:$A,0)),""))</f>
        <v/>
      </c>
      <c r="D874" s="120">
        <f t="array" ref="D874:D874">IF(A874="","",IFERROR(INDEX('3.員工名單'!$D:$D,MATCH(A874,'3.員工名單'!$A:$A,0)),""))</f>
        <v/>
      </c>
      <c r="E874" s="120">
        <f t="array" ref="E874:E874">IF(F874="","",IFERROR(INDEX('1.職能辭典'!$A:$A,MATCH(F874,'1.職能辭典'!$C:$C,0)),""))</f>
        <v/>
      </c>
      <c r="F874" s="94" t="n"/>
      <c r="G874" s="120">
        <f t="array" ref="G874:G874">IF(OR(D874="",F874=""),"",IFERROR(IF(AND(OR(INDEX('1.職能辭典'!$J:$J,MATCH(F874,'1.職能辭典'!$C:$C,0))="全部",INDEX('3.員工名單'!$H:$H,MATCH(A874,'3.員工名單'!$A:$A,0))="兩款共用",INDEX('3.員工名單'!$H:$H,MATCH(A874,'3.員工名單'!$A:$A,0))=INDEX('1.職能辭典'!$J:$J,MATCH(F874,'1.職能辭典'!$C:$C,0))),OR(INDEX('1.職能辭典'!$K:$K,MATCH(F874,'1.職能辭典'!$C:$C,0))="全部",SUMPRODUCT(ISNUMBER(SEARCH({"經營","管理","財務","企劃","營運","技術","數據","美術","測試","客服"},INDEX('3.員工名單'!$I:$I,MATCH(A874,'3.員工名單'!$A:$A,0))))*ISNUMBER(SEARCH({"經營","管理","財務","企劃","營運","技術","數據","美術","測試","客服"},INDEX('1.職能辭典'!$K:$K,MATCH(F874,'1.職能辭典'!$C:$C,0)))))&gt;0)),INDEX('2.職務職能需求'!$B$2:$F$28,MATCH(F874,'2.職務職能需求'!$A$2:$A$28,0),MATCH(D874,'2.職務職能需求'!$B$1:$F$1,0)),0),""))</f>
        <v/>
      </c>
      <c r="H874" s="94" t="n"/>
      <c r="I874" s="94" t="n"/>
      <c r="J874" s="120">
        <f>IF(OR(G874="",I874="",G874=0),"",I874-G874)</f>
        <v/>
      </c>
      <c r="K874" s="120">
        <f>IF(G874="","",IF(G874=0,"不適用",IF(I874="","待評核",IF(I874&gt;=G874,IF(I874&gt;G874,"超越","達標"),"待發展"))))</f>
        <v/>
      </c>
      <c r="L874" s="91" t="n"/>
      <c r="M874" s="91" t="n"/>
      <c r="N874" s="88" t="n"/>
    </row>
    <row r="875" ht="15.75" customHeight="1" s="64">
      <c r="A875" s="88" t="n"/>
      <c r="B875" s="120">
        <f t="array" ref="B875:B875">IF(A875="","",IFERROR(INDEX('3.員工名單'!$B:$B,MATCH(A875,'3.員工名單'!$A:$A,0)),"查無此員工"))</f>
        <v/>
      </c>
      <c r="C875" s="120">
        <f t="array" ref="C875:C875">IF(A875="","",IFERROR(INDEX('3.員工名單'!$C:$C,MATCH(A875,'3.員工名單'!$A:$A,0)),""))</f>
        <v/>
      </c>
      <c r="D875" s="120">
        <f t="array" ref="D875:D875">IF(A875="","",IFERROR(INDEX('3.員工名單'!$D:$D,MATCH(A875,'3.員工名單'!$A:$A,0)),""))</f>
        <v/>
      </c>
      <c r="E875" s="120">
        <f t="array" ref="E875:E875">IF(F875="","",IFERROR(INDEX('1.職能辭典'!$A:$A,MATCH(F875,'1.職能辭典'!$C:$C,0)),""))</f>
        <v/>
      </c>
      <c r="F875" s="94" t="n"/>
      <c r="G875" s="120">
        <f t="array" ref="G875:G875">IF(OR(D875="",F875=""),"",IFERROR(IF(AND(OR(INDEX('1.職能辭典'!$J:$J,MATCH(F875,'1.職能辭典'!$C:$C,0))="全部",INDEX('3.員工名單'!$H:$H,MATCH(A875,'3.員工名單'!$A:$A,0))="兩款共用",INDEX('3.員工名單'!$H:$H,MATCH(A875,'3.員工名單'!$A:$A,0))=INDEX('1.職能辭典'!$J:$J,MATCH(F875,'1.職能辭典'!$C:$C,0))),OR(INDEX('1.職能辭典'!$K:$K,MATCH(F875,'1.職能辭典'!$C:$C,0))="全部",SUMPRODUCT(ISNUMBER(SEARCH({"經營","管理","財務","企劃","營運","技術","數據","美術","測試","客服"},INDEX('3.員工名單'!$I:$I,MATCH(A875,'3.員工名單'!$A:$A,0))))*ISNUMBER(SEARCH({"經營","管理","財務","企劃","營運","技術","數據","美術","測試","客服"},INDEX('1.職能辭典'!$K:$K,MATCH(F875,'1.職能辭典'!$C:$C,0)))))&gt;0)),INDEX('2.職務職能需求'!$B$2:$F$28,MATCH(F875,'2.職務職能需求'!$A$2:$A$28,0),MATCH(D875,'2.職務職能需求'!$B$1:$F$1,0)),0),""))</f>
        <v/>
      </c>
      <c r="H875" s="94" t="n"/>
      <c r="I875" s="94" t="n"/>
      <c r="J875" s="120">
        <f>IF(OR(G875="",I875="",G875=0),"",I875-G875)</f>
        <v/>
      </c>
      <c r="K875" s="120">
        <f>IF(G875="","",IF(G875=0,"不適用",IF(I875="","待評核",IF(I875&gt;=G875,IF(I875&gt;G875,"超越","達標"),"待發展"))))</f>
        <v/>
      </c>
      <c r="L875" s="91" t="n"/>
      <c r="M875" s="91" t="n"/>
      <c r="N875" s="88" t="n"/>
    </row>
    <row r="876" ht="15.75" customHeight="1" s="64">
      <c r="A876" s="88" t="n"/>
      <c r="B876" s="120">
        <f t="array" ref="B876:B876">IF(A876="","",IFERROR(INDEX('3.員工名單'!$B:$B,MATCH(A876,'3.員工名單'!$A:$A,0)),"查無此員工"))</f>
        <v/>
      </c>
      <c r="C876" s="120">
        <f t="array" ref="C876:C876">IF(A876="","",IFERROR(INDEX('3.員工名單'!$C:$C,MATCH(A876,'3.員工名單'!$A:$A,0)),""))</f>
        <v/>
      </c>
      <c r="D876" s="120">
        <f t="array" ref="D876:D876">IF(A876="","",IFERROR(INDEX('3.員工名單'!$D:$D,MATCH(A876,'3.員工名單'!$A:$A,0)),""))</f>
        <v/>
      </c>
      <c r="E876" s="120">
        <f t="array" ref="E876:E876">IF(F876="","",IFERROR(INDEX('1.職能辭典'!$A:$A,MATCH(F876,'1.職能辭典'!$C:$C,0)),""))</f>
        <v/>
      </c>
      <c r="F876" s="94" t="n"/>
      <c r="G876" s="120">
        <f t="array" ref="G876:G876">IF(OR(D876="",F876=""),"",IFERROR(IF(AND(OR(INDEX('1.職能辭典'!$J:$J,MATCH(F876,'1.職能辭典'!$C:$C,0))="全部",INDEX('3.員工名單'!$H:$H,MATCH(A876,'3.員工名單'!$A:$A,0))="兩款共用",INDEX('3.員工名單'!$H:$H,MATCH(A876,'3.員工名單'!$A:$A,0))=INDEX('1.職能辭典'!$J:$J,MATCH(F876,'1.職能辭典'!$C:$C,0))),OR(INDEX('1.職能辭典'!$K:$K,MATCH(F876,'1.職能辭典'!$C:$C,0))="全部",SUMPRODUCT(ISNUMBER(SEARCH({"經營","管理","財務","企劃","營運","技術","數據","美術","測試","客服"},INDEX('3.員工名單'!$I:$I,MATCH(A876,'3.員工名單'!$A:$A,0))))*ISNUMBER(SEARCH({"經營","管理","財務","企劃","營運","技術","數據","美術","測試","客服"},INDEX('1.職能辭典'!$K:$K,MATCH(F876,'1.職能辭典'!$C:$C,0)))))&gt;0)),INDEX('2.職務職能需求'!$B$2:$F$28,MATCH(F876,'2.職務職能需求'!$A$2:$A$28,0),MATCH(D876,'2.職務職能需求'!$B$1:$F$1,0)),0),""))</f>
        <v/>
      </c>
      <c r="H876" s="94" t="n"/>
      <c r="I876" s="94" t="n"/>
      <c r="J876" s="120">
        <f>IF(OR(G876="",I876="",G876=0),"",I876-G876)</f>
        <v/>
      </c>
      <c r="K876" s="120">
        <f>IF(G876="","",IF(G876=0,"不適用",IF(I876="","待評核",IF(I876&gt;=G876,IF(I876&gt;G876,"超越","達標"),"待發展"))))</f>
        <v/>
      </c>
      <c r="L876" s="91" t="n"/>
      <c r="M876" s="91" t="n"/>
      <c r="N876" s="88" t="n"/>
    </row>
    <row r="877" ht="15.75" customHeight="1" s="64">
      <c r="A877" s="88" t="n"/>
      <c r="B877" s="120">
        <f t="array" ref="B877:B877">IF(A877="","",IFERROR(INDEX('3.員工名單'!$B:$B,MATCH(A877,'3.員工名單'!$A:$A,0)),"查無此員工"))</f>
        <v/>
      </c>
      <c r="C877" s="120">
        <f t="array" ref="C877:C877">IF(A877="","",IFERROR(INDEX('3.員工名單'!$C:$C,MATCH(A877,'3.員工名單'!$A:$A,0)),""))</f>
        <v/>
      </c>
      <c r="D877" s="120">
        <f t="array" ref="D877:D877">IF(A877="","",IFERROR(INDEX('3.員工名單'!$D:$D,MATCH(A877,'3.員工名單'!$A:$A,0)),""))</f>
        <v/>
      </c>
      <c r="E877" s="120">
        <f t="array" ref="E877:E877">IF(F877="","",IFERROR(INDEX('1.職能辭典'!$A:$A,MATCH(F877,'1.職能辭典'!$C:$C,0)),""))</f>
        <v/>
      </c>
      <c r="F877" s="94" t="n"/>
      <c r="G877" s="120">
        <f t="array" ref="G877:G877">IF(OR(D877="",F877=""),"",IFERROR(IF(AND(OR(INDEX('1.職能辭典'!$J:$J,MATCH(F877,'1.職能辭典'!$C:$C,0))="全部",INDEX('3.員工名單'!$H:$H,MATCH(A877,'3.員工名單'!$A:$A,0))="兩款共用",INDEX('3.員工名單'!$H:$H,MATCH(A877,'3.員工名單'!$A:$A,0))=INDEX('1.職能辭典'!$J:$J,MATCH(F877,'1.職能辭典'!$C:$C,0))),OR(INDEX('1.職能辭典'!$K:$K,MATCH(F877,'1.職能辭典'!$C:$C,0))="全部",SUMPRODUCT(ISNUMBER(SEARCH({"經營","管理","財務","企劃","營運","技術","數據","美術","測試","客服"},INDEX('3.員工名單'!$I:$I,MATCH(A877,'3.員工名單'!$A:$A,0))))*ISNUMBER(SEARCH({"經營","管理","財務","企劃","營運","技術","數據","美術","測試","客服"},INDEX('1.職能辭典'!$K:$K,MATCH(F877,'1.職能辭典'!$C:$C,0)))))&gt;0)),INDEX('2.職務職能需求'!$B$2:$F$28,MATCH(F877,'2.職務職能需求'!$A$2:$A$28,0),MATCH(D877,'2.職務職能需求'!$B$1:$F$1,0)),0),""))</f>
        <v/>
      </c>
      <c r="H877" s="94" t="n"/>
      <c r="I877" s="94" t="n"/>
      <c r="J877" s="120">
        <f>IF(OR(G877="",I877="",G877=0),"",I877-G877)</f>
        <v/>
      </c>
      <c r="K877" s="120">
        <f>IF(G877="","",IF(G877=0,"不適用",IF(I877="","待評核",IF(I877&gt;=G877,IF(I877&gt;G877,"超越","達標"),"待發展"))))</f>
        <v/>
      </c>
      <c r="L877" s="91" t="n"/>
      <c r="M877" s="91" t="n"/>
      <c r="N877" s="88" t="n"/>
    </row>
    <row r="878" ht="15.75" customHeight="1" s="64">
      <c r="A878" s="88" t="n"/>
      <c r="B878" s="120">
        <f t="array" ref="B878:B878">IF(A878="","",IFERROR(INDEX('3.員工名單'!$B:$B,MATCH(A878,'3.員工名單'!$A:$A,0)),"查無此員工"))</f>
        <v/>
      </c>
      <c r="C878" s="120">
        <f t="array" ref="C878:C878">IF(A878="","",IFERROR(INDEX('3.員工名單'!$C:$C,MATCH(A878,'3.員工名單'!$A:$A,0)),""))</f>
        <v/>
      </c>
      <c r="D878" s="120">
        <f t="array" ref="D878:D878">IF(A878="","",IFERROR(INDEX('3.員工名單'!$D:$D,MATCH(A878,'3.員工名單'!$A:$A,0)),""))</f>
        <v/>
      </c>
      <c r="E878" s="120">
        <f t="array" ref="E878:E878">IF(F878="","",IFERROR(INDEX('1.職能辭典'!$A:$A,MATCH(F878,'1.職能辭典'!$C:$C,0)),""))</f>
        <v/>
      </c>
      <c r="F878" s="94" t="n"/>
      <c r="G878" s="120">
        <f t="array" ref="G878:G878">IF(OR(D878="",F878=""),"",IFERROR(IF(AND(OR(INDEX('1.職能辭典'!$J:$J,MATCH(F878,'1.職能辭典'!$C:$C,0))="全部",INDEX('3.員工名單'!$H:$H,MATCH(A878,'3.員工名單'!$A:$A,0))="兩款共用",INDEX('3.員工名單'!$H:$H,MATCH(A878,'3.員工名單'!$A:$A,0))=INDEX('1.職能辭典'!$J:$J,MATCH(F878,'1.職能辭典'!$C:$C,0))),OR(INDEX('1.職能辭典'!$K:$K,MATCH(F878,'1.職能辭典'!$C:$C,0))="全部",SUMPRODUCT(ISNUMBER(SEARCH({"經營","管理","財務","企劃","營運","技術","數據","美術","測試","客服"},INDEX('3.員工名單'!$I:$I,MATCH(A878,'3.員工名單'!$A:$A,0))))*ISNUMBER(SEARCH({"經營","管理","財務","企劃","營運","技術","數據","美術","測試","客服"},INDEX('1.職能辭典'!$K:$K,MATCH(F878,'1.職能辭典'!$C:$C,0)))))&gt;0)),INDEX('2.職務職能需求'!$B$2:$F$28,MATCH(F878,'2.職務職能需求'!$A$2:$A$28,0),MATCH(D878,'2.職務職能需求'!$B$1:$F$1,0)),0),""))</f>
        <v/>
      </c>
      <c r="H878" s="94" t="n"/>
      <c r="I878" s="94" t="n"/>
      <c r="J878" s="120">
        <f>IF(OR(G878="",I878="",G878=0),"",I878-G878)</f>
        <v/>
      </c>
      <c r="K878" s="120">
        <f>IF(G878="","",IF(G878=0,"不適用",IF(I878="","待評核",IF(I878&gt;=G878,IF(I878&gt;G878,"超越","達標"),"待發展"))))</f>
        <v/>
      </c>
      <c r="L878" s="91" t="n"/>
      <c r="M878" s="91" t="n"/>
      <c r="N878" s="88" t="n"/>
    </row>
    <row r="879" ht="15.75" customHeight="1" s="64">
      <c r="A879" s="88" t="n"/>
      <c r="B879" s="120">
        <f t="array" ref="B879:B879">IF(A879="","",IFERROR(INDEX('3.員工名單'!$B:$B,MATCH(A879,'3.員工名單'!$A:$A,0)),"查無此員工"))</f>
        <v/>
      </c>
      <c r="C879" s="120">
        <f t="array" ref="C879:C879">IF(A879="","",IFERROR(INDEX('3.員工名單'!$C:$C,MATCH(A879,'3.員工名單'!$A:$A,0)),""))</f>
        <v/>
      </c>
      <c r="D879" s="120">
        <f t="array" ref="D879:D879">IF(A879="","",IFERROR(INDEX('3.員工名單'!$D:$D,MATCH(A879,'3.員工名單'!$A:$A,0)),""))</f>
        <v/>
      </c>
      <c r="E879" s="120">
        <f t="array" ref="E879:E879">IF(F879="","",IFERROR(INDEX('1.職能辭典'!$A:$A,MATCH(F879,'1.職能辭典'!$C:$C,0)),""))</f>
        <v/>
      </c>
      <c r="F879" s="94" t="n"/>
      <c r="G879" s="120">
        <f t="array" ref="G879:G879">IF(OR(D879="",F879=""),"",IFERROR(IF(AND(OR(INDEX('1.職能辭典'!$J:$J,MATCH(F879,'1.職能辭典'!$C:$C,0))="全部",INDEX('3.員工名單'!$H:$H,MATCH(A879,'3.員工名單'!$A:$A,0))="兩款共用",INDEX('3.員工名單'!$H:$H,MATCH(A879,'3.員工名單'!$A:$A,0))=INDEX('1.職能辭典'!$J:$J,MATCH(F879,'1.職能辭典'!$C:$C,0))),OR(INDEX('1.職能辭典'!$K:$K,MATCH(F879,'1.職能辭典'!$C:$C,0))="全部",SUMPRODUCT(ISNUMBER(SEARCH({"經營","管理","財務","企劃","營運","技術","數據","美術","測試","客服"},INDEX('3.員工名單'!$I:$I,MATCH(A879,'3.員工名單'!$A:$A,0))))*ISNUMBER(SEARCH({"經營","管理","財務","企劃","營運","技術","數據","美術","測試","客服"},INDEX('1.職能辭典'!$K:$K,MATCH(F879,'1.職能辭典'!$C:$C,0)))))&gt;0)),INDEX('2.職務職能需求'!$B$2:$F$28,MATCH(F879,'2.職務職能需求'!$A$2:$A$28,0),MATCH(D879,'2.職務職能需求'!$B$1:$F$1,0)),0),""))</f>
        <v/>
      </c>
      <c r="H879" s="94" t="n"/>
      <c r="I879" s="94" t="n"/>
      <c r="J879" s="120">
        <f>IF(OR(G879="",I879="",G879=0),"",I879-G879)</f>
        <v/>
      </c>
      <c r="K879" s="120">
        <f>IF(G879="","",IF(G879=0,"不適用",IF(I879="","待評核",IF(I879&gt;=G879,IF(I879&gt;G879,"超越","達標"),"待發展"))))</f>
        <v/>
      </c>
      <c r="L879" s="91" t="n"/>
      <c r="M879" s="91" t="n"/>
      <c r="N879" s="88" t="n"/>
    </row>
    <row r="880" ht="15.75" customHeight="1" s="64">
      <c r="A880" s="88" t="n"/>
      <c r="B880" s="120">
        <f t="array" ref="B880:B880">IF(A880="","",IFERROR(INDEX('3.員工名單'!$B:$B,MATCH(A880,'3.員工名單'!$A:$A,0)),"查無此員工"))</f>
        <v/>
      </c>
      <c r="C880" s="120">
        <f t="array" ref="C880:C880">IF(A880="","",IFERROR(INDEX('3.員工名單'!$C:$C,MATCH(A880,'3.員工名單'!$A:$A,0)),""))</f>
        <v/>
      </c>
      <c r="D880" s="120">
        <f t="array" ref="D880:D880">IF(A880="","",IFERROR(INDEX('3.員工名單'!$D:$D,MATCH(A880,'3.員工名單'!$A:$A,0)),""))</f>
        <v/>
      </c>
      <c r="E880" s="120">
        <f t="array" ref="E880:E880">IF(F880="","",IFERROR(INDEX('1.職能辭典'!$A:$A,MATCH(F880,'1.職能辭典'!$C:$C,0)),""))</f>
        <v/>
      </c>
      <c r="F880" s="94" t="n"/>
      <c r="G880" s="120">
        <f t="array" ref="G880:G880">IF(OR(D880="",F880=""),"",IFERROR(IF(AND(OR(INDEX('1.職能辭典'!$J:$J,MATCH(F880,'1.職能辭典'!$C:$C,0))="全部",INDEX('3.員工名單'!$H:$H,MATCH(A880,'3.員工名單'!$A:$A,0))="兩款共用",INDEX('3.員工名單'!$H:$H,MATCH(A880,'3.員工名單'!$A:$A,0))=INDEX('1.職能辭典'!$J:$J,MATCH(F880,'1.職能辭典'!$C:$C,0))),OR(INDEX('1.職能辭典'!$K:$K,MATCH(F880,'1.職能辭典'!$C:$C,0))="全部",SUMPRODUCT(ISNUMBER(SEARCH({"經營","管理","財務","企劃","營運","技術","數據","美術","測試","客服"},INDEX('3.員工名單'!$I:$I,MATCH(A880,'3.員工名單'!$A:$A,0))))*ISNUMBER(SEARCH({"經營","管理","財務","企劃","營運","技術","數據","美術","測試","客服"},INDEX('1.職能辭典'!$K:$K,MATCH(F880,'1.職能辭典'!$C:$C,0)))))&gt;0)),INDEX('2.職務職能需求'!$B$2:$F$28,MATCH(F880,'2.職務職能需求'!$A$2:$A$28,0),MATCH(D880,'2.職務職能需求'!$B$1:$F$1,0)),0),""))</f>
        <v/>
      </c>
      <c r="H880" s="94" t="n"/>
      <c r="I880" s="94" t="n"/>
      <c r="J880" s="120">
        <f>IF(OR(G880="",I880="",G880=0),"",I880-G880)</f>
        <v/>
      </c>
      <c r="K880" s="120">
        <f>IF(G880="","",IF(G880=0,"不適用",IF(I880="","待評核",IF(I880&gt;=G880,IF(I880&gt;G880,"超越","達標"),"待發展"))))</f>
        <v/>
      </c>
      <c r="L880" s="91" t="n"/>
      <c r="M880" s="91" t="n"/>
      <c r="N880" s="88" t="n"/>
    </row>
    <row r="881" ht="15.75" customHeight="1" s="64">
      <c r="A881" s="88" t="n"/>
      <c r="B881" s="120">
        <f t="array" ref="B881:B881">IF(A881="","",IFERROR(INDEX('3.員工名單'!$B:$B,MATCH(A881,'3.員工名單'!$A:$A,0)),"查無此員工"))</f>
        <v/>
      </c>
      <c r="C881" s="120">
        <f t="array" ref="C881:C881">IF(A881="","",IFERROR(INDEX('3.員工名單'!$C:$C,MATCH(A881,'3.員工名單'!$A:$A,0)),""))</f>
        <v/>
      </c>
      <c r="D881" s="120">
        <f t="array" ref="D881:D881">IF(A881="","",IFERROR(INDEX('3.員工名單'!$D:$D,MATCH(A881,'3.員工名單'!$A:$A,0)),""))</f>
        <v/>
      </c>
      <c r="E881" s="120">
        <f t="array" ref="E881:E881">IF(F881="","",IFERROR(INDEX('1.職能辭典'!$A:$A,MATCH(F881,'1.職能辭典'!$C:$C,0)),""))</f>
        <v/>
      </c>
      <c r="F881" s="94" t="n"/>
      <c r="G881" s="120">
        <f t="array" ref="G881:G881">IF(OR(D881="",F881=""),"",IFERROR(IF(AND(OR(INDEX('1.職能辭典'!$J:$J,MATCH(F881,'1.職能辭典'!$C:$C,0))="全部",INDEX('3.員工名單'!$H:$H,MATCH(A881,'3.員工名單'!$A:$A,0))="兩款共用",INDEX('3.員工名單'!$H:$H,MATCH(A881,'3.員工名單'!$A:$A,0))=INDEX('1.職能辭典'!$J:$J,MATCH(F881,'1.職能辭典'!$C:$C,0))),OR(INDEX('1.職能辭典'!$K:$K,MATCH(F881,'1.職能辭典'!$C:$C,0))="全部",SUMPRODUCT(ISNUMBER(SEARCH({"經營","管理","財務","企劃","營運","技術","數據","美術","測試","客服"},INDEX('3.員工名單'!$I:$I,MATCH(A881,'3.員工名單'!$A:$A,0))))*ISNUMBER(SEARCH({"經營","管理","財務","企劃","營運","技術","數據","美術","測試","客服"},INDEX('1.職能辭典'!$K:$K,MATCH(F881,'1.職能辭典'!$C:$C,0)))))&gt;0)),INDEX('2.職務職能需求'!$B$2:$F$28,MATCH(F881,'2.職務職能需求'!$A$2:$A$28,0),MATCH(D881,'2.職務職能需求'!$B$1:$F$1,0)),0),""))</f>
        <v/>
      </c>
      <c r="H881" s="94" t="n"/>
      <c r="I881" s="94" t="n"/>
      <c r="J881" s="120">
        <f>IF(OR(G881="",I881="",G881=0),"",I881-G881)</f>
        <v/>
      </c>
      <c r="K881" s="120">
        <f>IF(G881="","",IF(G881=0,"不適用",IF(I881="","待評核",IF(I881&gt;=G881,IF(I881&gt;G881,"超越","達標"),"待發展"))))</f>
        <v/>
      </c>
      <c r="L881" s="91" t="n"/>
      <c r="M881" s="91" t="n"/>
      <c r="N881" s="88" t="n"/>
    </row>
    <row r="882" ht="15.75" customHeight="1" s="64">
      <c r="A882" s="88" t="n"/>
      <c r="B882" s="120">
        <f t="array" ref="B882:B882">IF(A882="","",IFERROR(INDEX('3.員工名單'!$B:$B,MATCH(A882,'3.員工名單'!$A:$A,0)),"查無此員工"))</f>
        <v/>
      </c>
      <c r="C882" s="120">
        <f t="array" ref="C882:C882">IF(A882="","",IFERROR(INDEX('3.員工名單'!$C:$C,MATCH(A882,'3.員工名單'!$A:$A,0)),""))</f>
        <v/>
      </c>
      <c r="D882" s="120">
        <f t="array" ref="D882:D882">IF(A882="","",IFERROR(INDEX('3.員工名單'!$D:$D,MATCH(A882,'3.員工名單'!$A:$A,0)),""))</f>
        <v/>
      </c>
      <c r="E882" s="120">
        <f t="array" ref="E882:E882">IF(F882="","",IFERROR(INDEX('1.職能辭典'!$A:$A,MATCH(F882,'1.職能辭典'!$C:$C,0)),""))</f>
        <v/>
      </c>
      <c r="F882" s="94" t="n"/>
      <c r="G882" s="120">
        <f t="array" ref="G882:G882">IF(OR(D882="",F882=""),"",IFERROR(IF(AND(OR(INDEX('1.職能辭典'!$J:$J,MATCH(F882,'1.職能辭典'!$C:$C,0))="全部",INDEX('3.員工名單'!$H:$H,MATCH(A882,'3.員工名單'!$A:$A,0))="兩款共用",INDEX('3.員工名單'!$H:$H,MATCH(A882,'3.員工名單'!$A:$A,0))=INDEX('1.職能辭典'!$J:$J,MATCH(F882,'1.職能辭典'!$C:$C,0))),OR(INDEX('1.職能辭典'!$K:$K,MATCH(F882,'1.職能辭典'!$C:$C,0))="全部",SUMPRODUCT(ISNUMBER(SEARCH({"經營","管理","財務","企劃","營運","技術","數據","美術","測試","客服"},INDEX('3.員工名單'!$I:$I,MATCH(A882,'3.員工名單'!$A:$A,0))))*ISNUMBER(SEARCH({"經營","管理","財務","企劃","營運","技術","數據","美術","測試","客服"},INDEX('1.職能辭典'!$K:$K,MATCH(F882,'1.職能辭典'!$C:$C,0)))))&gt;0)),INDEX('2.職務職能需求'!$B$2:$F$28,MATCH(F882,'2.職務職能需求'!$A$2:$A$28,0),MATCH(D882,'2.職務職能需求'!$B$1:$F$1,0)),0),""))</f>
        <v/>
      </c>
      <c r="H882" s="94" t="n"/>
      <c r="I882" s="94" t="n"/>
      <c r="J882" s="120">
        <f>IF(OR(G882="",I882="",G882=0),"",I882-G882)</f>
        <v/>
      </c>
      <c r="K882" s="120">
        <f>IF(G882="","",IF(G882=0,"不適用",IF(I882="","待評核",IF(I882&gt;=G882,IF(I882&gt;G882,"超越","達標"),"待發展"))))</f>
        <v/>
      </c>
      <c r="L882" s="91" t="n"/>
      <c r="M882" s="91" t="n"/>
      <c r="N882" s="88" t="n"/>
    </row>
    <row r="883" ht="15.75" customHeight="1" s="64">
      <c r="A883" s="88" t="n"/>
      <c r="B883" s="120">
        <f t="array" ref="B883:B883">IF(A883="","",IFERROR(INDEX('3.員工名單'!$B:$B,MATCH(A883,'3.員工名單'!$A:$A,0)),"查無此員工"))</f>
        <v/>
      </c>
      <c r="C883" s="120">
        <f t="array" ref="C883:C883">IF(A883="","",IFERROR(INDEX('3.員工名單'!$C:$C,MATCH(A883,'3.員工名單'!$A:$A,0)),""))</f>
        <v/>
      </c>
      <c r="D883" s="120">
        <f t="array" ref="D883:D883">IF(A883="","",IFERROR(INDEX('3.員工名單'!$D:$D,MATCH(A883,'3.員工名單'!$A:$A,0)),""))</f>
        <v/>
      </c>
      <c r="E883" s="120">
        <f t="array" ref="E883:E883">IF(F883="","",IFERROR(INDEX('1.職能辭典'!$A:$A,MATCH(F883,'1.職能辭典'!$C:$C,0)),""))</f>
        <v/>
      </c>
      <c r="F883" s="94" t="n"/>
      <c r="G883" s="120">
        <f t="array" ref="G883:G883">IF(OR(D883="",F883=""),"",IFERROR(IF(AND(OR(INDEX('1.職能辭典'!$J:$J,MATCH(F883,'1.職能辭典'!$C:$C,0))="全部",INDEX('3.員工名單'!$H:$H,MATCH(A883,'3.員工名單'!$A:$A,0))="兩款共用",INDEX('3.員工名單'!$H:$H,MATCH(A883,'3.員工名單'!$A:$A,0))=INDEX('1.職能辭典'!$J:$J,MATCH(F883,'1.職能辭典'!$C:$C,0))),OR(INDEX('1.職能辭典'!$K:$K,MATCH(F883,'1.職能辭典'!$C:$C,0))="全部",SUMPRODUCT(ISNUMBER(SEARCH({"經營","管理","財務","企劃","營運","技術","數據","美術","測試","客服"},INDEX('3.員工名單'!$I:$I,MATCH(A883,'3.員工名單'!$A:$A,0))))*ISNUMBER(SEARCH({"經營","管理","財務","企劃","營運","技術","數據","美術","測試","客服"},INDEX('1.職能辭典'!$K:$K,MATCH(F883,'1.職能辭典'!$C:$C,0)))))&gt;0)),INDEX('2.職務職能需求'!$B$2:$F$28,MATCH(F883,'2.職務職能需求'!$A$2:$A$28,0),MATCH(D883,'2.職務職能需求'!$B$1:$F$1,0)),0),""))</f>
        <v/>
      </c>
      <c r="H883" s="94" t="n"/>
      <c r="I883" s="94" t="n"/>
      <c r="J883" s="120">
        <f>IF(OR(G883="",I883="",G883=0),"",I883-G883)</f>
        <v/>
      </c>
      <c r="K883" s="120">
        <f>IF(G883="","",IF(G883=0,"不適用",IF(I883="","待評核",IF(I883&gt;=G883,IF(I883&gt;G883,"超越","達標"),"待發展"))))</f>
        <v/>
      </c>
      <c r="L883" s="91" t="n"/>
      <c r="M883" s="91" t="n"/>
      <c r="N883" s="88" t="n"/>
    </row>
    <row r="884" ht="15.75" customHeight="1" s="64">
      <c r="A884" s="88" t="n"/>
      <c r="B884" s="120">
        <f t="array" ref="B884:B884">IF(A884="","",IFERROR(INDEX('3.員工名單'!$B:$B,MATCH(A884,'3.員工名單'!$A:$A,0)),"查無此員工"))</f>
        <v/>
      </c>
      <c r="C884" s="120">
        <f t="array" ref="C884:C884">IF(A884="","",IFERROR(INDEX('3.員工名單'!$C:$C,MATCH(A884,'3.員工名單'!$A:$A,0)),""))</f>
        <v/>
      </c>
      <c r="D884" s="120">
        <f t="array" ref="D884:D884">IF(A884="","",IFERROR(INDEX('3.員工名單'!$D:$D,MATCH(A884,'3.員工名單'!$A:$A,0)),""))</f>
        <v/>
      </c>
      <c r="E884" s="120">
        <f t="array" ref="E884:E884">IF(F884="","",IFERROR(INDEX('1.職能辭典'!$A:$A,MATCH(F884,'1.職能辭典'!$C:$C,0)),""))</f>
        <v/>
      </c>
      <c r="F884" s="94" t="n"/>
      <c r="G884" s="120">
        <f t="array" ref="G884:G884">IF(OR(D884="",F884=""),"",IFERROR(IF(AND(OR(INDEX('1.職能辭典'!$J:$J,MATCH(F884,'1.職能辭典'!$C:$C,0))="全部",INDEX('3.員工名單'!$H:$H,MATCH(A884,'3.員工名單'!$A:$A,0))="兩款共用",INDEX('3.員工名單'!$H:$H,MATCH(A884,'3.員工名單'!$A:$A,0))=INDEX('1.職能辭典'!$J:$J,MATCH(F884,'1.職能辭典'!$C:$C,0))),OR(INDEX('1.職能辭典'!$K:$K,MATCH(F884,'1.職能辭典'!$C:$C,0))="全部",SUMPRODUCT(ISNUMBER(SEARCH({"經營","管理","財務","企劃","營運","技術","數據","美術","測試","客服"},INDEX('3.員工名單'!$I:$I,MATCH(A884,'3.員工名單'!$A:$A,0))))*ISNUMBER(SEARCH({"經營","管理","財務","企劃","營運","技術","數據","美術","測試","客服"},INDEX('1.職能辭典'!$K:$K,MATCH(F884,'1.職能辭典'!$C:$C,0)))))&gt;0)),INDEX('2.職務職能需求'!$B$2:$F$28,MATCH(F884,'2.職務職能需求'!$A$2:$A$28,0),MATCH(D884,'2.職務職能需求'!$B$1:$F$1,0)),0),""))</f>
        <v/>
      </c>
      <c r="H884" s="94" t="n"/>
      <c r="I884" s="94" t="n"/>
      <c r="J884" s="120">
        <f>IF(OR(G884="",I884="",G884=0),"",I884-G884)</f>
        <v/>
      </c>
      <c r="K884" s="120">
        <f>IF(G884="","",IF(G884=0,"不適用",IF(I884="","待評核",IF(I884&gt;=G884,IF(I884&gt;G884,"超越","達標"),"待發展"))))</f>
        <v/>
      </c>
      <c r="L884" s="91" t="n"/>
      <c r="M884" s="91" t="n"/>
      <c r="N884" s="88" t="n"/>
    </row>
    <row r="885" ht="15.75" customHeight="1" s="64">
      <c r="A885" s="88" t="n"/>
      <c r="B885" s="120">
        <f t="array" ref="B885:B885">IF(A885="","",IFERROR(INDEX('3.員工名單'!$B:$B,MATCH(A885,'3.員工名單'!$A:$A,0)),"查無此員工"))</f>
        <v/>
      </c>
      <c r="C885" s="120">
        <f t="array" ref="C885:C885">IF(A885="","",IFERROR(INDEX('3.員工名單'!$C:$C,MATCH(A885,'3.員工名單'!$A:$A,0)),""))</f>
        <v/>
      </c>
      <c r="D885" s="120">
        <f t="array" ref="D885:D885">IF(A885="","",IFERROR(INDEX('3.員工名單'!$D:$D,MATCH(A885,'3.員工名單'!$A:$A,0)),""))</f>
        <v/>
      </c>
      <c r="E885" s="120">
        <f t="array" ref="E885:E885">IF(F885="","",IFERROR(INDEX('1.職能辭典'!$A:$A,MATCH(F885,'1.職能辭典'!$C:$C,0)),""))</f>
        <v/>
      </c>
      <c r="F885" s="94" t="n"/>
      <c r="G885" s="120">
        <f t="array" ref="G885:G885">IF(OR(D885="",F885=""),"",IFERROR(IF(AND(OR(INDEX('1.職能辭典'!$J:$J,MATCH(F885,'1.職能辭典'!$C:$C,0))="全部",INDEX('3.員工名單'!$H:$H,MATCH(A885,'3.員工名單'!$A:$A,0))="兩款共用",INDEX('3.員工名單'!$H:$H,MATCH(A885,'3.員工名單'!$A:$A,0))=INDEX('1.職能辭典'!$J:$J,MATCH(F885,'1.職能辭典'!$C:$C,0))),OR(INDEX('1.職能辭典'!$K:$K,MATCH(F885,'1.職能辭典'!$C:$C,0))="全部",SUMPRODUCT(ISNUMBER(SEARCH({"經營","管理","財務","企劃","營運","技術","數據","美術","測試","客服"},INDEX('3.員工名單'!$I:$I,MATCH(A885,'3.員工名單'!$A:$A,0))))*ISNUMBER(SEARCH({"經營","管理","財務","企劃","營運","技術","數據","美術","測試","客服"},INDEX('1.職能辭典'!$K:$K,MATCH(F885,'1.職能辭典'!$C:$C,0)))))&gt;0)),INDEX('2.職務職能需求'!$B$2:$F$28,MATCH(F885,'2.職務職能需求'!$A$2:$A$28,0),MATCH(D885,'2.職務職能需求'!$B$1:$F$1,0)),0),""))</f>
        <v/>
      </c>
      <c r="H885" s="94" t="n"/>
      <c r="I885" s="94" t="n"/>
      <c r="J885" s="120">
        <f>IF(OR(G885="",I885="",G885=0),"",I885-G885)</f>
        <v/>
      </c>
      <c r="K885" s="120">
        <f>IF(G885="","",IF(G885=0,"不適用",IF(I885="","待評核",IF(I885&gt;=G885,IF(I885&gt;G885,"超越","達標"),"待發展"))))</f>
        <v/>
      </c>
      <c r="L885" s="91" t="n"/>
      <c r="M885" s="91" t="n"/>
      <c r="N885" s="88" t="n"/>
    </row>
    <row r="886" ht="15.75" customHeight="1" s="64">
      <c r="A886" s="88" t="n"/>
      <c r="B886" s="120">
        <f t="array" ref="B886:B886">IF(A886="","",IFERROR(INDEX('3.員工名單'!$B:$B,MATCH(A886,'3.員工名單'!$A:$A,0)),"查無此員工"))</f>
        <v/>
      </c>
      <c r="C886" s="120">
        <f t="array" ref="C886:C886">IF(A886="","",IFERROR(INDEX('3.員工名單'!$C:$C,MATCH(A886,'3.員工名單'!$A:$A,0)),""))</f>
        <v/>
      </c>
      <c r="D886" s="120">
        <f t="array" ref="D886:D886">IF(A886="","",IFERROR(INDEX('3.員工名單'!$D:$D,MATCH(A886,'3.員工名單'!$A:$A,0)),""))</f>
        <v/>
      </c>
      <c r="E886" s="120">
        <f t="array" ref="E886:E886">IF(F886="","",IFERROR(INDEX('1.職能辭典'!$A:$A,MATCH(F886,'1.職能辭典'!$C:$C,0)),""))</f>
        <v/>
      </c>
      <c r="F886" s="94" t="n"/>
      <c r="G886" s="120">
        <f t="array" ref="G886:G886">IF(OR(D886="",F886=""),"",IFERROR(IF(AND(OR(INDEX('1.職能辭典'!$J:$J,MATCH(F886,'1.職能辭典'!$C:$C,0))="全部",INDEX('3.員工名單'!$H:$H,MATCH(A886,'3.員工名單'!$A:$A,0))="兩款共用",INDEX('3.員工名單'!$H:$H,MATCH(A886,'3.員工名單'!$A:$A,0))=INDEX('1.職能辭典'!$J:$J,MATCH(F886,'1.職能辭典'!$C:$C,0))),OR(INDEX('1.職能辭典'!$K:$K,MATCH(F886,'1.職能辭典'!$C:$C,0))="全部",SUMPRODUCT(ISNUMBER(SEARCH({"經營","管理","財務","企劃","營運","技術","數據","美術","測試","客服"},INDEX('3.員工名單'!$I:$I,MATCH(A886,'3.員工名單'!$A:$A,0))))*ISNUMBER(SEARCH({"經營","管理","財務","企劃","營運","技術","數據","美術","測試","客服"},INDEX('1.職能辭典'!$K:$K,MATCH(F886,'1.職能辭典'!$C:$C,0)))))&gt;0)),INDEX('2.職務職能需求'!$B$2:$F$28,MATCH(F886,'2.職務職能需求'!$A$2:$A$28,0),MATCH(D886,'2.職務職能需求'!$B$1:$F$1,0)),0),""))</f>
        <v/>
      </c>
      <c r="H886" s="94" t="n"/>
      <c r="I886" s="94" t="n"/>
      <c r="J886" s="120">
        <f>IF(OR(G886="",I886="",G886=0),"",I886-G886)</f>
        <v/>
      </c>
      <c r="K886" s="120">
        <f>IF(G886="","",IF(G886=0,"不適用",IF(I886="","待評核",IF(I886&gt;=G886,IF(I886&gt;G886,"超越","達標"),"待發展"))))</f>
        <v/>
      </c>
      <c r="L886" s="91" t="n"/>
      <c r="M886" s="91" t="n"/>
      <c r="N886" s="88" t="n"/>
    </row>
    <row r="887" ht="15.75" customHeight="1" s="64">
      <c r="A887" s="88" t="n"/>
      <c r="B887" s="120">
        <f t="array" ref="B887:B887">IF(A887="","",IFERROR(INDEX('3.員工名單'!$B:$B,MATCH(A887,'3.員工名單'!$A:$A,0)),"查無此員工"))</f>
        <v/>
      </c>
      <c r="C887" s="120">
        <f t="array" ref="C887:C887">IF(A887="","",IFERROR(INDEX('3.員工名單'!$C:$C,MATCH(A887,'3.員工名單'!$A:$A,0)),""))</f>
        <v/>
      </c>
      <c r="D887" s="120">
        <f t="array" ref="D887:D887">IF(A887="","",IFERROR(INDEX('3.員工名單'!$D:$D,MATCH(A887,'3.員工名單'!$A:$A,0)),""))</f>
        <v/>
      </c>
      <c r="E887" s="120">
        <f t="array" ref="E887:E887">IF(F887="","",IFERROR(INDEX('1.職能辭典'!$A:$A,MATCH(F887,'1.職能辭典'!$C:$C,0)),""))</f>
        <v/>
      </c>
      <c r="F887" s="94" t="n"/>
      <c r="G887" s="120">
        <f t="array" ref="G887:G887">IF(OR(D887="",F887=""),"",IFERROR(IF(AND(OR(INDEX('1.職能辭典'!$J:$J,MATCH(F887,'1.職能辭典'!$C:$C,0))="全部",INDEX('3.員工名單'!$H:$H,MATCH(A887,'3.員工名單'!$A:$A,0))="兩款共用",INDEX('3.員工名單'!$H:$H,MATCH(A887,'3.員工名單'!$A:$A,0))=INDEX('1.職能辭典'!$J:$J,MATCH(F887,'1.職能辭典'!$C:$C,0))),OR(INDEX('1.職能辭典'!$K:$K,MATCH(F887,'1.職能辭典'!$C:$C,0))="全部",SUMPRODUCT(ISNUMBER(SEARCH({"經營","管理","財務","企劃","營運","技術","數據","美術","測試","客服"},INDEX('3.員工名單'!$I:$I,MATCH(A887,'3.員工名單'!$A:$A,0))))*ISNUMBER(SEARCH({"經營","管理","財務","企劃","營運","技術","數據","美術","測試","客服"},INDEX('1.職能辭典'!$K:$K,MATCH(F887,'1.職能辭典'!$C:$C,0)))))&gt;0)),INDEX('2.職務職能需求'!$B$2:$F$28,MATCH(F887,'2.職務職能需求'!$A$2:$A$28,0),MATCH(D887,'2.職務職能需求'!$B$1:$F$1,0)),0),""))</f>
        <v/>
      </c>
      <c r="H887" s="94" t="n"/>
      <c r="I887" s="94" t="n"/>
      <c r="J887" s="120">
        <f>IF(OR(G887="",I887="",G887=0),"",I887-G887)</f>
        <v/>
      </c>
      <c r="K887" s="120">
        <f>IF(G887="","",IF(G887=0,"不適用",IF(I887="","待評核",IF(I887&gt;=G887,IF(I887&gt;G887,"超越","達標"),"待發展"))))</f>
        <v/>
      </c>
      <c r="L887" s="91" t="n"/>
      <c r="M887" s="91" t="n"/>
      <c r="N887" s="88" t="n"/>
    </row>
    <row r="888" ht="15.75" customHeight="1" s="64">
      <c r="A888" s="88" t="n"/>
      <c r="B888" s="120">
        <f t="array" ref="B888:B888">IF(A888="","",IFERROR(INDEX('3.員工名單'!$B:$B,MATCH(A888,'3.員工名單'!$A:$A,0)),"查無此員工"))</f>
        <v/>
      </c>
      <c r="C888" s="120">
        <f t="array" ref="C888:C888">IF(A888="","",IFERROR(INDEX('3.員工名單'!$C:$C,MATCH(A888,'3.員工名單'!$A:$A,0)),""))</f>
        <v/>
      </c>
      <c r="D888" s="120">
        <f t="array" ref="D888:D888">IF(A888="","",IFERROR(INDEX('3.員工名單'!$D:$D,MATCH(A888,'3.員工名單'!$A:$A,0)),""))</f>
        <v/>
      </c>
      <c r="E888" s="120">
        <f t="array" ref="E888:E888">IF(F888="","",IFERROR(INDEX('1.職能辭典'!$A:$A,MATCH(F888,'1.職能辭典'!$C:$C,0)),""))</f>
        <v/>
      </c>
      <c r="F888" s="94" t="n"/>
      <c r="G888" s="120">
        <f t="array" ref="G888:G888">IF(OR(D888="",F888=""),"",IFERROR(IF(AND(OR(INDEX('1.職能辭典'!$J:$J,MATCH(F888,'1.職能辭典'!$C:$C,0))="全部",INDEX('3.員工名單'!$H:$H,MATCH(A888,'3.員工名單'!$A:$A,0))="兩款共用",INDEX('3.員工名單'!$H:$H,MATCH(A888,'3.員工名單'!$A:$A,0))=INDEX('1.職能辭典'!$J:$J,MATCH(F888,'1.職能辭典'!$C:$C,0))),OR(INDEX('1.職能辭典'!$K:$K,MATCH(F888,'1.職能辭典'!$C:$C,0))="全部",SUMPRODUCT(ISNUMBER(SEARCH({"經營","管理","財務","企劃","營運","技術","數據","美術","測試","客服"},INDEX('3.員工名單'!$I:$I,MATCH(A888,'3.員工名單'!$A:$A,0))))*ISNUMBER(SEARCH({"經營","管理","財務","企劃","營運","技術","數據","美術","測試","客服"},INDEX('1.職能辭典'!$K:$K,MATCH(F888,'1.職能辭典'!$C:$C,0)))))&gt;0)),INDEX('2.職務職能需求'!$B$2:$F$28,MATCH(F888,'2.職務職能需求'!$A$2:$A$28,0),MATCH(D888,'2.職務職能需求'!$B$1:$F$1,0)),0),""))</f>
        <v/>
      </c>
      <c r="H888" s="94" t="n"/>
      <c r="I888" s="94" t="n"/>
      <c r="J888" s="120">
        <f>IF(OR(G888="",I888="",G888=0),"",I888-G888)</f>
        <v/>
      </c>
      <c r="K888" s="120">
        <f>IF(G888="","",IF(G888=0,"不適用",IF(I888="","待評核",IF(I888&gt;=G888,IF(I888&gt;G888,"超越","達標"),"待發展"))))</f>
        <v/>
      </c>
      <c r="L888" s="91" t="n"/>
      <c r="M888" s="91" t="n"/>
      <c r="N888" s="88" t="n"/>
    </row>
    <row r="889" ht="15.75" customHeight="1" s="64">
      <c r="A889" s="88" t="n"/>
      <c r="B889" s="120">
        <f t="array" ref="B889:B889">IF(A889="","",IFERROR(INDEX('3.員工名單'!$B:$B,MATCH(A889,'3.員工名單'!$A:$A,0)),"查無此員工"))</f>
        <v/>
      </c>
      <c r="C889" s="120">
        <f t="array" ref="C889:C889">IF(A889="","",IFERROR(INDEX('3.員工名單'!$C:$C,MATCH(A889,'3.員工名單'!$A:$A,0)),""))</f>
        <v/>
      </c>
      <c r="D889" s="120">
        <f t="array" ref="D889:D889">IF(A889="","",IFERROR(INDEX('3.員工名單'!$D:$D,MATCH(A889,'3.員工名單'!$A:$A,0)),""))</f>
        <v/>
      </c>
      <c r="E889" s="120">
        <f t="array" ref="E889:E889">IF(F889="","",IFERROR(INDEX('1.職能辭典'!$A:$A,MATCH(F889,'1.職能辭典'!$C:$C,0)),""))</f>
        <v/>
      </c>
      <c r="F889" s="94" t="n"/>
      <c r="G889" s="120">
        <f t="array" ref="G889:G889">IF(OR(D889="",F889=""),"",IFERROR(IF(AND(OR(INDEX('1.職能辭典'!$J:$J,MATCH(F889,'1.職能辭典'!$C:$C,0))="全部",INDEX('3.員工名單'!$H:$H,MATCH(A889,'3.員工名單'!$A:$A,0))="兩款共用",INDEX('3.員工名單'!$H:$H,MATCH(A889,'3.員工名單'!$A:$A,0))=INDEX('1.職能辭典'!$J:$J,MATCH(F889,'1.職能辭典'!$C:$C,0))),OR(INDEX('1.職能辭典'!$K:$K,MATCH(F889,'1.職能辭典'!$C:$C,0))="全部",SUMPRODUCT(ISNUMBER(SEARCH({"經營","管理","財務","企劃","營運","技術","數據","美術","測試","客服"},INDEX('3.員工名單'!$I:$I,MATCH(A889,'3.員工名單'!$A:$A,0))))*ISNUMBER(SEARCH({"經營","管理","財務","企劃","營運","技術","數據","美術","測試","客服"},INDEX('1.職能辭典'!$K:$K,MATCH(F889,'1.職能辭典'!$C:$C,0)))))&gt;0)),INDEX('2.職務職能需求'!$B$2:$F$28,MATCH(F889,'2.職務職能需求'!$A$2:$A$28,0),MATCH(D889,'2.職務職能需求'!$B$1:$F$1,0)),0),""))</f>
        <v/>
      </c>
      <c r="H889" s="94" t="n"/>
      <c r="I889" s="94" t="n"/>
      <c r="J889" s="120">
        <f>IF(OR(G889="",I889="",G889=0),"",I889-G889)</f>
        <v/>
      </c>
      <c r="K889" s="120">
        <f>IF(G889="","",IF(G889=0,"不適用",IF(I889="","待評核",IF(I889&gt;=G889,IF(I889&gt;G889,"超越","達標"),"待發展"))))</f>
        <v/>
      </c>
      <c r="L889" s="91" t="n"/>
      <c r="M889" s="91" t="n"/>
      <c r="N889" s="88" t="n"/>
    </row>
    <row r="890" ht="15.75" customHeight="1" s="64">
      <c r="A890" s="88" t="n"/>
      <c r="B890" s="120">
        <f t="array" ref="B890:B890">IF(A890="","",IFERROR(INDEX('3.員工名單'!$B:$B,MATCH(A890,'3.員工名單'!$A:$A,0)),"查無此員工"))</f>
        <v/>
      </c>
      <c r="C890" s="120">
        <f t="array" ref="C890:C890">IF(A890="","",IFERROR(INDEX('3.員工名單'!$C:$C,MATCH(A890,'3.員工名單'!$A:$A,0)),""))</f>
        <v/>
      </c>
      <c r="D890" s="120">
        <f t="array" ref="D890:D890">IF(A890="","",IFERROR(INDEX('3.員工名單'!$D:$D,MATCH(A890,'3.員工名單'!$A:$A,0)),""))</f>
        <v/>
      </c>
      <c r="E890" s="120">
        <f t="array" ref="E890:E890">IF(F890="","",IFERROR(INDEX('1.職能辭典'!$A:$A,MATCH(F890,'1.職能辭典'!$C:$C,0)),""))</f>
        <v/>
      </c>
      <c r="F890" s="94" t="n"/>
      <c r="G890" s="120">
        <f t="array" ref="G890:G890">IF(OR(D890="",F890=""),"",IFERROR(IF(AND(OR(INDEX('1.職能辭典'!$J:$J,MATCH(F890,'1.職能辭典'!$C:$C,0))="全部",INDEX('3.員工名單'!$H:$H,MATCH(A890,'3.員工名單'!$A:$A,0))="兩款共用",INDEX('3.員工名單'!$H:$H,MATCH(A890,'3.員工名單'!$A:$A,0))=INDEX('1.職能辭典'!$J:$J,MATCH(F890,'1.職能辭典'!$C:$C,0))),OR(INDEX('1.職能辭典'!$K:$K,MATCH(F890,'1.職能辭典'!$C:$C,0))="全部",SUMPRODUCT(ISNUMBER(SEARCH({"經營","管理","財務","企劃","營運","技術","數據","美術","測試","客服"},INDEX('3.員工名單'!$I:$I,MATCH(A890,'3.員工名單'!$A:$A,0))))*ISNUMBER(SEARCH({"經營","管理","財務","企劃","營運","技術","數據","美術","測試","客服"},INDEX('1.職能辭典'!$K:$K,MATCH(F890,'1.職能辭典'!$C:$C,0)))))&gt;0)),INDEX('2.職務職能需求'!$B$2:$F$28,MATCH(F890,'2.職務職能需求'!$A$2:$A$28,0),MATCH(D890,'2.職務職能需求'!$B$1:$F$1,0)),0),""))</f>
        <v/>
      </c>
      <c r="H890" s="94" t="n"/>
      <c r="I890" s="94" t="n"/>
      <c r="J890" s="120">
        <f>IF(OR(G890="",I890="",G890=0),"",I890-G890)</f>
        <v/>
      </c>
      <c r="K890" s="120">
        <f>IF(G890="","",IF(G890=0,"不適用",IF(I890="","待評核",IF(I890&gt;=G890,IF(I890&gt;G890,"超越","達標"),"待發展"))))</f>
        <v/>
      </c>
      <c r="L890" s="91" t="n"/>
      <c r="M890" s="91" t="n"/>
      <c r="N890" s="88" t="n"/>
    </row>
    <row r="891" ht="15.75" customHeight="1" s="64">
      <c r="A891" s="88" t="n"/>
      <c r="B891" s="120">
        <f t="array" ref="B891:B891">IF(A891="","",IFERROR(INDEX('3.員工名單'!$B:$B,MATCH(A891,'3.員工名單'!$A:$A,0)),"查無此員工"))</f>
        <v/>
      </c>
      <c r="C891" s="120">
        <f t="array" ref="C891:C891">IF(A891="","",IFERROR(INDEX('3.員工名單'!$C:$C,MATCH(A891,'3.員工名單'!$A:$A,0)),""))</f>
        <v/>
      </c>
      <c r="D891" s="120">
        <f t="array" ref="D891:D891">IF(A891="","",IFERROR(INDEX('3.員工名單'!$D:$D,MATCH(A891,'3.員工名單'!$A:$A,0)),""))</f>
        <v/>
      </c>
      <c r="E891" s="120">
        <f t="array" ref="E891:E891">IF(F891="","",IFERROR(INDEX('1.職能辭典'!$A:$A,MATCH(F891,'1.職能辭典'!$C:$C,0)),""))</f>
        <v/>
      </c>
      <c r="F891" s="94" t="n"/>
      <c r="G891" s="120">
        <f t="array" ref="G891:G891">IF(OR(D891="",F891=""),"",IFERROR(IF(AND(OR(INDEX('1.職能辭典'!$J:$J,MATCH(F891,'1.職能辭典'!$C:$C,0))="全部",INDEX('3.員工名單'!$H:$H,MATCH(A891,'3.員工名單'!$A:$A,0))="兩款共用",INDEX('3.員工名單'!$H:$H,MATCH(A891,'3.員工名單'!$A:$A,0))=INDEX('1.職能辭典'!$J:$J,MATCH(F891,'1.職能辭典'!$C:$C,0))),OR(INDEX('1.職能辭典'!$K:$K,MATCH(F891,'1.職能辭典'!$C:$C,0))="全部",SUMPRODUCT(ISNUMBER(SEARCH({"經營","管理","財務","企劃","營運","技術","數據","美術","測試","客服"},INDEX('3.員工名單'!$I:$I,MATCH(A891,'3.員工名單'!$A:$A,0))))*ISNUMBER(SEARCH({"經營","管理","財務","企劃","營運","技術","數據","美術","測試","客服"},INDEX('1.職能辭典'!$K:$K,MATCH(F891,'1.職能辭典'!$C:$C,0)))))&gt;0)),INDEX('2.職務職能需求'!$B$2:$F$28,MATCH(F891,'2.職務職能需求'!$A$2:$A$28,0),MATCH(D891,'2.職務職能需求'!$B$1:$F$1,0)),0),""))</f>
        <v/>
      </c>
      <c r="H891" s="94" t="n"/>
      <c r="I891" s="94" t="n"/>
      <c r="J891" s="120">
        <f>IF(OR(G891="",I891="",G891=0),"",I891-G891)</f>
        <v/>
      </c>
      <c r="K891" s="120">
        <f>IF(G891="","",IF(G891=0,"不適用",IF(I891="","待評核",IF(I891&gt;=G891,IF(I891&gt;G891,"超越","達標"),"待發展"))))</f>
        <v/>
      </c>
      <c r="L891" s="91" t="n"/>
      <c r="M891" s="91" t="n"/>
      <c r="N891" s="88" t="n"/>
    </row>
    <row r="892" ht="15.75" customHeight="1" s="64">
      <c r="A892" s="88" t="n"/>
      <c r="B892" s="120">
        <f t="array" ref="B892:B892">IF(A892="","",IFERROR(INDEX('3.員工名單'!$B:$B,MATCH(A892,'3.員工名單'!$A:$A,0)),"查無此員工"))</f>
        <v/>
      </c>
      <c r="C892" s="120">
        <f t="array" ref="C892:C892">IF(A892="","",IFERROR(INDEX('3.員工名單'!$C:$C,MATCH(A892,'3.員工名單'!$A:$A,0)),""))</f>
        <v/>
      </c>
      <c r="D892" s="120">
        <f t="array" ref="D892:D892">IF(A892="","",IFERROR(INDEX('3.員工名單'!$D:$D,MATCH(A892,'3.員工名單'!$A:$A,0)),""))</f>
        <v/>
      </c>
      <c r="E892" s="120">
        <f t="array" ref="E892:E892">IF(F892="","",IFERROR(INDEX('1.職能辭典'!$A:$A,MATCH(F892,'1.職能辭典'!$C:$C,0)),""))</f>
        <v/>
      </c>
      <c r="F892" s="94" t="n"/>
      <c r="G892" s="120">
        <f t="array" ref="G892:G892">IF(OR(D892="",F892=""),"",IFERROR(IF(AND(OR(INDEX('1.職能辭典'!$J:$J,MATCH(F892,'1.職能辭典'!$C:$C,0))="全部",INDEX('3.員工名單'!$H:$H,MATCH(A892,'3.員工名單'!$A:$A,0))="兩款共用",INDEX('3.員工名單'!$H:$H,MATCH(A892,'3.員工名單'!$A:$A,0))=INDEX('1.職能辭典'!$J:$J,MATCH(F892,'1.職能辭典'!$C:$C,0))),OR(INDEX('1.職能辭典'!$K:$K,MATCH(F892,'1.職能辭典'!$C:$C,0))="全部",SUMPRODUCT(ISNUMBER(SEARCH({"經營","管理","財務","企劃","營運","技術","數據","美術","測試","客服"},INDEX('3.員工名單'!$I:$I,MATCH(A892,'3.員工名單'!$A:$A,0))))*ISNUMBER(SEARCH({"經營","管理","財務","企劃","營運","技術","數據","美術","測試","客服"},INDEX('1.職能辭典'!$K:$K,MATCH(F892,'1.職能辭典'!$C:$C,0)))))&gt;0)),INDEX('2.職務職能需求'!$B$2:$F$28,MATCH(F892,'2.職務職能需求'!$A$2:$A$28,0),MATCH(D892,'2.職務職能需求'!$B$1:$F$1,0)),0),""))</f>
        <v/>
      </c>
      <c r="H892" s="94" t="n"/>
      <c r="I892" s="94" t="n"/>
      <c r="J892" s="120">
        <f>IF(OR(G892="",I892="",G892=0),"",I892-G892)</f>
        <v/>
      </c>
      <c r="K892" s="120">
        <f>IF(G892="","",IF(G892=0,"不適用",IF(I892="","待評核",IF(I892&gt;=G892,IF(I892&gt;G892,"超越","達標"),"待發展"))))</f>
        <v/>
      </c>
      <c r="L892" s="91" t="n"/>
      <c r="M892" s="91" t="n"/>
      <c r="N892" s="88" t="n"/>
    </row>
    <row r="893" ht="15.75" customHeight="1" s="64">
      <c r="A893" s="88" t="n"/>
      <c r="B893" s="120">
        <f t="array" ref="B893:B893">IF(A893="","",IFERROR(INDEX('3.員工名單'!$B:$B,MATCH(A893,'3.員工名單'!$A:$A,0)),"查無此員工"))</f>
        <v/>
      </c>
      <c r="C893" s="120">
        <f t="array" ref="C893:C893">IF(A893="","",IFERROR(INDEX('3.員工名單'!$C:$C,MATCH(A893,'3.員工名單'!$A:$A,0)),""))</f>
        <v/>
      </c>
      <c r="D893" s="120">
        <f t="array" ref="D893:D893">IF(A893="","",IFERROR(INDEX('3.員工名單'!$D:$D,MATCH(A893,'3.員工名單'!$A:$A,0)),""))</f>
        <v/>
      </c>
      <c r="E893" s="120">
        <f t="array" ref="E893:E893">IF(F893="","",IFERROR(INDEX('1.職能辭典'!$A:$A,MATCH(F893,'1.職能辭典'!$C:$C,0)),""))</f>
        <v/>
      </c>
      <c r="F893" s="94" t="n"/>
      <c r="G893" s="120">
        <f t="array" ref="G893:G893">IF(OR(D893="",F893=""),"",IFERROR(IF(AND(OR(INDEX('1.職能辭典'!$J:$J,MATCH(F893,'1.職能辭典'!$C:$C,0))="全部",INDEX('3.員工名單'!$H:$H,MATCH(A893,'3.員工名單'!$A:$A,0))="兩款共用",INDEX('3.員工名單'!$H:$H,MATCH(A893,'3.員工名單'!$A:$A,0))=INDEX('1.職能辭典'!$J:$J,MATCH(F893,'1.職能辭典'!$C:$C,0))),OR(INDEX('1.職能辭典'!$K:$K,MATCH(F893,'1.職能辭典'!$C:$C,0))="全部",SUMPRODUCT(ISNUMBER(SEARCH({"經營","管理","財務","企劃","營運","技術","數據","美術","測試","客服"},INDEX('3.員工名單'!$I:$I,MATCH(A893,'3.員工名單'!$A:$A,0))))*ISNUMBER(SEARCH({"經營","管理","財務","企劃","營運","技術","數據","美術","測試","客服"},INDEX('1.職能辭典'!$K:$K,MATCH(F893,'1.職能辭典'!$C:$C,0)))))&gt;0)),INDEX('2.職務職能需求'!$B$2:$F$28,MATCH(F893,'2.職務職能需求'!$A$2:$A$28,0),MATCH(D893,'2.職務職能需求'!$B$1:$F$1,0)),0),""))</f>
        <v/>
      </c>
      <c r="H893" s="94" t="n"/>
      <c r="I893" s="94" t="n"/>
      <c r="J893" s="120">
        <f>IF(OR(G893="",I893="",G893=0),"",I893-G893)</f>
        <v/>
      </c>
      <c r="K893" s="120">
        <f>IF(G893="","",IF(G893=0,"不適用",IF(I893="","待評核",IF(I893&gt;=G893,IF(I893&gt;G893,"超越","達標"),"待發展"))))</f>
        <v/>
      </c>
      <c r="L893" s="91" t="n"/>
      <c r="M893" s="91" t="n"/>
      <c r="N893" s="88" t="n"/>
    </row>
    <row r="894" ht="15.75" customHeight="1" s="64">
      <c r="A894" s="88" t="n"/>
      <c r="B894" s="120">
        <f t="array" ref="B894:B894">IF(A894="","",IFERROR(INDEX('3.員工名單'!$B:$B,MATCH(A894,'3.員工名單'!$A:$A,0)),"查無此員工"))</f>
        <v/>
      </c>
      <c r="C894" s="120">
        <f t="array" ref="C894:C894">IF(A894="","",IFERROR(INDEX('3.員工名單'!$C:$C,MATCH(A894,'3.員工名單'!$A:$A,0)),""))</f>
        <v/>
      </c>
      <c r="D894" s="120">
        <f t="array" ref="D894:D894">IF(A894="","",IFERROR(INDEX('3.員工名單'!$D:$D,MATCH(A894,'3.員工名單'!$A:$A,0)),""))</f>
        <v/>
      </c>
      <c r="E894" s="120">
        <f t="array" ref="E894:E894">IF(F894="","",IFERROR(INDEX('1.職能辭典'!$A:$A,MATCH(F894,'1.職能辭典'!$C:$C,0)),""))</f>
        <v/>
      </c>
      <c r="F894" s="94" t="n"/>
      <c r="G894" s="120">
        <f t="array" ref="G894:G894">IF(OR(D894="",F894=""),"",IFERROR(IF(AND(OR(INDEX('1.職能辭典'!$J:$J,MATCH(F894,'1.職能辭典'!$C:$C,0))="全部",INDEX('3.員工名單'!$H:$H,MATCH(A894,'3.員工名單'!$A:$A,0))="兩款共用",INDEX('3.員工名單'!$H:$H,MATCH(A894,'3.員工名單'!$A:$A,0))=INDEX('1.職能辭典'!$J:$J,MATCH(F894,'1.職能辭典'!$C:$C,0))),OR(INDEX('1.職能辭典'!$K:$K,MATCH(F894,'1.職能辭典'!$C:$C,0))="全部",SUMPRODUCT(ISNUMBER(SEARCH({"經營","管理","財務","企劃","營運","技術","數據","美術","測試","客服"},INDEX('3.員工名單'!$I:$I,MATCH(A894,'3.員工名單'!$A:$A,0))))*ISNUMBER(SEARCH({"經營","管理","財務","企劃","營運","技術","數據","美術","測試","客服"},INDEX('1.職能辭典'!$K:$K,MATCH(F894,'1.職能辭典'!$C:$C,0)))))&gt;0)),INDEX('2.職務職能需求'!$B$2:$F$28,MATCH(F894,'2.職務職能需求'!$A$2:$A$28,0),MATCH(D894,'2.職務職能需求'!$B$1:$F$1,0)),0),""))</f>
        <v/>
      </c>
      <c r="H894" s="94" t="n"/>
      <c r="I894" s="94" t="n"/>
      <c r="J894" s="120">
        <f>IF(OR(G894="",I894="",G894=0),"",I894-G894)</f>
        <v/>
      </c>
      <c r="K894" s="120">
        <f>IF(G894="","",IF(G894=0,"不適用",IF(I894="","待評核",IF(I894&gt;=G894,IF(I894&gt;G894,"超越","達標"),"待發展"))))</f>
        <v/>
      </c>
      <c r="L894" s="91" t="n"/>
      <c r="M894" s="91" t="n"/>
      <c r="N894" s="88" t="n"/>
    </row>
    <row r="895" ht="15.75" customHeight="1" s="64">
      <c r="A895" s="88" t="n"/>
      <c r="B895" s="120">
        <f t="array" ref="B895:B895">IF(A895="","",IFERROR(INDEX('3.員工名單'!$B:$B,MATCH(A895,'3.員工名單'!$A:$A,0)),"查無此員工"))</f>
        <v/>
      </c>
      <c r="C895" s="120">
        <f t="array" ref="C895:C895">IF(A895="","",IFERROR(INDEX('3.員工名單'!$C:$C,MATCH(A895,'3.員工名單'!$A:$A,0)),""))</f>
        <v/>
      </c>
      <c r="D895" s="120">
        <f t="array" ref="D895:D895">IF(A895="","",IFERROR(INDEX('3.員工名單'!$D:$D,MATCH(A895,'3.員工名單'!$A:$A,0)),""))</f>
        <v/>
      </c>
      <c r="E895" s="120">
        <f t="array" ref="E895:E895">IF(F895="","",IFERROR(INDEX('1.職能辭典'!$A:$A,MATCH(F895,'1.職能辭典'!$C:$C,0)),""))</f>
        <v/>
      </c>
      <c r="F895" s="94" t="n"/>
      <c r="G895" s="120">
        <f t="array" ref="G895:G895">IF(OR(D895="",F895=""),"",IFERROR(IF(AND(OR(INDEX('1.職能辭典'!$J:$J,MATCH(F895,'1.職能辭典'!$C:$C,0))="全部",INDEX('3.員工名單'!$H:$H,MATCH(A895,'3.員工名單'!$A:$A,0))="兩款共用",INDEX('3.員工名單'!$H:$H,MATCH(A895,'3.員工名單'!$A:$A,0))=INDEX('1.職能辭典'!$J:$J,MATCH(F895,'1.職能辭典'!$C:$C,0))),OR(INDEX('1.職能辭典'!$K:$K,MATCH(F895,'1.職能辭典'!$C:$C,0))="全部",SUMPRODUCT(ISNUMBER(SEARCH({"經營","管理","財務","企劃","營運","技術","數據","美術","測試","客服"},INDEX('3.員工名單'!$I:$I,MATCH(A895,'3.員工名單'!$A:$A,0))))*ISNUMBER(SEARCH({"經營","管理","財務","企劃","營運","技術","數據","美術","測試","客服"},INDEX('1.職能辭典'!$K:$K,MATCH(F895,'1.職能辭典'!$C:$C,0)))))&gt;0)),INDEX('2.職務職能需求'!$B$2:$F$28,MATCH(F895,'2.職務職能需求'!$A$2:$A$28,0),MATCH(D895,'2.職務職能需求'!$B$1:$F$1,0)),0),""))</f>
        <v/>
      </c>
      <c r="H895" s="94" t="n"/>
      <c r="I895" s="94" t="n"/>
      <c r="J895" s="120">
        <f>IF(OR(G895="",I895="",G895=0),"",I895-G895)</f>
        <v/>
      </c>
      <c r="K895" s="120">
        <f>IF(G895="","",IF(G895=0,"不適用",IF(I895="","待評核",IF(I895&gt;=G895,IF(I895&gt;G895,"超越","達標"),"待發展"))))</f>
        <v/>
      </c>
      <c r="L895" s="91" t="n"/>
      <c r="M895" s="91" t="n"/>
      <c r="N895" s="88" t="n"/>
    </row>
    <row r="896" ht="15.75" customHeight="1" s="64">
      <c r="A896" s="88" t="n"/>
      <c r="B896" s="120">
        <f t="array" ref="B896:B896">IF(A896="","",IFERROR(INDEX('3.員工名單'!$B:$B,MATCH(A896,'3.員工名單'!$A:$A,0)),"查無此員工"))</f>
        <v/>
      </c>
      <c r="C896" s="120">
        <f t="array" ref="C896:C896">IF(A896="","",IFERROR(INDEX('3.員工名單'!$C:$C,MATCH(A896,'3.員工名單'!$A:$A,0)),""))</f>
        <v/>
      </c>
      <c r="D896" s="120">
        <f t="array" ref="D896:D896">IF(A896="","",IFERROR(INDEX('3.員工名單'!$D:$D,MATCH(A896,'3.員工名單'!$A:$A,0)),""))</f>
        <v/>
      </c>
      <c r="E896" s="120">
        <f t="array" ref="E896:E896">IF(F896="","",IFERROR(INDEX('1.職能辭典'!$A:$A,MATCH(F896,'1.職能辭典'!$C:$C,0)),""))</f>
        <v/>
      </c>
      <c r="F896" s="94" t="n"/>
      <c r="G896" s="120">
        <f t="array" ref="G896:G896">IF(OR(D896="",F896=""),"",IFERROR(IF(AND(OR(INDEX('1.職能辭典'!$J:$J,MATCH(F896,'1.職能辭典'!$C:$C,0))="全部",INDEX('3.員工名單'!$H:$H,MATCH(A896,'3.員工名單'!$A:$A,0))="兩款共用",INDEX('3.員工名單'!$H:$H,MATCH(A896,'3.員工名單'!$A:$A,0))=INDEX('1.職能辭典'!$J:$J,MATCH(F896,'1.職能辭典'!$C:$C,0))),OR(INDEX('1.職能辭典'!$K:$K,MATCH(F896,'1.職能辭典'!$C:$C,0))="全部",SUMPRODUCT(ISNUMBER(SEARCH({"經營","管理","財務","企劃","營運","技術","數據","美術","測試","客服"},INDEX('3.員工名單'!$I:$I,MATCH(A896,'3.員工名單'!$A:$A,0))))*ISNUMBER(SEARCH({"經營","管理","財務","企劃","營運","技術","數據","美術","測試","客服"},INDEX('1.職能辭典'!$K:$K,MATCH(F896,'1.職能辭典'!$C:$C,0)))))&gt;0)),INDEX('2.職務職能需求'!$B$2:$F$28,MATCH(F896,'2.職務職能需求'!$A$2:$A$28,0),MATCH(D896,'2.職務職能需求'!$B$1:$F$1,0)),0),""))</f>
        <v/>
      </c>
      <c r="H896" s="94" t="n"/>
      <c r="I896" s="94" t="n"/>
      <c r="J896" s="120">
        <f>IF(OR(G896="",I896="",G896=0),"",I896-G896)</f>
        <v/>
      </c>
      <c r="K896" s="120">
        <f>IF(G896="","",IF(G896=0,"不適用",IF(I896="","待評核",IF(I896&gt;=G896,IF(I896&gt;G896,"超越","達標"),"待發展"))))</f>
        <v/>
      </c>
      <c r="L896" s="91" t="n"/>
      <c r="M896" s="91" t="n"/>
      <c r="N896" s="88" t="n"/>
    </row>
    <row r="897" ht="15.75" customHeight="1" s="64">
      <c r="A897" s="88" t="n"/>
      <c r="B897" s="120">
        <f t="array" ref="B897:B897">IF(A897="","",IFERROR(INDEX('3.員工名單'!$B:$B,MATCH(A897,'3.員工名單'!$A:$A,0)),"查無此員工"))</f>
        <v/>
      </c>
      <c r="C897" s="120">
        <f t="array" ref="C897:C897">IF(A897="","",IFERROR(INDEX('3.員工名單'!$C:$C,MATCH(A897,'3.員工名單'!$A:$A,0)),""))</f>
        <v/>
      </c>
      <c r="D897" s="120">
        <f t="array" ref="D897:D897">IF(A897="","",IFERROR(INDEX('3.員工名單'!$D:$D,MATCH(A897,'3.員工名單'!$A:$A,0)),""))</f>
        <v/>
      </c>
      <c r="E897" s="120">
        <f t="array" ref="E897:E897">IF(F897="","",IFERROR(INDEX('1.職能辭典'!$A:$A,MATCH(F897,'1.職能辭典'!$C:$C,0)),""))</f>
        <v/>
      </c>
      <c r="F897" s="94" t="n"/>
      <c r="G897" s="120">
        <f t="array" ref="G897:G897">IF(OR(D897="",F897=""),"",IFERROR(IF(AND(OR(INDEX('1.職能辭典'!$J:$J,MATCH(F897,'1.職能辭典'!$C:$C,0))="全部",INDEX('3.員工名單'!$H:$H,MATCH(A897,'3.員工名單'!$A:$A,0))="兩款共用",INDEX('3.員工名單'!$H:$H,MATCH(A897,'3.員工名單'!$A:$A,0))=INDEX('1.職能辭典'!$J:$J,MATCH(F897,'1.職能辭典'!$C:$C,0))),OR(INDEX('1.職能辭典'!$K:$K,MATCH(F897,'1.職能辭典'!$C:$C,0))="全部",SUMPRODUCT(ISNUMBER(SEARCH({"經營","管理","財務","企劃","營運","技術","數據","美術","測試","客服"},INDEX('3.員工名單'!$I:$I,MATCH(A897,'3.員工名單'!$A:$A,0))))*ISNUMBER(SEARCH({"經營","管理","財務","企劃","營運","技術","數據","美術","測試","客服"},INDEX('1.職能辭典'!$K:$K,MATCH(F897,'1.職能辭典'!$C:$C,0)))))&gt;0)),INDEX('2.職務職能需求'!$B$2:$F$28,MATCH(F897,'2.職務職能需求'!$A$2:$A$28,0),MATCH(D897,'2.職務職能需求'!$B$1:$F$1,0)),0),""))</f>
        <v/>
      </c>
      <c r="H897" s="94" t="n"/>
      <c r="I897" s="94" t="n"/>
      <c r="J897" s="120">
        <f>IF(OR(G897="",I897="",G897=0),"",I897-G897)</f>
        <v/>
      </c>
      <c r="K897" s="120">
        <f>IF(G897="","",IF(G897=0,"不適用",IF(I897="","待評核",IF(I897&gt;=G897,IF(I897&gt;G897,"超越","達標"),"待發展"))))</f>
        <v/>
      </c>
      <c r="L897" s="91" t="n"/>
      <c r="M897" s="91" t="n"/>
      <c r="N897" s="88" t="n"/>
    </row>
    <row r="898" ht="15.75" customHeight="1" s="64">
      <c r="A898" s="88" t="n"/>
      <c r="B898" s="120">
        <f t="array" ref="B898:B898">IF(A898="","",IFERROR(INDEX('3.員工名單'!$B:$B,MATCH(A898,'3.員工名單'!$A:$A,0)),"查無此員工"))</f>
        <v/>
      </c>
      <c r="C898" s="120">
        <f t="array" ref="C898:C898">IF(A898="","",IFERROR(INDEX('3.員工名單'!$C:$C,MATCH(A898,'3.員工名單'!$A:$A,0)),""))</f>
        <v/>
      </c>
      <c r="D898" s="120">
        <f t="array" ref="D898:D898">IF(A898="","",IFERROR(INDEX('3.員工名單'!$D:$D,MATCH(A898,'3.員工名單'!$A:$A,0)),""))</f>
        <v/>
      </c>
      <c r="E898" s="120">
        <f t="array" ref="E898:E898">IF(F898="","",IFERROR(INDEX('1.職能辭典'!$A:$A,MATCH(F898,'1.職能辭典'!$C:$C,0)),""))</f>
        <v/>
      </c>
      <c r="F898" s="94" t="n"/>
      <c r="G898" s="120">
        <f t="array" ref="G898:G898">IF(OR(D898="",F898=""),"",IFERROR(IF(AND(OR(INDEX('1.職能辭典'!$J:$J,MATCH(F898,'1.職能辭典'!$C:$C,0))="全部",INDEX('3.員工名單'!$H:$H,MATCH(A898,'3.員工名單'!$A:$A,0))="兩款共用",INDEX('3.員工名單'!$H:$H,MATCH(A898,'3.員工名單'!$A:$A,0))=INDEX('1.職能辭典'!$J:$J,MATCH(F898,'1.職能辭典'!$C:$C,0))),OR(INDEX('1.職能辭典'!$K:$K,MATCH(F898,'1.職能辭典'!$C:$C,0))="全部",SUMPRODUCT(ISNUMBER(SEARCH({"經營","管理","財務","企劃","營運","技術","數據","美術","測試","客服"},INDEX('3.員工名單'!$I:$I,MATCH(A898,'3.員工名單'!$A:$A,0))))*ISNUMBER(SEARCH({"經營","管理","財務","企劃","營運","技術","數據","美術","測試","客服"},INDEX('1.職能辭典'!$K:$K,MATCH(F898,'1.職能辭典'!$C:$C,0)))))&gt;0)),INDEX('2.職務職能需求'!$B$2:$F$28,MATCH(F898,'2.職務職能需求'!$A$2:$A$28,0),MATCH(D898,'2.職務職能需求'!$B$1:$F$1,0)),0),""))</f>
        <v/>
      </c>
      <c r="H898" s="94" t="n"/>
      <c r="I898" s="94" t="n"/>
      <c r="J898" s="120">
        <f>IF(OR(G898="",I898="",G898=0),"",I898-G898)</f>
        <v/>
      </c>
      <c r="K898" s="120">
        <f>IF(G898="","",IF(G898=0,"不適用",IF(I898="","待評核",IF(I898&gt;=G898,IF(I898&gt;G898,"超越","達標"),"待發展"))))</f>
        <v/>
      </c>
      <c r="L898" s="91" t="n"/>
      <c r="M898" s="91" t="n"/>
      <c r="N898" s="88" t="n"/>
    </row>
    <row r="899" ht="15.75" customHeight="1" s="64">
      <c r="A899" s="88" t="n"/>
      <c r="B899" s="120">
        <f t="array" ref="B899:B899">IF(A899="","",IFERROR(INDEX('3.員工名單'!$B:$B,MATCH(A899,'3.員工名單'!$A:$A,0)),"查無此員工"))</f>
        <v/>
      </c>
      <c r="C899" s="120">
        <f t="array" ref="C899:C899">IF(A899="","",IFERROR(INDEX('3.員工名單'!$C:$C,MATCH(A899,'3.員工名單'!$A:$A,0)),""))</f>
        <v/>
      </c>
      <c r="D899" s="120">
        <f t="array" ref="D899:D899">IF(A899="","",IFERROR(INDEX('3.員工名單'!$D:$D,MATCH(A899,'3.員工名單'!$A:$A,0)),""))</f>
        <v/>
      </c>
      <c r="E899" s="120">
        <f t="array" ref="E899:E899">IF(F899="","",IFERROR(INDEX('1.職能辭典'!$A:$A,MATCH(F899,'1.職能辭典'!$C:$C,0)),""))</f>
        <v/>
      </c>
      <c r="F899" s="94" t="n"/>
      <c r="G899" s="120">
        <f t="array" ref="G899:G899">IF(OR(D899="",F899=""),"",IFERROR(IF(AND(OR(INDEX('1.職能辭典'!$J:$J,MATCH(F899,'1.職能辭典'!$C:$C,0))="全部",INDEX('3.員工名單'!$H:$H,MATCH(A899,'3.員工名單'!$A:$A,0))="兩款共用",INDEX('3.員工名單'!$H:$H,MATCH(A899,'3.員工名單'!$A:$A,0))=INDEX('1.職能辭典'!$J:$J,MATCH(F899,'1.職能辭典'!$C:$C,0))),OR(INDEX('1.職能辭典'!$K:$K,MATCH(F899,'1.職能辭典'!$C:$C,0))="全部",SUMPRODUCT(ISNUMBER(SEARCH({"經營","管理","財務","企劃","營運","技術","數據","美術","測試","客服"},INDEX('3.員工名單'!$I:$I,MATCH(A899,'3.員工名單'!$A:$A,0))))*ISNUMBER(SEARCH({"經營","管理","財務","企劃","營運","技術","數據","美術","測試","客服"},INDEX('1.職能辭典'!$K:$K,MATCH(F899,'1.職能辭典'!$C:$C,0)))))&gt;0)),INDEX('2.職務職能需求'!$B$2:$F$28,MATCH(F899,'2.職務職能需求'!$A$2:$A$28,0),MATCH(D899,'2.職務職能需求'!$B$1:$F$1,0)),0),""))</f>
        <v/>
      </c>
      <c r="H899" s="94" t="n"/>
      <c r="I899" s="94" t="n"/>
      <c r="J899" s="120">
        <f>IF(OR(G899="",I899="",G899=0),"",I899-G899)</f>
        <v/>
      </c>
      <c r="K899" s="120">
        <f>IF(G899="","",IF(G899=0,"不適用",IF(I899="","待評核",IF(I899&gt;=G899,IF(I899&gt;G899,"超越","達標"),"待發展"))))</f>
        <v/>
      </c>
      <c r="L899" s="91" t="n"/>
      <c r="M899" s="91" t="n"/>
      <c r="N899" s="88" t="n"/>
    </row>
    <row r="900" ht="15.75" customHeight="1" s="64">
      <c r="A900" s="88" t="n"/>
      <c r="B900" s="120">
        <f t="array" ref="B900:B900">IF(A900="","",IFERROR(INDEX('3.員工名單'!$B:$B,MATCH(A900,'3.員工名單'!$A:$A,0)),"查無此員工"))</f>
        <v/>
      </c>
      <c r="C900" s="120">
        <f t="array" ref="C900:C900">IF(A900="","",IFERROR(INDEX('3.員工名單'!$C:$C,MATCH(A900,'3.員工名單'!$A:$A,0)),""))</f>
        <v/>
      </c>
      <c r="D900" s="120">
        <f t="array" ref="D900:D900">IF(A900="","",IFERROR(INDEX('3.員工名單'!$D:$D,MATCH(A900,'3.員工名單'!$A:$A,0)),""))</f>
        <v/>
      </c>
      <c r="E900" s="120">
        <f t="array" ref="E900:E900">IF(F900="","",IFERROR(INDEX('1.職能辭典'!$A:$A,MATCH(F900,'1.職能辭典'!$C:$C,0)),""))</f>
        <v/>
      </c>
      <c r="F900" s="94" t="n"/>
      <c r="G900" s="120">
        <f t="array" ref="G900:G900">IF(OR(D900="",F900=""),"",IFERROR(IF(AND(OR(INDEX('1.職能辭典'!$J:$J,MATCH(F900,'1.職能辭典'!$C:$C,0))="全部",INDEX('3.員工名單'!$H:$H,MATCH(A900,'3.員工名單'!$A:$A,0))="兩款共用",INDEX('3.員工名單'!$H:$H,MATCH(A900,'3.員工名單'!$A:$A,0))=INDEX('1.職能辭典'!$J:$J,MATCH(F900,'1.職能辭典'!$C:$C,0))),OR(INDEX('1.職能辭典'!$K:$K,MATCH(F900,'1.職能辭典'!$C:$C,0))="全部",SUMPRODUCT(ISNUMBER(SEARCH({"經營","管理","財務","企劃","營運","技術","數據","美術","測試","客服"},INDEX('3.員工名單'!$I:$I,MATCH(A900,'3.員工名單'!$A:$A,0))))*ISNUMBER(SEARCH({"經營","管理","財務","企劃","營運","技術","數據","美術","測試","客服"},INDEX('1.職能辭典'!$K:$K,MATCH(F900,'1.職能辭典'!$C:$C,0)))))&gt;0)),INDEX('2.職務職能需求'!$B$2:$F$28,MATCH(F900,'2.職務職能需求'!$A$2:$A$28,0),MATCH(D900,'2.職務職能需求'!$B$1:$F$1,0)),0),""))</f>
        <v/>
      </c>
      <c r="H900" s="94" t="n"/>
      <c r="I900" s="94" t="n"/>
      <c r="J900" s="120">
        <f>IF(OR(G900="",I900="",G900=0),"",I900-G900)</f>
        <v/>
      </c>
      <c r="K900" s="120">
        <f>IF(G900="","",IF(G900=0,"不適用",IF(I900="","待評核",IF(I900&gt;=G900,IF(I900&gt;G900,"超越","達標"),"待發展"))))</f>
        <v/>
      </c>
      <c r="L900" s="91" t="n"/>
      <c r="M900" s="91" t="n"/>
      <c r="N900" s="88" t="n"/>
    </row>
    <row r="901" ht="15.75" customHeight="1" s="64">
      <c r="A901" s="88" t="n"/>
      <c r="B901" s="120">
        <f t="array" ref="B901:B901">IF(A901="","",IFERROR(INDEX('3.員工名單'!$B:$B,MATCH(A901,'3.員工名單'!$A:$A,0)),"查無此員工"))</f>
        <v/>
      </c>
      <c r="C901" s="120">
        <f t="array" ref="C901:C901">IF(A901="","",IFERROR(INDEX('3.員工名單'!$C:$C,MATCH(A901,'3.員工名單'!$A:$A,0)),""))</f>
        <v/>
      </c>
      <c r="D901" s="120">
        <f t="array" ref="D901:D901">IF(A901="","",IFERROR(INDEX('3.員工名單'!$D:$D,MATCH(A901,'3.員工名單'!$A:$A,0)),""))</f>
        <v/>
      </c>
      <c r="E901" s="120">
        <f t="array" ref="E901:E901">IF(F901="","",IFERROR(INDEX('1.職能辭典'!$A:$A,MATCH(F901,'1.職能辭典'!$C:$C,0)),""))</f>
        <v/>
      </c>
      <c r="F901" s="94" t="n"/>
      <c r="G901" s="120">
        <f t="array" ref="G901:G901">IF(OR(D901="",F901=""),"",IFERROR(IF(AND(OR(INDEX('1.職能辭典'!$J:$J,MATCH(F901,'1.職能辭典'!$C:$C,0))="全部",INDEX('3.員工名單'!$H:$H,MATCH(A901,'3.員工名單'!$A:$A,0))="兩款共用",INDEX('3.員工名單'!$H:$H,MATCH(A901,'3.員工名單'!$A:$A,0))=INDEX('1.職能辭典'!$J:$J,MATCH(F901,'1.職能辭典'!$C:$C,0))),OR(INDEX('1.職能辭典'!$K:$K,MATCH(F901,'1.職能辭典'!$C:$C,0))="全部",SUMPRODUCT(ISNUMBER(SEARCH({"經營","管理","財務","企劃","營運","技術","數據","美術","測試","客服"},INDEX('3.員工名單'!$I:$I,MATCH(A901,'3.員工名單'!$A:$A,0))))*ISNUMBER(SEARCH({"經營","管理","財務","企劃","營運","技術","數據","美術","測試","客服"},INDEX('1.職能辭典'!$K:$K,MATCH(F901,'1.職能辭典'!$C:$C,0)))))&gt;0)),INDEX('2.職務職能需求'!$B$2:$F$28,MATCH(F901,'2.職務職能需求'!$A$2:$A$28,0),MATCH(D901,'2.職務職能需求'!$B$1:$F$1,0)),0),""))</f>
        <v/>
      </c>
      <c r="H901" s="94" t="n"/>
      <c r="I901" s="94" t="n"/>
      <c r="J901" s="120">
        <f>IF(OR(G901="",I901="",G901=0),"",I901-G901)</f>
        <v/>
      </c>
      <c r="K901" s="120">
        <f>IF(G901="","",IF(G901=0,"不適用",IF(I901="","待評核",IF(I901&gt;=G901,IF(I901&gt;G901,"超越","達標"),"待發展"))))</f>
        <v/>
      </c>
      <c r="L901" s="91" t="n"/>
      <c r="M901" s="91" t="n"/>
      <c r="N901" s="88" t="n"/>
    </row>
    <row r="902" ht="15.75" customHeight="1" s="64">
      <c r="A902" s="88" t="n"/>
      <c r="B902" s="120">
        <f t="array" ref="B902:B902">IF(A902="","",IFERROR(INDEX('3.員工名單'!$B:$B,MATCH(A902,'3.員工名單'!$A:$A,0)),"查無此員工"))</f>
        <v/>
      </c>
      <c r="C902" s="120">
        <f t="array" ref="C902:C902">IF(A902="","",IFERROR(INDEX('3.員工名單'!$C:$C,MATCH(A902,'3.員工名單'!$A:$A,0)),""))</f>
        <v/>
      </c>
      <c r="D902" s="120">
        <f t="array" ref="D902:D902">IF(A902="","",IFERROR(INDEX('3.員工名單'!$D:$D,MATCH(A902,'3.員工名單'!$A:$A,0)),""))</f>
        <v/>
      </c>
      <c r="E902" s="120">
        <f t="array" ref="E902:E902">IF(F902="","",IFERROR(INDEX('1.職能辭典'!$A:$A,MATCH(F902,'1.職能辭典'!$C:$C,0)),""))</f>
        <v/>
      </c>
      <c r="F902" s="94" t="n"/>
      <c r="G902" s="120">
        <f t="array" ref="G902:G902">IF(OR(D902="",F902=""),"",IFERROR(IF(AND(OR(INDEX('1.職能辭典'!$J:$J,MATCH(F902,'1.職能辭典'!$C:$C,0))="全部",INDEX('3.員工名單'!$H:$H,MATCH(A902,'3.員工名單'!$A:$A,0))="兩款共用",INDEX('3.員工名單'!$H:$H,MATCH(A902,'3.員工名單'!$A:$A,0))=INDEX('1.職能辭典'!$J:$J,MATCH(F902,'1.職能辭典'!$C:$C,0))),OR(INDEX('1.職能辭典'!$K:$K,MATCH(F902,'1.職能辭典'!$C:$C,0))="全部",SUMPRODUCT(ISNUMBER(SEARCH({"經營","管理","財務","企劃","營運","技術","數據","美術","測試","客服"},INDEX('3.員工名單'!$I:$I,MATCH(A902,'3.員工名單'!$A:$A,0))))*ISNUMBER(SEARCH({"經營","管理","財務","企劃","營運","技術","數據","美術","測試","客服"},INDEX('1.職能辭典'!$K:$K,MATCH(F902,'1.職能辭典'!$C:$C,0)))))&gt;0)),INDEX('2.職務職能需求'!$B$2:$F$28,MATCH(F902,'2.職務職能需求'!$A$2:$A$28,0),MATCH(D902,'2.職務職能需求'!$B$1:$F$1,0)),0),""))</f>
        <v/>
      </c>
      <c r="H902" s="94" t="n"/>
      <c r="I902" s="94" t="n"/>
      <c r="J902" s="120">
        <f>IF(OR(G902="",I902="",G902=0),"",I902-G902)</f>
        <v/>
      </c>
      <c r="K902" s="120">
        <f>IF(G902="","",IF(G902=0,"不適用",IF(I902="","待評核",IF(I902&gt;=G902,IF(I902&gt;G902,"超越","達標"),"待發展"))))</f>
        <v/>
      </c>
      <c r="L902" s="91" t="n"/>
      <c r="M902" s="91" t="n"/>
      <c r="N902" s="88" t="n"/>
    </row>
    <row r="903" ht="15.75" customHeight="1" s="64">
      <c r="A903" s="88" t="n"/>
      <c r="B903" s="120">
        <f t="array" ref="B903:B903">IF(A903="","",IFERROR(INDEX('3.員工名單'!$B:$B,MATCH(A903,'3.員工名單'!$A:$A,0)),"查無此員工"))</f>
        <v/>
      </c>
      <c r="C903" s="120">
        <f t="array" ref="C903:C903">IF(A903="","",IFERROR(INDEX('3.員工名單'!$C:$C,MATCH(A903,'3.員工名單'!$A:$A,0)),""))</f>
        <v/>
      </c>
      <c r="D903" s="120">
        <f t="array" ref="D903:D903">IF(A903="","",IFERROR(INDEX('3.員工名單'!$D:$D,MATCH(A903,'3.員工名單'!$A:$A,0)),""))</f>
        <v/>
      </c>
      <c r="E903" s="120">
        <f t="array" ref="E903:E903">IF(F903="","",IFERROR(INDEX('1.職能辭典'!$A:$A,MATCH(F903,'1.職能辭典'!$C:$C,0)),""))</f>
        <v/>
      </c>
      <c r="F903" s="94" t="n"/>
      <c r="G903" s="120">
        <f t="array" ref="G903:G903">IF(OR(D903="",F903=""),"",IFERROR(IF(AND(OR(INDEX('1.職能辭典'!$J:$J,MATCH(F903,'1.職能辭典'!$C:$C,0))="全部",INDEX('3.員工名單'!$H:$H,MATCH(A903,'3.員工名單'!$A:$A,0))="兩款共用",INDEX('3.員工名單'!$H:$H,MATCH(A903,'3.員工名單'!$A:$A,0))=INDEX('1.職能辭典'!$J:$J,MATCH(F903,'1.職能辭典'!$C:$C,0))),OR(INDEX('1.職能辭典'!$K:$K,MATCH(F903,'1.職能辭典'!$C:$C,0))="全部",SUMPRODUCT(ISNUMBER(SEARCH({"經營","管理","財務","企劃","營運","技術","數據","美術","測試","客服"},INDEX('3.員工名單'!$I:$I,MATCH(A903,'3.員工名單'!$A:$A,0))))*ISNUMBER(SEARCH({"經營","管理","財務","企劃","營運","技術","數據","美術","測試","客服"},INDEX('1.職能辭典'!$K:$K,MATCH(F903,'1.職能辭典'!$C:$C,0)))))&gt;0)),INDEX('2.職務職能需求'!$B$2:$F$28,MATCH(F903,'2.職務職能需求'!$A$2:$A$28,0),MATCH(D903,'2.職務職能需求'!$B$1:$F$1,0)),0),""))</f>
        <v/>
      </c>
      <c r="H903" s="94" t="n"/>
      <c r="I903" s="94" t="n"/>
      <c r="J903" s="120">
        <f>IF(OR(G903="",I903="",G903=0),"",I903-G903)</f>
        <v/>
      </c>
      <c r="K903" s="120">
        <f>IF(G903="","",IF(G903=0,"不適用",IF(I903="","待評核",IF(I903&gt;=G903,IF(I903&gt;G903,"超越","達標"),"待發展"))))</f>
        <v/>
      </c>
      <c r="L903" s="91" t="n"/>
      <c r="M903" s="91" t="n"/>
      <c r="N903" s="88" t="n"/>
    </row>
    <row r="904" ht="15.75" customHeight="1" s="64">
      <c r="A904" s="88" t="n"/>
      <c r="B904" s="120">
        <f t="array" ref="B904:B904">IF(A904="","",IFERROR(INDEX('3.員工名單'!$B:$B,MATCH(A904,'3.員工名單'!$A:$A,0)),"查無此員工"))</f>
        <v/>
      </c>
      <c r="C904" s="120">
        <f t="array" ref="C904:C904">IF(A904="","",IFERROR(INDEX('3.員工名單'!$C:$C,MATCH(A904,'3.員工名單'!$A:$A,0)),""))</f>
        <v/>
      </c>
      <c r="D904" s="120">
        <f t="array" ref="D904:D904">IF(A904="","",IFERROR(INDEX('3.員工名單'!$D:$D,MATCH(A904,'3.員工名單'!$A:$A,0)),""))</f>
        <v/>
      </c>
      <c r="E904" s="120">
        <f t="array" ref="E904:E904">IF(F904="","",IFERROR(INDEX('1.職能辭典'!$A:$A,MATCH(F904,'1.職能辭典'!$C:$C,0)),""))</f>
        <v/>
      </c>
      <c r="F904" s="94" t="n"/>
      <c r="G904" s="120">
        <f t="array" ref="G904:G904">IF(OR(D904="",F904=""),"",IFERROR(IF(AND(OR(INDEX('1.職能辭典'!$J:$J,MATCH(F904,'1.職能辭典'!$C:$C,0))="全部",INDEX('3.員工名單'!$H:$H,MATCH(A904,'3.員工名單'!$A:$A,0))="兩款共用",INDEX('3.員工名單'!$H:$H,MATCH(A904,'3.員工名單'!$A:$A,0))=INDEX('1.職能辭典'!$J:$J,MATCH(F904,'1.職能辭典'!$C:$C,0))),OR(INDEX('1.職能辭典'!$K:$K,MATCH(F904,'1.職能辭典'!$C:$C,0))="全部",SUMPRODUCT(ISNUMBER(SEARCH({"經營","管理","財務","企劃","營運","技術","數據","美術","測試","客服"},INDEX('3.員工名單'!$I:$I,MATCH(A904,'3.員工名單'!$A:$A,0))))*ISNUMBER(SEARCH({"經營","管理","財務","企劃","營運","技術","數據","美術","測試","客服"},INDEX('1.職能辭典'!$K:$K,MATCH(F904,'1.職能辭典'!$C:$C,0)))))&gt;0)),INDEX('2.職務職能需求'!$B$2:$F$28,MATCH(F904,'2.職務職能需求'!$A$2:$A$28,0),MATCH(D904,'2.職務職能需求'!$B$1:$F$1,0)),0),""))</f>
        <v/>
      </c>
      <c r="H904" s="94" t="n"/>
      <c r="I904" s="94" t="n"/>
      <c r="J904" s="120">
        <f>IF(OR(G904="",I904="",G904=0),"",I904-G904)</f>
        <v/>
      </c>
      <c r="K904" s="120">
        <f>IF(G904="","",IF(G904=0,"不適用",IF(I904="","待評核",IF(I904&gt;=G904,IF(I904&gt;G904,"超越","達標"),"待發展"))))</f>
        <v/>
      </c>
      <c r="L904" s="91" t="n"/>
      <c r="M904" s="91" t="n"/>
      <c r="N904" s="88" t="n"/>
    </row>
    <row r="905" ht="15.75" customHeight="1" s="64">
      <c r="A905" s="88" t="n"/>
      <c r="B905" s="120">
        <f t="array" ref="B905:B905">IF(A905="","",IFERROR(INDEX('3.員工名單'!$B:$B,MATCH(A905,'3.員工名單'!$A:$A,0)),"查無此員工"))</f>
        <v/>
      </c>
      <c r="C905" s="120">
        <f t="array" ref="C905:C905">IF(A905="","",IFERROR(INDEX('3.員工名單'!$C:$C,MATCH(A905,'3.員工名單'!$A:$A,0)),""))</f>
        <v/>
      </c>
      <c r="D905" s="120">
        <f t="array" ref="D905:D905">IF(A905="","",IFERROR(INDEX('3.員工名單'!$D:$D,MATCH(A905,'3.員工名單'!$A:$A,0)),""))</f>
        <v/>
      </c>
      <c r="E905" s="120">
        <f t="array" ref="E905:E905">IF(F905="","",IFERROR(INDEX('1.職能辭典'!$A:$A,MATCH(F905,'1.職能辭典'!$C:$C,0)),""))</f>
        <v/>
      </c>
      <c r="F905" s="94" t="n"/>
      <c r="G905" s="120">
        <f t="array" ref="G905:G905">IF(OR(D905="",F905=""),"",IFERROR(IF(AND(OR(INDEX('1.職能辭典'!$J:$J,MATCH(F905,'1.職能辭典'!$C:$C,0))="全部",INDEX('3.員工名單'!$H:$H,MATCH(A905,'3.員工名單'!$A:$A,0))="兩款共用",INDEX('3.員工名單'!$H:$H,MATCH(A905,'3.員工名單'!$A:$A,0))=INDEX('1.職能辭典'!$J:$J,MATCH(F905,'1.職能辭典'!$C:$C,0))),OR(INDEX('1.職能辭典'!$K:$K,MATCH(F905,'1.職能辭典'!$C:$C,0))="全部",SUMPRODUCT(ISNUMBER(SEARCH({"經營","管理","財務","企劃","營運","技術","數據","美術","測試","客服"},INDEX('3.員工名單'!$I:$I,MATCH(A905,'3.員工名單'!$A:$A,0))))*ISNUMBER(SEARCH({"經營","管理","財務","企劃","營運","技術","數據","美術","測試","客服"},INDEX('1.職能辭典'!$K:$K,MATCH(F905,'1.職能辭典'!$C:$C,0)))))&gt;0)),INDEX('2.職務職能需求'!$B$2:$F$28,MATCH(F905,'2.職務職能需求'!$A$2:$A$28,0),MATCH(D905,'2.職務職能需求'!$B$1:$F$1,0)),0),""))</f>
        <v/>
      </c>
      <c r="H905" s="94" t="n"/>
      <c r="I905" s="94" t="n"/>
      <c r="J905" s="120">
        <f>IF(OR(G905="",I905="",G905=0),"",I905-G905)</f>
        <v/>
      </c>
      <c r="K905" s="120">
        <f>IF(G905="","",IF(G905=0,"不適用",IF(I905="","待評核",IF(I905&gt;=G905,IF(I905&gt;G905,"超越","達標"),"待發展"))))</f>
        <v/>
      </c>
      <c r="L905" s="91" t="n"/>
      <c r="M905" s="91" t="n"/>
      <c r="N905" s="88" t="n"/>
    </row>
    <row r="906" ht="15.75" customHeight="1" s="64">
      <c r="A906" s="88" t="n"/>
      <c r="B906" s="120">
        <f t="array" ref="B906:B906">IF(A906="","",IFERROR(INDEX('3.員工名單'!$B:$B,MATCH(A906,'3.員工名單'!$A:$A,0)),"查無此員工"))</f>
        <v/>
      </c>
      <c r="C906" s="120">
        <f t="array" ref="C906:C906">IF(A906="","",IFERROR(INDEX('3.員工名單'!$C:$C,MATCH(A906,'3.員工名單'!$A:$A,0)),""))</f>
        <v/>
      </c>
      <c r="D906" s="120">
        <f t="array" ref="D906:D906">IF(A906="","",IFERROR(INDEX('3.員工名單'!$D:$D,MATCH(A906,'3.員工名單'!$A:$A,0)),""))</f>
        <v/>
      </c>
      <c r="E906" s="120">
        <f t="array" ref="E906:E906">IF(F906="","",IFERROR(INDEX('1.職能辭典'!$A:$A,MATCH(F906,'1.職能辭典'!$C:$C,0)),""))</f>
        <v/>
      </c>
      <c r="F906" s="94" t="n"/>
      <c r="G906" s="120">
        <f t="array" ref="G906:G906">IF(OR(D906="",F906=""),"",IFERROR(IF(AND(OR(INDEX('1.職能辭典'!$J:$J,MATCH(F906,'1.職能辭典'!$C:$C,0))="全部",INDEX('3.員工名單'!$H:$H,MATCH(A906,'3.員工名單'!$A:$A,0))="兩款共用",INDEX('3.員工名單'!$H:$H,MATCH(A906,'3.員工名單'!$A:$A,0))=INDEX('1.職能辭典'!$J:$J,MATCH(F906,'1.職能辭典'!$C:$C,0))),OR(INDEX('1.職能辭典'!$K:$K,MATCH(F906,'1.職能辭典'!$C:$C,0))="全部",SUMPRODUCT(ISNUMBER(SEARCH({"經營","管理","財務","企劃","營運","技術","數據","美術","測試","客服"},INDEX('3.員工名單'!$I:$I,MATCH(A906,'3.員工名單'!$A:$A,0))))*ISNUMBER(SEARCH({"經營","管理","財務","企劃","營運","技術","數據","美術","測試","客服"},INDEX('1.職能辭典'!$K:$K,MATCH(F906,'1.職能辭典'!$C:$C,0)))))&gt;0)),INDEX('2.職務職能需求'!$B$2:$F$28,MATCH(F906,'2.職務職能需求'!$A$2:$A$28,0),MATCH(D906,'2.職務職能需求'!$B$1:$F$1,0)),0),""))</f>
        <v/>
      </c>
      <c r="H906" s="94" t="n"/>
      <c r="I906" s="94" t="n"/>
      <c r="J906" s="120">
        <f>IF(OR(G906="",I906="",G906=0),"",I906-G906)</f>
        <v/>
      </c>
      <c r="K906" s="120">
        <f>IF(G906="","",IF(G906=0,"不適用",IF(I906="","待評核",IF(I906&gt;=G906,IF(I906&gt;G906,"超越","達標"),"待發展"))))</f>
        <v/>
      </c>
      <c r="L906" s="91" t="n"/>
      <c r="M906" s="91" t="n"/>
      <c r="N906" s="88" t="n"/>
    </row>
    <row r="907" ht="15.75" customHeight="1" s="64">
      <c r="A907" s="88" t="n"/>
      <c r="B907" s="120">
        <f t="array" ref="B907:B907">IF(A907="","",IFERROR(INDEX('3.員工名單'!$B:$B,MATCH(A907,'3.員工名單'!$A:$A,0)),"查無此員工"))</f>
        <v/>
      </c>
      <c r="C907" s="120">
        <f t="array" ref="C907:C907">IF(A907="","",IFERROR(INDEX('3.員工名單'!$C:$C,MATCH(A907,'3.員工名單'!$A:$A,0)),""))</f>
        <v/>
      </c>
      <c r="D907" s="120">
        <f t="array" ref="D907:D907">IF(A907="","",IFERROR(INDEX('3.員工名單'!$D:$D,MATCH(A907,'3.員工名單'!$A:$A,0)),""))</f>
        <v/>
      </c>
      <c r="E907" s="120">
        <f t="array" ref="E907:E907">IF(F907="","",IFERROR(INDEX('1.職能辭典'!$A:$A,MATCH(F907,'1.職能辭典'!$C:$C,0)),""))</f>
        <v/>
      </c>
      <c r="F907" s="94" t="n"/>
      <c r="G907" s="120">
        <f t="array" ref="G907:G907">IF(OR(D907="",F907=""),"",IFERROR(IF(AND(OR(INDEX('1.職能辭典'!$J:$J,MATCH(F907,'1.職能辭典'!$C:$C,0))="全部",INDEX('3.員工名單'!$H:$H,MATCH(A907,'3.員工名單'!$A:$A,0))="兩款共用",INDEX('3.員工名單'!$H:$H,MATCH(A907,'3.員工名單'!$A:$A,0))=INDEX('1.職能辭典'!$J:$J,MATCH(F907,'1.職能辭典'!$C:$C,0))),OR(INDEX('1.職能辭典'!$K:$K,MATCH(F907,'1.職能辭典'!$C:$C,0))="全部",SUMPRODUCT(ISNUMBER(SEARCH({"經營","管理","財務","企劃","營運","技術","數據","美術","測試","客服"},INDEX('3.員工名單'!$I:$I,MATCH(A907,'3.員工名單'!$A:$A,0))))*ISNUMBER(SEARCH({"經營","管理","財務","企劃","營運","技術","數據","美術","測試","客服"},INDEX('1.職能辭典'!$K:$K,MATCH(F907,'1.職能辭典'!$C:$C,0)))))&gt;0)),INDEX('2.職務職能需求'!$B$2:$F$28,MATCH(F907,'2.職務職能需求'!$A$2:$A$28,0),MATCH(D907,'2.職務職能需求'!$B$1:$F$1,0)),0),""))</f>
        <v/>
      </c>
      <c r="H907" s="94" t="n"/>
      <c r="I907" s="94" t="n"/>
      <c r="J907" s="120">
        <f>IF(OR(G907="",I907="",G907=0),"",I907-G907)</f>
        <v/>
      </c>
      <c r="K907" s="120">
        <f>IF(G907="","",IF(G907=0,"不適用",IF(I907="","待評核",IF(I907&gt;=G907,IF(I907&gt;G907,"超越","達標"),"待發展"))))</f>
        <v/>
      </c>
      <c r="L907" s="91" t="n"/>
      <c r="M907" s="91" t="n"/>
      <c r="N907" s="88" t="n"/>
    </row>
    <row r="908" ht="15.75" customHeight="1" s="64">
      <c r="A908" s="88" t="n"/>
      <c r="B908" s="120">
        <f t="array" ref="B908:B908">IF(A908="","",IFERROR(INDEX('3.員工名單'!$B:$B,MATCH(A908,'3.員工名單'!$A:$A,0)),"查無此員工"))</f>
        <v/>
      </c>
      <c r="C908" s="120">
        <f t="array" ref="C908:C908">IF(A908="","",IFERROR(INDEX('3.員工名單'!$C:$C,MATCH(A908,'3.員工名單'!$A:$A,0)),""))</f>
        <v/>
      </c>
      <c r="D908" s="120">
        <f t="array" ref="D908:D908">IF(A908="","",IFERROR(INDEX('3.員工名單'!$D:$D,MATCH(A908,'3.員工名單'!$A:$A,0)),""))</f>
        <v/>
      </c>
      <c r="E908" s="120">
        <f t="array" ref="E908:E908">IF(F908="","",IFERROR(INDEX('1.職能辭典'!$A:$A,MATCH(F908,'1.職能辭典'!$C:$C,0)),""))</f>
        <v/>
      </c>
      <c r="F908" s="94" t="n"/>
      <c r="G908" s="120">
        <f t="array" ref="G908:G908">IF(OR(D908="",F908=""),"",IFERROR(IF(AND(OR(INDEX('1.職能辭典'!$J:$J,MATCH(F908,'1.職能辭典'!$C:$C,0))="全部",INDEX('3.員工名單'!$H:$H,MATCH(A908,'3.員工名單'!$A:$A,0))="兩款共用",INDEX('3.員工名單'!$H:$H,MATCH(A908,'3.員工名單'!$A:$A,0))=INDEX('1.職能辭典'!$J:$J,MATCH(F908,'1.職能辭典'!$C:$C,0))),OR(INDEX('1.職能辭典'!$K:$K,MATCH(F908,'1.職能辭典'!$C:$C,0))="全部",SUMPRODUCT(ISNUMBER(SEARCH({"經營","管理","財務","企劃","營運","技術","數據","美術","測試","客服"},INDEX('3.員工名單'!$I:$I,MATCH(A908,'3.員工名單'!$A:$A,0))))*ISNUMBER(SEARCH({"經營","管理","財務","企劃","營運","技術","數據","美術","測試","客服"},INDEX('1.職能辭典'!$K:$K,MATCH(F908,'1.職能辭典'!$C:$C,0)))))&gt;0)),INDEX('2.職務職能需求'!$B$2:$F$28,MATCH(F908,'2.職務職能需求'!$A$2:$A$28,0),MATCH(D908,'2.職務職能需求'!$B$1:$F$1,0)),0),""))</f>
        <v/>
      </c>
      <c r="H908" s="94" t="n"/>
      <c r="I908" s="94" t="n"/>
      <c r="J908" s="120">
        <f>IF(OR(G908="",I908="",G908=0),"",I908-G908)</f>
        <v/>
      </c>
      <c r="K908" s="120">
        <f>IF(G908="","",IF(G908=0,"不適用",IF(I908="","待評核",IF(I908&gt;=G908,IF(I908&gt;G908,"超越","達標"),"待發展"))))</f>
        <v/>
      </c>
      <c r="L908" s="91" t="n"/>
      <c r="M908" s="91" t="n"/>
      <c r="N908" s="88" t="n"/>
    </row>
    <row r="909" ht="15.75" customHeight="1" s="64">
      <c r="A909" s="88" t="n"/>
      <c r="B909" s="120">
        <f t="array" ref="B909:B909">IF(A909="","",IFERROR(INDEX('3.員工名單'!$B:$B,MATCH(A909,'3.員工名單'!$A:$A,0)),"查無此員工"))</f>
        <v/>
      </c>
      <c r="C909" s="120">
        <f t="array" ref="C909:C909">IF(A909="","",IFERROR(INDEX('3.員工名單'!$C:$C,MATCH(A909,'3.員工名單'!$A:$A,0)),""))</f>
        <v/>
      </c>
      <c r="D909" s="120">
        <f t="array" ref="D909:D909">IF(A909="","",IFERROR(INDEX('3.員工名單'!$D:$D,MATCH(A909,'3.員工名單'!$A:$A,0)),""))</f>
        <v/>
      </c>
      <c r="E909" s="120">
        <f t="array" ref="E909:E909">IF(F909="","",IFERROR(INDEX('1.職能辭典'!$A:$A,MATCH(F909,'1.職能辭典'!$C:$C,0)),""))</f>
        <v/>
      </c>
      <c r="F909" s="94" t="n"/>
      <c r="G909" s="120">
        <f t="array" ref="G909:G909">IF(OR(D909="",F909=""),"",IFERROR(IF(AND(OR(INDEX('1.職能辭典'!$J:$J,MATCH(F909,'1.職能辭典'!$C:$C,0))="全部",INDEX('3.員工名單'!$H:$H,MATCH(A909,'3.員工名單'!$A:$A,0))="兩款共用",INDEX('3.員工名單'!$H:$H,MATCH(A909,'3.員工名單'!$A:$A,0))=INDEX('1.職能辭典'!$J:$J,MATCH(F909,'1.職能辭典'!$C:$C,0))),OR(INDEX('1.職能辭典'!$K:$K,MATCH(F909,'1.職能辭典'!$C:$C,0))="全部",SUMPRODUCT(ISNUMBER(SEARCH({"經營","管理","財務","企劃","營運","技術","數據","美術","測試","客服"},INDEX('3.員工名單'!$I:$I,MATCH(A909,'3.員工名單'!$A:$A,0))))*ISNUMBER(SEARCH({"經營","管理","財務","企劃","營運","技術","數據","美術","測試","客服"},INDEX('1.職能辭典'!$K:$K,MATCH(F909,'1.職能辭典'!$C:$C,0)))))&gt;0)),INDEX('2.職務職能需求'!$B$2:$F$28,MATCH(F909,'2.職務職能需求'!$A$2:$A$28,0),MATCH(D909,'2.職務職能需求'!$B$1:$F$1,0)),0),""))</f>
        <v/>
      </c>
      <c r="H909" s="94" t="n"/>
      <c r="I909" s="94" t="n"/>
      <c r="J909" s="120">
        <f>IF(OR(G909="",I909="",G909=0),"",I909-G909)</f>
        <v/>
      </c>
      <c r="K909" s="120">
        <f>IF(G909="","",IF(G909=0,"不適用",IF(I909="","待評核",IF(I909&gt;=G909,IF(I909&gt;G909,"超越","達標"),"待發展"))))</f>
        <v/>
      </c>
      <c r="L909" s="91" t="n"/>
      <c r="M909" s="91" t="n"/>
      <c r="N909" s="88" t="n"/>
    </row>
    <row r="910" ht="15.75" customHeight="1" s="64">
      <c r="A910" s="88" t="n"/>
      <c r="B910" s="120">
        <f t="array" ref="B910:B910">IF(A910="","",IFERROR(INDEX('3.員工名單'!$B:$B,MATCH(A910,'3.員工名單'!$A:$A,0)),"查無此員工"))</f>
        <v/>
      </c>
      <c r="C910" s="120">
        <f t="array" ref="C910:C910">IF(A910="","",IFERROR(INDEX('3.員工名單'!$C:$C,MATCH(A910,'3.員工名單'!$A:$A,0)),""))</f>
        <v/>
      </c>
      <c r="D910" s="120">
        <f t="array" ref="D910:D910">IF(A910="","",IFERROR(INDEX('3.員工名單'!$D:$D,MATCH(A910,'3.員工名單'!$A:$A,0)),""))</f>
        <v/>
      </c>
      <c r="E910" s="120">
        <f t="array" ref="E910:E910">IF(F910="","",IFERROR(INDEX('1.職能辭典'!$A:$A,MATCH(F910,'1.職能辭典'!$C:$C,0)),""))</f>
        <v/>
      </c>
      <c r="F910" s="94" t="n"/>
      <c r="G910" s="120">
        <f t="array" ref="G910:G910">IF(OR(D910="",F910=""),"",IFERROR(IF(AND(OR(INDEX('1.職能辭典'!$J:$J,MATCH(F910,'1.職能辭典'!$C:$C,0))="全部",INDEX('3.員工名單'!$H:$H,MATCH(A910,'3.員工名單'!$A:$A,0))="兩款共用",INDEX('3.員工名單'!$H:$H,MATCH(A910,'3.員工名單'!$A:$A,0))=INDEX('1.職能辭典'!$J:$J,MATCH(F910,'1.職能辭典'!$C:$C,0))),OR(INDEX('1.職能辭典'!$K:$K,MATCH(F910,'1.職能辭典'!$C:$C,0))="全部",SUMPRODUCT(ISNUMBER(SEARCH({"經營","管理","財務","企劃","營運","技術","數據","美術","測試","客服"},INDEX('3.員工名單'!$I:$I,MATCH(A910,'3.員工名單'!$A:$A,0))))*ISNUMBER(SEARCH({"經營","管理","財務","企劃","營運","技術","數據","美術","測試","客服"},INDEX('1.職能辭典'!$K:$K,MATCH(F910,'1.職能辭典'!$C:$C,0)))))&gt;0)),INDEX('2.職務職能需求'!$B$2:$F$28,MATCH(F910,'2.職務職能需求'!$A$2:$A$28,0),MATCH(D910,'2.職務職能需求'!$B$1:$F$1,0)),0),""))</f>
        <v/>
      </c>
      <c r="H910" s="94" t="n"/>
      <c r="I910" s="94" t="n"/>
      <c r="J910" s="120">
        <f>IF(OR(G910="",I910="",G910=0),"",I910-G910)</f>
        <v/>
      </c>
      <c r="K910" s="120">
        <f>IF(G910="","",IF(G910=0,"不適用",IF(I910="","待評核",IF(I910&gt;=G910,IF(I910&gt;G910,"超越","達標"),"待發展"))))</f>
        <v/>
      </c>
      <c r="L910" s="91" t="n"/>
      <c r="M910" s="91" t="n"/>
      <c r="N910" s="88" t="n"/>
    </row>
    <row r="911" ht="15.75" customHeight="1" s="64">
      <c r="A911" s="88" t="n"/>
      <c r="B911" s="120">
        <f t="array" ref="B911:B911">IF(A911="","",IFERROR(INDEX('3.員工名單'!$B:$B,MATCH(A911,'3.員工名單'!$A:$A,0)),"查無此員工"))</f>
        <v/>
      </c>
      <c r="C911" s="120">
        <f t="array" ref="C911:C911">IF(A911="","",IFERROR(INDEX('3.員工名單'!$C:$C,MATCH(A911,'3.員工名單'!$A:$A,0)),""))</f>
        <v/>
      </c>
      <c r="D911" s="120">
        <f t="array" ref="D911:D911">IF(A911="","",IFERROR(INDEX('3.員工名單'!$D:$D,MATCH(A911,'3.員工名單'!$A:$A,0)),""))</f>
        <v/>
      </c>
      <c r="E911" s="120">
        <f t="array" ref="E911:E911">IF(F911="","",IFERROR(INDEX('1.職能辭典'!$A:$A,MATCH(F911,'1.職能辭典'!$C:$C,0)),""))</f>
        <v/>
      </c>
      <c r="F911" s="94" t="n"/>
      <c r="G911" s="120">
        <f t="array" ref="G911:G911">IF(OR(D911="",F911=""),"",IFERROR(IF(AND(OR(INDEX('1.職能辭典'!$J:$J,MATCH(F911,'1.職能辭典'!$C:$C,0))="全部",INDEX('3.員工名單'!$H:$H,MATCH(A911,'3.員工名單'!$A:$A,0))="兩款共用",INDEX('3.員工名單'!$H:$H,MATCH(A911,'3.員工名單'!$A:$A,0))=INDEX('1.職能辭典'!$J:$J,MATCH(F911,'1.職能辭典'!$C:$C,0))),OR(INDEX('1.職能辭典'!$K:$K,MATCH(F911,'1.職能辭典'!$C:$C,0))="全部",SUMPRODUCT(ISNUMBER(SEARCH({"經營","管理","財務","企劃","營運","技術","數據","美術","測試","客服"},INDEX('3.員工名單'!$I:$I,MATCH(A911,'3.員工名單'!$A:$A,0))))*ISNUMBER(SEARCH({"經營","管理","財務","企劃","營運","技術","數據","美術","測試","客服"},INDEX('1.職能辭典'!$K:$K,MATCH(F911,'1.職能辭典'!$C:$C,0)))))&gt;0)),INDEX('2.職務職能需求'!$B$2:$F$28,MATCH(F911,'2.職務職能需求'!$A$2:$A$28,0),MATCH(D911,'2.職務職能需求'!$B$1:$F$1,0)),0),""))</f>
        <v/>
      </c>
      <c r="H911" s="94" t="n"/>
      <c r="I911" s="94" t="n"/>
      <c r="J911" s="120">
        <f>IF(OR(G911="",I911="",G911=0),"",I911-G911)</f>
        <v/>
      </c>
      <c r="K911" s="120">
        <f>IF(G911="","",IF(G911=0,"不適用",IF(I911="","待評核",IF(I911&gt;=G911,IF(I911&gt;G911,"超越","達標"),"待發展"))))</f>
        <v/>
      </c>
      <c r="L911" s="91" t="n"/>
      <c r="M911" s="91" t="n"/>
      <c r="N911" s="88" t="n"/>
    </row>
    <row r="912" ht="15.75" customHeight="1" s="64">
      <c r="A912" s="88" t="n"/>
      <c r="B912" s="120">
        <f t="array" ref="B912:B912">IF(A912="","",IFERROR(INDEX('3.員工名單'!$B:$B,MATCH(A912,'3.員工名單'!$A:$A,0)),"查無此員工"))</f>
        <v/>
      </c>
      <c r="C912" s="120">
        <f t="array" ref="C912:C912">IF(A912="","",IFERROR(INDEX('3.員工名單'!$C:$C,MATCH(A912,'3.員工名單'!$A:$A,0)),""))</f>
        <v/>
      </c>
      <c r="D912" s="120">
        <f t="array" ref="D912:D912">IF(A912="","",IFERROR(INDEX('3.員工名單'!$D:$D,MATCH(A912,'3.員工名單'!$A:$A,0)),""))</f>
        <v/>
      </c>
      <c r="E912" s="120">
        <f t="array" ref="E912:E912">IF(F912="","",IFERROR(INDEX('1.職能辭典'!$A:$A,MATCH(F912,'1.職能辭典'!$C:$C,0)),""))</f>
        <v/>
      </c>
      <c r="F912" s="94" t="n"/>
      <c r="G912" s="120">
        <f t="array" ref="G912:G912">IF(OR(D912="",F912=""),"",IFERROR(IF(AND(OR(INDEX('1.職能辭典'!$J:$J,MATCH(F912,'1.職能辭典'!$C:$C,0))="全部",INDEX('3.員工名單'!$H:$H,MATCH(A912,'3.員工名單'!$A:$A,0))="兩款共用",INDEX('3.員工名單'!$H:$H,MATCH(A912,'3.員工名單'!$A:$A,0))=INDEX('1.職能辭典'!$J:$J,MATCH(F912,'1.職能辭典'!$C:$C,0))),OR(INDEX('1.職能辭典'!$K:$K,MATCH(F912,'1.職能辭典'!$C:$C,0))="全部",SUMPRODUCT(ISNUMBER(SEARCH({"經營","管理","財務","企劃","營運","技術","數據","美術","測試","客服"},INDEX('3.員工名單'!$I:$I,MATCH(A912,'3.員工名單'!$A:$A,0))))*ISNUMBER(SEARCH({"經營","管理","財務","企劃","營運","技術","數據","美術","測試","客服"},INDEX('1.職能辭典'!$K:$K,MATCH(F912,'1.職能辭典'!$C:$C,0)))))&gt;0)),INDEX('2.職務職能需求'!$B$2:$F$28,MATCH(F912,'2.職務職能需求'!$A$2:$A$28,0),MATCH(D912,'2.職務職能需求'!$B$1:$F$1,0)),0),""))</f>
        <v/>
      </c>
      <c r="H912" s="94" t="n"/>
      <c r="I912" s="94" t="n"/>
      <c r="J912" s="120">
        <f>IF(OR(G912="",I912="",G912=0),"",I912-G912)</f>
        <v/>
      </c>
      <c r="K912" s="120">
        <f>IF(G912="","",IF(G912=0,"不適用",IF(I912="","待評核",IF(I912&gt;=G912,IF(I912&gt;G912,"超越","達標"),"待發展"))))</f>
        <v/>
      </c>
      <c r="L912" s="91" t="n"/>
      <c r="M912" s="91" t="n"/>
      <c r="N912" s="88" t="n"/>
    </row>
    <row r="913" ht="15.75" customHeight="1" s="64">
      <c r="A913" s="88" t="n"/>
      <c r="B913" s="120">
        <f t="array" ref="B913:B913">IF(A913="","",IFERROR(INDEX('3.員工名單'!$B:$B,MATCH(A913,'3.員工名單'!$A:$A,0)),"查無此員工"))</f>
        <v/>
      </c>
      <c r="C913" s="120">
        <f t="array" ref="C913:C913">IF(A913="","",IFERROR(INDEX('3.員工名單'!$C:$C,MATCH(A913,'3.員工名單'!$A:$A,0)),""))</f>
        <v/>
      </c>
      <c r="D913" s="120">
        <f t="array" ref="D913:D913">IF(A913="","",IFERROR(INDEX('3.員工名單'!$D:$D,MATCH(A913,'3.員工名單'!$A:$A,0)),""))</f>
        <v/>
      </c>
      <c r="E913" s="120">
        <f t="array" ref="E913:E913">IF(F913="","",IFERROR(INDEX('1.職能辭典'!$A:$A,MATCH(F913,'1.職能辭典'!$C:$C,0)),""))</f>
        <v/>
      </c>
      <c r="F913" s="94" t="n"/>
      <c r="G913" s="120">
        <f t="array" ref="G913:G913">IF(OR(D913="",F913=""),"",IFERROR(IF(AND(OR(INDEX('1.職能辭典'!$J:$J,MATCH(F913,'1.職能辭典'!$C:$C,0))="全部",INDEX('3.員工名單'!$H:$H,MATCH(A913,'3.員工名單'!$A:$A,0))="兩款共用",INDEX('3.員工名單'!$H:$H,MATCH(A913,'3.員工名單'!$A:$A,0))=INDEX('1.職能辭典'!$J:$J,MATCH(F913,'1.職能辭典'!$C:$C,0))),OR(INDEX('1.職能辭典'!$K:$K,MATCH(F913,'1.職能辭典'!$C:$C,0))="全部",SUMPRODUCT(ISNUMBER(SEARCH({"經營","管理","財務","企劃","營運","技術","數據","美術","測試","客服"},INDEX('3.員工名單'!$I:$I,MATCH(A913,'3.員工名單'!$A:$A,0))))*ISNUMBER(SEARCH({"經營","管理","財務","企劃","營運","技術","數據","美術","測試","客服"},INDEX('1.職能辭典'!$K:$K,MATCH(F913,'1.職能辭典'!$C:$C,0)))))&gt;0)),INDEX('2.職務職能需求'!$B$2:$F$28,MATCH(F913,'2.職務職能需求'!$A$2:$A$28,0),MATCH(D913,'2.職務職能需求'!$B$1:$F$1,0)),0),""))</f>
        <v/>
      </c>
      <c r="H913" s="94" t="n"/>
      <c r="I913" s="94" t="n"/>
      <c r="J913" s="120">
        <f>IF(OR(G913="",I913="",G913=0),"",I913-G913)</f>
        <v/>
      </c>
      <c r="K913" s="120">
        <f>IF(G913="","",IF(G913=0,"不適用",IF(I913="","待評核",IF(I913&gt;=G913,IF(I913&gt;G913,"超越","達標"),"待發展"))))</f>
        <v/>
      </c>
      <c r="L913" s="91" t="n"/>
      <c r="M913" s="91" t="n"/>
      <c r="N913" s="88" t="n"/>
    </row>
    <row r="914" ht="15.75" customHeight="1" s="64">
      <c r="A914" s="88" t="n"/>
      <c r="B914" s="120">
        <f t="array" ref="B914:B914">IF(A914="","",IFERROR(INDEX('3.員工名單'!$B:$B,MATCH(A914,'3.員工名單'!$A:$A,0)),"查無此員工"))</f>
        <v/>
      </c>
      <c r="C914" s="120">
        <f t="array" ref="C914:C914">IF(A914="","",IFERROR(INDEX('3.員工名單'!$C:$C,MATCH(A914,'3.員工名單'!$A:$A,0)),""))</f>
        <v/>
      </c>
      <c r="D914" s="120">
        <f t="array" ref="D914:D914">IF(A914="","",IFERROR(INDEX('3.員工名單'!$D:$D,MATCH(A914,'3.員工名單'!$A:$A,0)),""))</f>
        <v/>
      </c>
      <c r="E914" s="120">
        <f t="array" ref="E914:E914">IF(F914="","",IFERROR(INDEX('1.職能辭典'!$A:$A,MATCH(F914,'1.職能辭典'!$C:$C,0)),""))</f>
        <v/>
      </c>
      <c r="F914" s="94" t="n"/>
      <c r="G914" s="120">
        <f t="array" ref="G914:G914">IF(OR(D914="",F914=""),"",IFERROR(IF(AND(OR(INDEX('1.職能辭典'!$J:$J,MATCH(F914,'1.職能辭典'!$C:$C,0))="全部",INDEX('3.員工名單'!$H:$H,MATCH(A914,'3.員工名單'!$A:$A,0))="兩款共用",INDEX('3.員工名單'!$H:$H,MATCH(A914,'3.員工名單'!$A:$A,0))=INDEX('1.職能辭典'!$J:$J,MATCH(F914,'1.職能辭典'!$C:$C,0))),OR(INDEX('1.職能辭典'!$K:$K,MATCH(F914,'1.職能辭典'!$C:$C,0))="全部",SUMPRODUCT(ISNUMBER(SEARCH({"經營","管理","財務","企劃","營運","技術","數據","美術","測試","客服"},INDEX('3.員工名單'!$I:$I,MATCH(A914,'3.員工名單'!$A:$A,0))))*ISNUMBER(SEARCH({"經營","管理","財務","企劃","營運","技術","數據","美術","測試","客服"},INDEX('1.職能辭典'!$K:$K,MATCH(F914,'1.職能辭典'!$C:$C,0)))))&gt;0)),INDEX('2.職務職能需求'!$B$2:$F$28,MATCH(F914,'2.職務職能需求'!$A$2:$A$28,0),MATCH(D914,'2.職務職能需求'!$B$1:$F$1,0)),0),""))</f>
        <v/>
      </c>
      <c r="H914" s="94" t="n"/>
      <c r="I914" s="94" t="n"/>
      <c r="J914" s="120">
        <f>IF(OR(G914="",I914="",G914=0),"",I914-G914)</f>
        <v/>
      </c>
      <c r="K914" s="120">
        <f>IF(G914="","",IF(G914=0,"不適用",IF(I914="","待評核",IF(I914&gt;=G914,IF(I914&gt;G914,"超越","達標"),"待發展"))))</f>
        <v/>
      </c>
      <c r="L914" s="91" t="n"/>
      <c r="M914" s="91" t="n"/>
      <c r="N914" s="88" t="n"/>
    </row>
    <row r="915" ht="15.75" customHeight="1" s="64">
      <c r="A915" s="88" t="n"/>
      <c r="B915" s="120">
        <f t="array" ref="B915:B915">IF(A915="","",IFERROR(INDEX('3.員工名單'!$B:$B,MATCH(A915,'3.員工名單'!$A:$A,0)),"查無此員工"))</f>
        <v/>
      </c>
      <c r="C915" s="120">
        <f t="array" ref="C915:C915">IF(A915="","",IFERROR(INDEX('3.員工名單'!$C:$C,MATCH(A915,'3.員工名單'!$A:$A,0)),""))</f>
        <v/>
      </c>
      <c r="D915" s="120">
        <f t="array" ref="D915:D915">IF(A915="","",IFERROR(INDEX('3.員工名單'!$D:$D,MATCH(A915,'3.員工名單'!$A:$A,0)),""))</f>
        <v/>
      </c>
      <c r="E915" s="120">
        <f t="array" ref="E915:E915">IF(F915="","",IFERROR(INDEX('1.職能辭典'!$A:$A,MATCH(F915,'1.職能辭典'!$C:$C,0)),""))</f>
        <v/>
      </c>
      <c r="F915" s="94" t="n"/>
      <c r="G915" s="120">
        <f t="array" ref="G915:G915">IF(OR(D915="",F915=""),"",IFERROR(IF(AND(OR(INDEX('1.職能辭典'!$J:$J,MATCH(F915,'1.職能辭典'!$C:$C,0))="全部",INDEX('3.員工名單'!$H:$H,MATCH(A915,'3.員工名單'!$A:$A,0))="兩款共用",INDEX('3.員工名單'!$H:$H,MATCH(A915,'3.員工名單'!$A:$A,0))=INDEX('1.職能辭典'!$J:$J,MATCH(F915,'1.職能辭典'!$C:$C,0))),OR(INDEX('1.職能辭典'!$K:$K,MATCH(F915,'1.職能辭典'!$C:$C,0))="全部",SUMPRODUCT(ISNUMBER(SEARCH({"經營","管理","財務","企劃","營運","技術","數據","美術","測試","客服"},INDEX('3.員工名單'!$I:$I,MATCH(A915,'3.員工名單'!$A:$A,0))))*ISNUMBER(SEARCH({"經營","管理","財務","企劃","營運","技術","數據","美術","測試","客服"},INDEX('1.職能辭典'!$K:$K,MATCH(F915,'1.職能辭典'!$C:$C,0)))))&gt;0)),INDEX('2.職務職能需求'!$B$2:$F$28,MATCH(F915,'2.職務職能需求'!$A$2:$A$28,0),MATCH(D915,'2.職務職能需求'!$B$1:$F$1,0)),0),""))</f>
        <v/>
      </c>
      <c r="H915" s="94" t="n"/>
      <c r="I915" s="94" t="n"/>
      <c r="J915" s="120">
        <f>IF(OR(G915="",I915="",G915=0),"",I915-G915)</f>
        <v/>
      </c>
      <c r="K915" s="120">
        <f>IF(G915="","",IF(G915=0,"不適用",IF(I915="","待評核",IF(I915&gt;=G915,IF(I915&gt;G915,"超越","達標"),"待發展"))))</f>
        <v/>
      </c>
      <c r="L915" s="91" t="n"/>
      <c r="M915" s="91" t="n"/>
      <c r="N915" s="88" t="n"/>
    </row>
    <row r="916" ht="15.75" customHeight="1" s="64">
      <c r="A916" s="88" t="n"/>
      <c r="B916" s="120">
        <f t="array" ref="B916:B916">IF(A916="","",IFERROR(INDEX('3.員工名單'!$B:$B,MATCH(A916,'3.員工名單'!$A:$A,0)),"查無此員工"))</f>
        <v/>
      </c>
      <c r="C916" s="120">
        <f t="array" ref="C916:C916">IF(A916="","",IFERROR(INDEX('3.員工名單'!$C:$C,MATCH(A916,'3.員工名單'!$A:$A,0)),""))</f>
        <v/>
      </c>
      <c r="D916" s="120">
        <f t="array" ref="D916:D916">IF(A916="","",IFERROR(INDEX('3.員工名單'!$D:$D,MATCH(A916,'3.員工名單'!$A:$A,0)),""))</f>
        <v/>
      </c>
      <c r="E916" s="120">
        <f t="array" ref="E916:E916">IF(F916="","",IFERROR(INDEX('1.職能辭典'!$A:$A,MATCH(F916,'1.職能辭典'!$C:$C,0)),""))</f>
        <v/>
      </c>
      <c r="F916" s="94" t="n"/>
      <c r="G916" s="120">
        <f t="array" ref="G916:G916">IF(OR(D916="",F916=""),"",IFERROR(IF(AND(OR(INDEX('1.職能辭典'!$J:$J,MATCH(F916,'1.職能辭典'!$C:$C,0))="全部",INDEX('3.員工名單'!$H:$H,MATCH(A916,'3.員工名單'!$A:$A,0))="兩款共用",INDEX('3.員工名單'!$H:$H,MATCH(A916,'3.員工名單'!$A:$A,0))=INDEX('1.職能辭典'!$J:$J,MATCH(F916,'1.職能辭典'!$C:$C,0))),OR(INDEX('1.職能辭典'!$K:$K,MATCH(F916,'1.職能辭典'!$C:$C,0))="全部",SUMPRODUCT(ISNUMBER(SEARCH({"經營","管理","財務","企劃","營運","技術","數據","美術","測試","客服"},INDEX('3.員工名單'!$I:$I,MATCH(A916,'3.員工名單'!$A:$A,0))))*ISNUMBER(SEARCH({"經營","管理","財務","企劃","營運","技術","數據","美術","測試","客服"},INDEX('1.職能辭典'!$K:$K,MATCH(F916,'1.職能辭典'!$C:$C,0)))))&gt;0)),INDEX('2.職務職能需求'!$B$2:$F$28,MATCH(F916,'2.職務職能需求'!$A$2:$A$28,0),MATCH(D916,'2.職務職能需求'!$B$1:$F$1,0)),0),""))</f>
        <v/>
      </c>
      <c r="H916" s="94" t="n"/>
      <c r="I916" s="94" t="n"/>
      <c r="J916" s="120">
        <f>IF(OR(G916="",I916="",G916=0),"",I916-G916)</f>
        <v/>
      </c>
      <c r="K916" s="120">
        <f>IF(G916="","",IF(G916=0,"不適用",IF(I916="","待評核",IF(I916&gt;=G916,IF(I916&gt;G916,"超越","達標"),"待發展"))))</f>
        <v/>
      </c>
      <c r="L916" s="91" t="n"/>
      <c r="M916" s="91" t="n"/>
      <c r="N916" s="88" t="n"/>
    </row>
    <row r="917" ht="15.75" customHeight="1" s="64">
      <c r="A917" s="88" t="n"/>
      <c r="B917" s="120">
        <f t="array" ref="B917:B917">IF(A917="","",IFERROR(INDEX('3.員工名單'!$B:$B,MATCH(A917,'3.員工名單'!$A:$A,0)),"查無此員工"))</f>
        <v/>
      </c>
      <c r="C917" s="120">
        <f t="array" ref="C917:C917">IF(A917="","",IFERROR(INDEX('3.員工名單'!$C:$C,MATCH(A917,'3.員工名單'!$A:$A,0)),""))</f>
        <v/>
      </c>
      <c r="D917" s="120">
        <f t="array" ref="D917:D917">IF(A917="","",IFERROR(INDEX('3.員工名單'!$D:$D,MATCH(A917,'3.員工名單'!$A:$A,0)),""))</f>
        <v/>
      </c>
      <c r="E917" s="120">
        <f t="array" ref="E917:E917">IF(F917="","",IFERROR(INDEX('1.職能辭典'!$A:$A,MATCH(F917,'1.職能辭典'!$C:$C,0)),""))</f>
        <v/>
      </c>
      <c r="F917" s="94" t="n"/>
      <c r="G917" s="120">
        <f t="array" ref="G917:G917">IF(OR(D917="",F917=""),"",IFERROR(IF(AND(OR(INDEX('1.職能辭典'!$J:$J,MATCH(F917,'1.職能辭典'!$C:$C,0))="全部",INDEX('3.員工名單'!$H:$H,MATCH(A917,'3.員工名單'!$A:$A,0))="兩款共用",INDEX('3.員工名單'!$H:$H,MATCH(A917,'3.員工名單'!$A:$A,0))=INDEX('1.職能辭典'!$J:$J,MATCH(F917,'1.職能辭典'!$C:$C,0))),OR(INDEX('1.職能辭典'!$K:$K,MATCH(F917,'1.職能辭典'!$C:$C,0))="全部",SUMPRODUCT(ISNUMBER(SEARCH({"經營","管理","財務","企劃","營運","技術","數據","美術","測試","客服"},INDEX('3.員工名單'!$I:$I,MATCH(A917,'3.員工名單'!$A:$A,0))))*ISNUMBER(SEARCH({"經營","管理","財務","企劃","營運","技術","數據","美術","測試","客服"},INDEX('1.職能辭典'!$K:$K,MATCH(F917,'1.職能辭典'!$C:$C,0)))))&gt;0)),INDEX('2.職務職能需求'!$B$2:$F$28,MATCH(F917,'2.職務職能需求'!$A$2:$A$28,0),MATCH(D917,'2.職務職能需求'!$B$1:$F$1,0)),0),""))</f>
        <v/>
      </c>
      <c r="H917" s="94" t="n"/>
      <c r="I917" s="94" t="n"/>
      <c r="J917" s="120">
        <f>IF(OR(G917="",I917="",G917=0),"",I917-G917)</f>
        <v/>
      </c>
      <c r="K917" s="120">
        <f>IF(G917="","",IF(G917=0,"不適用",IF(I917="","待評核",IF(I917&gt;=G917,IF(I917&gt;G917,"超越","達標"),"待發展"))))</f>
        <v/>
      </c>
      <c r="L917" s="91" t="n"/>
      <c r="M917" s="91" t="n"/>
      <c r="N917" s="88" t="n"/>
    </row>
    <row r="918" ht="15.75" customHeight="1" s="64">
      <c r="A918" s="88" t="n"/>
      <c r="B918" s="120">
        <f t="array" ref="B918:B918">IF(A918="","",IFERROR(INDEX('3.員工名單'!$B:$B,MATCH(A918,'3.員工名單'!$A:$A,0)),"查無此員工"))</f>
        <v/>
      </c>
      <c r="C918" s="120">
        <f t="array" ref="C918:C918">IF(A918="","",IFERROR(INDEX('3.員工名單'!$C:$C,MATCH(A918,'3.員工名單'!$A:$A,0)),""))</f>
        <v/>
      </c>
      <c r="D918" s="120">
        <f t="array" ref="D918:D918">IF(A918="","",IFERROR(INDEX('3.員工名單'!$D:$D,MATCH(A918,'3.員工名單'!$A:$A,0)),""))</f>
        <v/>
      </c>
      <c r="E918" s="120">
        <f t="array" ref="E918:E918">IF(F918="","",IFERROR(INDEX('1.職能辭典'!$A:$A,MATCH(F918,'1.職能辭典'!$C:$C,0)),""))</f>
        <v/>
      </c>
      <c r="F918" s="94" t="n"/>
      <c r="G918" s="120">
        <f t="array" ref="G918:G918">IF(OR(D918="",F918=""),"",IFERROR(IF(AND(OR(INDEX('1.職能辭典'!$J:$J,MATCH(F918,'1.職能辭典'!$C:$C,0))="全部",INDEX('3.員工名單'!$H:$H,MATCH(A918,'3.員工名單'!$A:$A,0))="兩款共用",INDEX('3.員工名單'!$H:$H,MATCH(A918,'3.員工名單'!$A:$A,0))=INDEX('1.職能辭典'!$J:$J,MATCH(F918,'1.職能辭典'!$C:$C,0))),OR(INDEX('1.職能辭典'!$K:$K,MATCH(F918,'1.職能辭典'!$C:$C,0))="全部",SUMPRODUCT(ISNUMBER(SEARCH({"經營","管理","財務","企劃","營運","技術","數據","美術","測試","客服"},INDEX('3.員工名單'!$I:$I,MATCH(A918,'3.員工名單'!$A:$A,0))))*ISNUMBER(SEARCH({"經營","管理","財務","企劃","營運","技術","數據","美術","測試","客服"},INDEX('1.職能辭典'!$K:$K,MATCH(F918,'1.職能辭典'!$C:$C,0)))))&gt;0)),INDEX('2.職務職能需求'!$B$2:$F$28,MATCH(F918,'2.職務職能需求'!$A$2:$A$28,0),MATCH(D918,'2.職務職能需求'!$B$1:$F$1,0)),0),""))</f>
        <v/>
      </c>
      <c r="H918" s="94" t="n"/>
      <c r="I918" s="94" t="n"/>
      <c r="J918" s="120">
        <f>IF(OR(G918="",I918="",G918=0),"",I918-G918)</f>
        <v/>
      </c>
      <c r="K918" s="120">
        <f>IF(G918="","",IF(G918=0,"不適用",IF(I918="","待評核",IF(I918&gt;=G918,IF(I918&gt;G918,"超越","達標"),"待發展"))))</f>
        <v/>
      </c>
      <c r="L918" s="91" t="n"/>
      <c r="M918" s="91" t="n"/>
      <c r="N918" s="88" t="n"/>
    </row>
    <row r="919" ht="15.75" customHeight="1" s="64">
      <c r="A919" s="88" t="n"/>
      <c r="B919" s="120">
        <f t="array" ref="B919:B919">IF(A919="","",IFERROR(INDEX('3.員工名單'!$B:$B,MATCH(A919,'3.員工名單'!$A:$A,0)),"查無此員工"))</f>
        <v/>
      </c>
      <c r="C919" s="120">
        <f t="array" ref="C919:C919">IF(A919="","",IFERROR(INDEX('3.員工名單'!$C:$C,MATCH(A919,'3.員工名單'!$A:$A,0)),""))</f>
        <v/>
      </c>
      <c r="D919" s="120">
        <f t="array" ref="D919:D919">IF(A919="","",IFERROR(INDEX('3.員工名單'!$D:$D,MATCH(A919,'3.員工名單'!$A:$A,0)),""))</f>
        <v/>
      </c>
      <c r="E919" s="120">
        <f t="array" ref="E919:E919">IF(F919="","",IFERROR(INDEX('1.職能辭典'!$A:$A,MATCH(F919,'1.職能辭典'!$C:$C,0)),""))</f>
        <v/>
      </c>
      <c r="F919" s="94" t="n"/>
      <c r="G919" s="120">
        <f t="array" ref="G919:G919">IF(OR(D919="",F919=""),"",IFERROR(IF(AND(OR(INDEX('1.職能辭典'!$J:$J,MATCH(F919,'1.職能辭典'!$C:$C,0))="全部",INDEX('3.員工名單'!$H:$H,MATCH(A919,'3.員工名單'!$A:$A,0))="兩款共用",INDEX('3.員工名單'!$H:$H,MATCH(A919,'3.員工名單'!$A:$A,0))=INDEX('1.職能辭典'!$J:$J,MATCH(F919,'1.職能辭典'!$C:$C,0))),OR(INDEX('1.職能辭典'!$K:$K,MATCH(F919,'1.職能辭典'!$C:$C,0))="全部",SUMPRODUCT(ISNUMBER(SEARCH({"經營","管理","財務","企劃","營運","技術","數據","美術","測試","客服"},INDEX('3.員工名單'!$I:$I,MATCH(A919,'3.員工名單'!$A:$A,0))))*ISNUMBER(SEARCH({"經營","管理","財務","企劃","營運","技術","數據","美術","測試","客服"},INDEX('1.職能辭典'!$K:$K,MATCH(F919,'1.職能辭典'!$C:$C,0)))))&gt;0)),INDEX('2.職務職能需求'!$B$2:$F$28,MATCH(F919,'2.職務職能需求'!$A$2:$A$28,0),MATCH(D919,'2.職務職能需求'!$B$1:$F$1,0)),0),""))</f>
        <v/>
      </c>
      <c r="H919" s="94" t="n"/>
      <c r="I919" s="94" t="n"/>
      <c r="J919" s="120">
        <f>IF(OR(G919="",I919="",G919=0),"",I919-G919)</f>
        <v/>
      </c>
      <c r="K919" s="120">
        <f>IF(G919="","",IF(G919=0,"不適用",IF(I919="","待評核",IF(I919&gt;=G919,IF(I919&gt;G919,"超越","達標"),"待發展"))))</f>
        <v/>
      </c>
      <c r="L919" s="91" t="n"/>
      <c r="M919" s="91" t="n"/>
      <c r="N919" s="88" t="n"/>
    </row>
    <row r="920" ht="15.75" customHeight="1" s="64">
      <c r="A920" s="88" t="n"/>
      <c r="B920" s="120">
        <f t="array" ref="B920:B920">IF(A920="","",IFERROR(INDEX('3.員工名單'!$B:$B,MATCH(A920,'3.員工名單'!$A:$A,0)),"查無此員工"))</f>
        <v/>
      </c>
      <c r="C920" s="120">
        <f t="array" ref="C920:C920">IF(A920="","",IFERROR(INDEX('3.員工名單'!$C:$C,MATCH(A920,'3.員工名單'!$A:$A,0)),""))</f>
        <v/>
      </c>
      <c r="D920" s="120">
        <f t="array" ref="D920:D920">IF(A920="","",IFERROR(INDEX('3.員工名單'!$D:$D,MATCH(A920,'3.員工名單'!$A:$A,0)),""))</f>
        <v/>
      </c>
      <c r="E920" s="120">
        <f t="array" ref="E920:E920">IF(F920="","",IFERROR(INDEX('1.職能辭典'!$A:$A,MATCH(F920,'1.職能辭典'!$C:$C,0)),""))</f>
        <v/>
      </c>
      <c r="F920" s="94" t="n"/>
      <c r="G920" s="120">
        <f t="array" ref="G920:G920">IF(OR(D920="",F920=""),"",IFERROR(IF(AND(OR(INDEX('1.職能辭典'!$J:$J,MATCH(F920,'1.職能辭典'!$C:$C,0))="全部",INDEX('3.員工名單'!$H:$H,MATCH(A920,'3.員工名單'!$A:$A,0))="兩款共用",INDEX('3.員工名單'!$H:$H,MATCH(A920,'3.員工名單'!$A:$A,0))=INDEX('1.職能辭典'!$J:$J,MATCH(F920,'1.職能辭典'!$C:$C,0))),OR(INDEX('1.職能辭典'!$K:$K,MATCH(F920,'1.職能辭典'!$C:$C,0))="全部",SUMPRODUCT(ISNUMBER(SEARCH({"經營","管理","財務","企劃","營運","技術","數據","美術","測試","客服"},INDEX('3.員工名單'!$I:$I,MATCH(A920,'3.員工名單'!$A:$A,0))))*ISNUMBER(SEARCH({"經營","管理","財務","企劃","營運","技術","數據","美術","測試","客服"},INDEX('1.職能辭典'!$K:$K,MATCH(F920,'1.職能辭典'!$C:$C,0)))))&gt;0)),INDEX('2.職務職能需求'!$B$2:$F$28,MATCH(F920,'2.職務職能需求'!$A$2:$A$28,0),MATCH(D920,'2.職務職能需求'!$B$1:$F$1,0)),0),""))</f>
        <v/>
      </c>
      <c r="H920" s="94" t="n"/>
      <c r="I920" s="94" t="n"/>
      <c r="J920" s="120">
        <f>IF(OR(G920="",I920="",G920=0),"",I920-G920)</f>
        <v/>
      </c>
      <c r="K920" s="120">
        <f>IF(G920="","",IF(G920=0,"不適用",IF(I920="","待評核",IF(I920&gt;=G920,IF(I920&gt;G920,"超越","達標"),"待發展"))))</f>
        <v/>
      </c>
      <c r="L920" s="91" t="n"/>
      <c r="M920" s="91" t="n"/>
      <c r="N920" s="88" t="n"/>
    </row>
    <row r="921" ht="15.75" customHeight="1" s="64">
      <c r="A921" s="88" t="n"/>
      <c r="B921" s="120">
        <f t="array" ref="B921:B921">IF(A921="","",IFERROR(INDEX('3.員工名單'!$B:$B,MATCH(A921,'3.員工名單'!$A:$A,0)),"查無此員工"))</f>
        <v/>
      </c>
      <c r="C921" s="120">
        <f t="array" ref="C921:C921">IF(A921="","",IFERROR(INDEX('3.員工名單'!$C:$C,MATCH(A921,'3.員工名單'!$A:$A,0)),""))</f>
        <v/>
      </c>
      <c r="D921" s="120">
        <f t="array" ref="D921:D921">IF(A921="","",IFERROR(INDEX('3.員工名單'!$D:$D,MATCH(A921,'3.員工名單'!$A:$A,0)),""))</f>
        <v/>
      </c>
      <c r="E921" s="120">
        <f t="array" ref="E921:E921">IF(F921="","",IFERROR(INDEX('1.職能辭典'!$A:$A,MATCH(F921,'1.職能辭典'!$C:$C,0)),""))</f>
        <v/>
      </c>
      <c r="F921" s="94" t="n"/>
      <c r="G921" s="120">
        <f t="array" ref="G921:G921">IF(OR(D921="",F921=""),"",IFERROR(IF(AND(OR(INDEX('1.職能辭典'!$J:$J,MATCH(F921,'1.職能辭典'!$C:$C,0))="全部",INDEX('3.員工名單'!$H:$H,MATCH(A921,'3.員工名單'!$A:$A,0))="兩款共用",INDEX('3.員工名單'!$H:$H,MATCH(A921,'3.員工名單'!$A:$A,0))=INDEX('1.職能辭典'!$J:$J,MATCH(F921,'1.職能辭典'!$C:$C,0))),OR(INDEX('1.職能辭典'!$K:$K,MATCH(F921,'1.職能辭典'!$C:$C,0))="全部",SUMPRODUCT(ISNUMBER(SEARCH({"經營","管理","財務","企劃","營運","技術","數據","美術","測試","客服"},INDEX('3.員工名單'!$I:$I,MATCH(A921,'3.員工名單'!$A:$A,0))))*ISNUMBER(SEARCH({"經營","管理","財務","企劃","營運","技術","數據","美術","測試","客服"},INDEX('1.職能辭典'!$K:$K,MATCH(F921,'1.職能辭典'!$C:$C,0)))))&gt;0)),INDEX('2.職務職能需求'!$B$2:$F$28,MATCH(F921,'2.職務職能需求'!$A$2:$A$28,0),MATCH(D921,'2.職務職能需求'!$B$1:$F$1,0)),0),""))</f>
        <v/>
      </c>
      <c r="H921" s="94" t="n"/>
      <c r="I921" s="94" t="n"/>
      <c r="J921" s="120">
        <f>IF(OR(G921="",I921="",G921=0),"",I921-G921)</f>
        <v/>
      </c>
      <c r="K921" s="120">
        <f>IF(G921="","",IF(G921=0,"不適用",IF(I921="","待評核",IF(I921&gt;=G921,IF(I921&gt;G921,"超越","達標"),"待發展"))))</f>
        <v/>
      </c>
      <c r="L921" s="91" t="n"/>
      <c r="M921" s="91" t="n"/>
      <c r="N921" s="88" t="n"/>
    </row>
    <row r="922" ht="15.75" customHeight="1" s="64">
      <c r="A922" s="88" t="n"/>
      <c r="B922" s="120">
        <f t="array" ref="B922:B922">IF(A922="","",IFERROR(INDEX('3.員工名單'!$B:$B,MATCH(A922,'3.員工名單'!$A:$A,0)),"查無此員工"))</f>
        <v/>
      </c>
      <c r="C922" s="120">
        <f t="array" ref="C922:C922">IF(A922="","",IFERROR(INDEX('3.員工名單'!$C:$C,MATCH(A922,'3.員工名單'!$A:$A,0)),""))</f>
        <v/>
      </c>
      <c r="D922" s="120">
        <f t="array" ref="D922:D922">IF(A922="","",IFERROR(INDEX('3.員工名單'!$D:$D,MATCH(A922,'3.員工名單'!$A:$A,0)),""))</f>
        <v/>
      </c>
      <c r="E922" s="120">
        <f t="array" ref="E922:E922">IF(F922="","",IFERROR(INDEX('1.職能辭典'!$A:$A,MATCH(F922,'1.職能辭典'!$C:$C,0)),""))</f>
        <v/>
      </c>
      <c r="F922" s="94" t="n"/>
      <c r="G922" s="120">
        <f t="array" ref="G922:G922">IF(OR(D922="",F922=""),"",IFERROR(IF(AND(OR(INDEX('1.職能辭典'!$J:$J,MATCH(F922,'1.職能辭典'!$C:$C,0))="全部",INDEX('3.員工名單'!$H:$H,MATCH(A922,'3.員工名單'!$A:$A,0))="兩款共用",INDEX('3.員工名單'!$H:$H,MATCH(A922,'3.員工名單'!$A:$A,0))=INDEX('1.職能辭典'!$J:$J,MATCH(F922,'1.職能辭典'!$C:$C,0))),OR(INDEX('1.職能辭典'!$K:$K,MATCH(F922,'1.職能辭典'!$C:$C,0))="全部",SUMPRODUCT(ISNUMBER(SEARCH({"經營","管理","財務","企劃","營運","技術","數據","美術","測試","客服"},INDEX('3.員工名單'!$I:$I,MATCH(A922,'3.員工名單'!$A:$A,0))))*ISNUMBER(SEARCH({"經營","管理","財務","企劃","營運","技術","數據","美術","測試","客服"},INDEX('1.職能辭典'!$K:$K,MATCH(F922,'1.職能辭典'!$C:$C,0)))))&gt;0)),INDEX('2.職務職能需求'!$B$2:$F$28,MATCH(F922,'2.職務職能需求'!$A$2:$A$28,0),MATCH(D922,'2.職務職能需求'!$B$1:$F$1,0)),0),""))</f>
        <v/>
      </c>
      <c r="H922" s="94" t="n"/>
      <c r="I922" s="94" t="n"/>
      <c r="J922" s="120">
        <f>IF(OR(G922="",I922="",G922=0),"",I922-G922)</f>
        <v/>
      </c>
      <c r="K922" s="120">
        <f>IF(G922="","",IF(G922=0,"不適用",IF(I922="","待評核",IF(I922&gt;=G922,IF(I922&gt;G922,"超越","達標"),"待發展"))))</f>
        <v/>
      </c>
      <c r="L922" s="91" t="n"/>
      <c r="M922" s="91" t="n"/>
      <c r="N922" s="88" t="n"/>
    </row>
    <row r="923" ht="15.75" customHeight="1" s="64">
      <c r="A923" s="88" t="n"/>
      <c r="B923" s="120">
        <f t="array" ref="B923:B923">IF(A923="","",IFERROR(INDEX('3.員工名單'!$B:$B,MATCH(A923,'3.員工名單'!$A:$A,0)),"查無此員工"))</f>
        <v/>
      </c>
      <c r="C923" s="120">
        <f t="array" ref="C923:C923">IF(A923="","",IFERROR(INDEX('3.員工名單'!$C:$C,MATCH(A923,'3.員工名單'!$A:$A,0)),""))</f>
        <v/>
      </c>
      <c r="D923" s="120">
        <f t="array" ref="D923:D923">IF(A923="","",IFERROR(INDEX('3.員工名單'!$D:$D,MATCH(A923,'3.員工名單'!$A:$A,0)),""))</f>
        <v/>
      </c>
      <c r="E923" s="120">
        <f t="array" ref="E923:E923">IF(F923="","",IFERROR(INDEX('1.職能辭典'!$A:$A,MATCH(F923,'1.職能辭典'!$C:$C,0)),""))</f>
        <v/>
      </c>
      <c r="F923" s="94" t="n"/>
      <c r="G923" s="120">
        <f t="array" ref="G923:G923">IF(OR(D923="",F923=""),"",IFERROR(IF(AND(OR(INDEX('1.職能辭典'!$J:$J,MATCH(F923,'1.職能辭典'!$C:$C,0))="全部",INDEX('3.員工名單'!$H:$H,MATCH(A923,'3.員工名單'!$A:$A,0))="兩款共用",INDEX('3.員工名單'!$H:$H,MATCH(A923,'3.員工名單'!$A:$A,0))=INDEX('1.職能辭典'!$J:$J,MATCH(F923,'1.職能辭典'!$C:$C,0))),OR(INDEX('1.職能辭典'!$K:$K,MATCH(F923,'1.職能辭典'!$C:$C,0))="全部",SUMPRODUCT(ISNUMBER(SEARCH({"經營","管理","財務","企劃","營運","技術","數據","美術","測試","客服"},INDEX('3.員工名單'!$I:$I,MATCH(A923,'3.員工名單'!$A:$A,0))))*ISNUMBER(SEARCH({"經營","管理","財務","企劃","營運","技術","數據","美術","測試","客服"},INDEX('1.職能辭典'!$K:$K,MATCH(F923,'1.職能辭典'!$C:$C,0)))))&gt;0)),INDEX('2.職務職能需求'!$B$2:$F$28,MATCH(F923,'2.職務職能需求'!$A$2:$A$28,0),MATCH(D923,'2.職務職能需求'!$B$1:$F$1,0)),0),""))</f>
        <v/>
      </c>
      <c r="H923" s="94" t="n"/>
      <c r="I923" s="94" t="n"/>
      <c r="J923" s="120">
        <f>IF(OR(G923="",I923="",G923=0),"",I923-G923)</f>
        <v/>
      </c>
      <c r="K923" s="120">
        <f>IF(G923="","",IF(G923=0,"不適用",IF(I923="","待評核",IF(I923&gt;=G923,IF(I923&gt;G923,"超越","達標"),"待發展"))))</f>
        <v/>
      </c>
      <c r="L923" s="91" t="n"/>
      <c r="M923" s="91" t="n"/>
      <c r="N923" s="88" t="n"/>
    </row>
    <row r="924" ht="15.75" customHeight="1" s="64">
      <c r="A924" s="88" t="n"/>
      <c r="B924" s="120">
        <f t="array" ref="B924:B924">IF(A924="","",IFERROR(INDEX('3.員工名單'!$B:$B,MATCH(A924,'3.員工名單'!$A:$A,0)),"查無此員工"))</f>
        <v/>
      </c>
      <c r="C924" s="120">
        <f t="array" ref="C924:C924">IF(A924="","",IFERROR(INDEX('3.員工名單'!$C:$C,MATCH(A924,'3.員工名單'!$A:$A,0)),""))</f>
        <v/>
      </c>
      <c r="D924" s="120">
        <f t="array" ref="D924:D924">IF(A924="","",IFERROR(INDEX('3.員工名單'!$D:$D,MATCH(A924,'3.員工名單'!$A:$A,0)),""))</f>
        <v/>
      </c>
      <c r="E924" s="120">
        <f t="array" ref="E924:E924">IF(F924="","",IFERROR(INDEX('1.職能辭典'!$A:$A,MATCH(F924,'1.職能辭典'!$C:$C,0)),""))</f>
        <v/>
      </c>
      <c r="F924" s="94" t="n"/>
      <c r="G924" s="120">
        <f t="array" ref="G924:G924">IF(OR(D924="",F924=""),"",IFERROR(IF(AND(OR(INDEX('1.職能辭典'!$J:$J,MATCH(F924,'1.職能辭典'!$C:$C,0))="全部",INDEX('3.員工名單'!$H:$H,MATCH(A924,'3.員工名單'!$A:$A,0))="兩款共用",INDEX('3.員工名單'!$H:$H,MATCH(A924,'3.員工名單'!$A:$A,0))=INDEX('1.職能辭典'!$J:$J,MATCH(F924,'1.職能辭典'!$C:$C,0))),OR(INDEX('1.職能辭典'!$K:$K,MATCH(F924,'1.職能辭典'!$C:$C,0))="全部",SUMPRODUCT(ISNUMBER(SEARCH({"經營","管理","財務","企劃","營運","技術","數據","美術","測試","客服"},INDEX('3.員工名單'!$I:$I,MATCH(A924,'3.員工名單'!$A:$A,0))))*ISNUMBER(SEARCH({"經營","管理","財務","企劃","營運","技術","數據","美術","測試","客服"},INDEX('1.職能辭典'!$K:$K,MATCH(F924,'1.職能辭典'!$C:$C,0)))))&gt;0)),INDEX('2.職務職能需求'!$B$2:$F$28,MATCH(F924,'2.職務職能需求'!$A$2:$A$28,0),MATCH(D924,'2.職務職能需求'!$B$1:$F$1,0)),0),""))</f>
        <v/>
      </c>
      <c r="H924" s="94" t="n"/>
      <c r="I924" s="94" t="n"/>
      <c r="J924" s="120">
        <f>IF(OR(G924="",I924="",G924=0),"",I924-G924)</f>
        <v/>
      </c>
      <c r="K924" s="120">
        <f>IF(G924="","",IF(G924=0,"不適用",IF(I924="","待評核",IF(I924&gt;=G924,IF(I924&gt;G924,"超越","達標"),"待發展"))))</f>
        <v/>
      </c>
      <c r="L924" s="91" t="n"/>
      <c r="M924" s="91" t="n"/>
      <c r="N924" s="88" t="n"/>
    </row>
    <row r="925" ht="15.75" customHeight="1" s="64">
      <c r="A925" s="88" t="n"/>
      <c r="B925" s="120">
        <f t="array" ref="B925:B925">IF(A925="","",IFERROR(INDEX('3.員工名單'!$B:$B,MATCH(A925,'3.員工名單'!$A:$A,0)),"查無此員工"))</f>
        <v/>
      </c>
      <c r="C925" s="120">
        <f t="array" ref="C925:C925">IF(A925="","",IFERROR(INDEX('3.員工名單'!$C:$C,MATCH(A925,'3.員工名單'!$A:$A,0)),""))</f>
        <v/>
      </c>
      <c r="D925" s="120">
        <f t="array" ref="D925:D925">IF(A925="","",IFERROR(INDEX('3.員工名單'!$D:$D,MATCH(A925,'3.員工名單'!$A:$A,0)),""))</f>
        <v/>
      </c>
      <c r="E925" s="120">
        <f t="array" ref="E925:E925">IF(F925="","",IFERROR(INDEX('1.職能辭典'!$A:$A,MATCH(F925,'1.職能辭典'!$C:$C,0)),""))</f>
        <v/>
      </c>
      <c r="F925" s="94" t="n"/>
      <c r="G925" s="120">
        <f t="array" ref="G925:G925">IF(OR(D925="",F925=""),"",IFERROR(IF(AND(OR(INDEX('1.職能辭典'!$J:$J,MATCH(F925,'1.職能辭典'!$C:$C,0))="全部",INDEX('3.員工名單'!$H:$H,MATCH(A925,'3.員工名單'!$A:$A,0))="兩款共用",INDEX('3.員工名單'!$H:$H,MATCH(A925,'3.員工名單'!$A:$A,0))=INDEX('1.職能辭典'!$J:$J,MATCH(F925,'1.職能辭典'!$C:$C,0))),OR(INDEX('1.職能辭典'!$K:$K,MATCH(F925,'1.職能辭典'!$C:$C,0))="全部",SUMPRODUCT(ISNUMBER(SEARCH({"經營","管理","財務","企劃","營運","技術","數據","美術","測試","客服"},INDEX('3.員工名單'!$I:$I,MATCH(A925,'3.員工名單'!$A:$A,0))))*ISNUMBER(SEARCH({"經營","管理","財務","企劃","營運","技術","數據","美術","測試","客服"},INDEX('1.職能辭典'!$K:$K,MATCH(F925,'1.職能辭典'!$C:$C,0)))))&gt;0)),INDEX('2.職務職能需求'!$B$2:$F$28,MATCH(F925,'2.職務職能需求'!$A$2:$A$28,0),MATCH(D925,'2.職務職能需求'!$B$1:$F$1,0)),0),""))</f>
        <v/>
      </c>
      <c r="H925" s="94" t="n"/>
      <c r="I925" s="94" t="n"/>
      <c r="J925" s="120">
        <f>IF(OR(G925="",I925="",G925=0),"",I925-G925)</f>
        <v/>
      </c>
      <c r="K925" s="120">
        <f>IF(G925="","",IF(G925=0,"不適用",IF(I925="","待評核",IF(I925&gt;=G925,IF(I925&gt;G925,"超越","達標"),"待發展"))))</f>
        <v/>
      </c>
      <c r="L925" s="91" t="n"/>
      <c r="M925" s="91" t="n"/>
      <c r="N925" s="88" t="n"/>
    </row>
    <row r="926" ht="15.75" customHeight="1" s="64">
      <c r="A926" s="88" t="n"/>
      <c r="B926" s="120">
        <f t="array" ref="B926:B926">IF(A926="","",IFERROR(INDEX('3.員工名單'!$B:$B,MATCH(A926,'3.員工名單'!$A:$A,0)),"查無此員工"))</f>
        <v/>
      </c>
      <c r="C926" s="120">
        <f t="array" ref="C926:C926">IF(A926="","",IFERROR(INDEX('3.員工名單'!$C:$C,MATCH(A926,'3.員工名單'!$A:$A,0)),""))</f>
        <v/>
      </c>
      <c r="D926" s="120">
        <f t="array" ref="D926:D926">IF(A926="","",IFERROR(INDEX('3.員工名單'!$D:$D,MATCH(A926,'3.員工名單'!$A:$A,0)),""))</f>
        <v/>
      </c>
      <c r="E926" s="120">
        <f t="array" ref="E926:E926">IF(F926="","",IFERROR(INDEX('1.職能辭典'!$A:$A,MATCH(F926,'1.職能辭典'!$C:$C,0)),""))</f>
        <v/>
      </c>
      <c r="F926" s="94" t="n"/>
      <c r="G926" s="120">
        <f t="array" ref="G926:G926">IF(OR(D926="",F926=""),"",IFERROR(IF(AND(OR(INDEX('1.職能辭典'!$J:$J,MATCH(F926,'1.職能辭典'!$C:$C,0))="全部",INDEX('3.員工名單'!$H:$H,MATCH(A926,'3.員工名單'!$A:$A,0))="兩款共用",INDEX('3.員工名單'!$H:$H,MATCH(A926,'3.員工名單'!$A:$A,0))=INDEX('1.職能辭典'!$J:$J,MATCH(F926,'1.職能辭典'!$C:$C,0))),OR(INDEX('1.職能辭典'!$K:$K,MATCH(F926,'1.職能辭典'!$C:$C,0))="全部",SUMPRODUCT(ISNUMBER(SEARCH({"經營","管理","財務","企劃","營運","技術","數據","美術","測試","客服"},INDEX('3.員工名單'!$I:$I,MATCH(A926,'3.員工名單'!$A:$A,0))))*ISNUMBER(SEARCH({"經營","管理","財務","企劃","營運","技術","數據","美術","測試","客服"},INDEX('1.職能辭典'!$K:$K,MATCH(F926,'1.職能辭典'!$C:$C,0)))))&gt;0)),INDEX('2.職務職能需求'!$B$2:$F$28,MATCH(F926,'2.職務職能需求'!$A$2:$A$28,0),MATCH(D926,'2.職務職能需求'!$B$1:$F$1,0)),0),""))</f>
        <v/>
      </c>
      <c r="H926" s="94" t="n"/>
      <c r="I926" s="94" t="n"/>
      <c r="J926" s="120">
        <f>IF(OR(G926="",I926="",G926=0),"",I926-G926)</f>
        <v/>
      </c>
      <c r="K926" s="120">
        <f>IF(G926="","",IF(G926=0,"不適用",IF(I926="","待評核",IF(I926&gt;=G926,IF(I926&gt;G926,"超越","達標"),"待發展"))))</f>
        <v/>
      </c>
      <c r="L926" s="91" t="n"/>
      <c r="M926" s="91" t="n"/>
      <c r="N926" s="88" t="n"/>
    </row>
    <row r="927" ht="15.75" customHeight="1" s="64">
      <c r="A927" s="88" t="n"/>
      <c r="B927" s="120">
        <f t="array" ref="B927:B927">IF(A927="","",IFERROR(INDEX('3.員工名單'!$B:$B,MATCH(A927,'3.員工名單'!$A:$A,0)),"查無此員工"))</f>
        <v/>
      </c>
      <c r="C927" s="120">
        <f t="array" ref="C927:C927">IF(A927="","",IFERROR(INDEX('3.員工名單'!$C:$C,MATCH(A927,'3.員工名單'!$A:$A,0)),""))</f>
        <v/>
      </c>
      <c r="D927" s="120">
        <f t="array" ref="D927:D927">IF(A927="","",IFERROR(INDEX('3.員工名單'!$D:$D,MATCH(A927,'3.員工名單'!$A:$A,0)),""))</f>
        <v/>
      </c>
      <c r="E927" s="120">
        <f t="array" ref="E927:E927">IF(F927="","",IFERROR(INDEX('1.職能辭典'!$A:$A,MATCH(F927,'1.職能辭典'!$C:$C,0)),""))</f>
        <v/>
      </c>
      <c r="F927" s="94" t="n"/>
      <c r="G927" s="120">
        <f t="array" ref="G927:G927">IF(OR(D927="",F927=""),"",IFERROR(IF(AND(OR(INDEX('1.職能辭典'!$J:$J,MATCH(F927,'1.職能辭典'!$C:$C,0))="全部",INDEX('3.員工名單'!$H:$H,MATCH(A927,'3.員工名單'!$A:$A,0))="兩款共用",INDEX('3.員工名單'!$H:$H,MATCH(A927,'3.員工名單'!$A:$A,0))=INDEX('1.職能辭典'!$J:$J,MATCH(F927,'1.職能辭典'!$C:$C,0))),OR(INDEX('1.職能辭典'!$K:$K,MATCH(F927,'1.職能辭典'!$C:$C,0))="全部",SUMPRODUCT(ISNUMBER(SEARCH({"經營","管理","財務","企劃","營運","技術","數據","美術","測試","客服"},INDEX('3.員工名單'!$I:$I,MATCH(A927,'3.員工名單'!$A:$A,0))))*ISNUMBER(SEARCH({"經營","管理","財務","企劃","營運","技術","數據","美術","測試","客服"},INDEX('1.職能辭典'!$K:$K,MATCH(F927,'1.職能辭典'!$C:$C,0)))))&gt;0)),INDEX('2.職務職能需求'!$B$2:$F$28,MATCH(F927,'2.職務職能需求'!$A$2:$A$28,0),MATCH(D927,'2.職務職能需求'!$B$1:$F$1,0)),0),""))</f>
        <v/>
      </c>
      <c r="H927" s="94" t="n"/>
      <c r="I927" s="94" t="n"/>
      <c r="J927" s="120">
        <f>IF(OR(G927="",I927="",G927=0),"",I927-G927)</f>
        <v/>
      </c>
      <c r="K927" s="120">
        <f>IF(G927="","",IF(G927=0,"不適用",IF(I927="","待評核",IF(I927&gt;=G927,IF(I927&gt;G927,"超越","達標"),"待發展"))))</f>
        <v/>
      </c>
      <c r="L927" s="91" t="n"/>
      <c r="M927" s="91" t="n"/>
      <c r="N927" s="88" t="n"/>
    </row>
    <row r="928" ht="15.75" customHeight="1" s="64">
      <c r="A928" s="88" t="n"/>
      <c r="B928" s="120">
        <f t="array" ref="B928:B928">IF(A928="","",IFERROR(INDEX('3.員工名單'!$B:$B,MATCH(A928,'3.員工名單'!$A:$A,0)),"查無此員工"))</f>
        <v/>
      </c>
      <c r="C928" s="120">
        <f t="array" ref="C928:C928">IF(A928="","",IFERROR(INDEX('3.員工名單'!$C:$C,MATCH(A928,'3.員工名單'!$A:$A,0)),""))</f>
        <v/>
      </c>
      <c r="D928" s="120">
        <f t="array" ref="D928:D928">IF(A928="","",IFERROR(INDEX('3.員工名單'!$D:$D,MATCH(A928,'3.員工名單'!$A:$A,0)),""))</f>
        <v/>
      </c>
      <c r="E928" s="120">
        <f t="array" ref="E928:E928">IF(F928="","",IFERROR(INDEX('1.職能辭典'!$A:$A,MATCH(F928,'1.職能辭典'!$C:$C,0)),""))</f>
        <v/>
      </c>
      <c r="F928" s="94" t="n"/>
      <c r="G928" s="120">
        <f t="array" ref="G928:G928">IF(OR(D928="",F928=""),"",IFERROR(IF(AND(OR(INDEX('1.職能辭典'!$J:$J,MATCH(F928,'1.職能辭典'!$C:$C,0))="全部",INDEX('3.員工名單'!$H:$H,MATCH(A928,'3.員工名單'!$A:$A,0))="兩款共用",INDEX('3.員工名單'!$H:$H,MATCH(A928,'3.員工名單'!$A:$A,0))=INDEX('1.職能辭典'!$J:$J,MATCH(F928,'1.職能辭典'!$C:$C,0))),OR(INDEX('1.職能辭典'!$K:$K,MATCH(F928,'1.職能辭典'!$C:$C,0))="全部",SUMPRODUCT(ISNUMBER(SEARCH({"經營","管理","財務","企劃","營運","技術","數據","美術","測試","客服"},INDEX('3.員工名單'!$I:$I,MATCH(A928,'3.員工名單'!$A:$A,0))))*ISNUMBER(SEARCH({"經營","管理","財務","企劃","營運","技術","數據","美術","測試","客服"},INDEX('1.職能辭典'!$K:$K,MATCH(F928,'1.職能辭典'!$C:$C,0)))))&gt;0)),INDEX('2.職務職能需求'!$B$2:$F$28,MATCH(F928,'2.職務職能需求'!$A$2:$A$28,0),MATCH(D928,'2.職務職能需求'!$B$1:$F$1,0)),0),""))</f>
        <v/>
      </c>
      <c r="H928" s="94" t="n"/>
      <c r="I928" s="94" t="n"/>
      <c r="J928" s="120">
        <f>IF(OR(G928="",I928="",G928=0),"",I928-G928)</f>
        <v/>
      </c>
      <c r="K928" s="120">
        <f>IF(G928="","",IF(G928=0,"不適用",IF(I928="","待評核",IF(I928&gt;=G928,IF(I928&gt;G928,"超越","達標"),"待發展"))))</f>
        <v/>
      </c>
      <c r="L928" s="91" t="n"/>
      <c r="M928" s="91" t="n"/>
      <c r="N928" s="88" t="n"/>
    </row>
    <row r="929" ht="15.75" customHeight="1" s="64">
      <c r="A929" s="88" t="n"/>
      <c r="B929" s="120">
        <f t="array" ref="B929:B929">IF(A929="","",IFERROR(INDEX('3.員工名單'!$B:$B,MATCH(A929,'3.員工名單'!$A:$A,0)),"查無此員工"))</f>
        <v/>
      </c>
      <c r="C929" s="120">
        <f t="array" ref="C929:C929">IF(A929="","",IFERROR(INDEX('3.員工名單'!$C:$C,MATCH(A929,'3.員工名單'!$A:$A,0)),""))</f>
        <v/>
      </c>
      <c r="D929" s="120">
        <f t="array" ref="D929:D929">IF(A929="","",IFERROR(INDEX('3.員工名單'!$D:$D,MATCH(A929,'3.員工名單'!$A:$A,0)),""))</f>
        <v/>
      </c>
      <c r="E929" s="120">
        <f t="array" ref="E929:E929">IF(F929="","",IFERROR(INDEX('1.職能辭典'!$A:$A,MATCH(F929,'1.職能辭典'!$C:$C,0)),""))</f>
        <v/>
      </c>
      <c r="F929" s="94" t="n"/>
      <c r="G929" s="120">
        <f t="array" ref="G929:G929">IF(OR(D929="",F929=""),"",IFERROR(IF(AND(OR(INDEX('1.職能辭典'!$J:$J,MATCH(F929,'1.職能辭典'!$C:$C,0))="全部",INDEX('3.員工名單'!$H:$H,MATCH(A929,'3.員工名單'!$A:$A,0))="兩款共用",INDEX('3.員工名單'!$H:$H,MATCH(A929,'3.員工名單'!$A:$A,0))=INDEX('1.職能辭典'!$J:$J,MATCH(F929,'1.職能辭典'!$C:$C,0))),OR(INDEX('1.職能辭典'!$K:$K,MATCH(F929,'1.職能辭典'!$C:$C,0))="全部",SUMPRODUCT(ISNUMBER(SEARCH({"經營","管理","財務","企劃","營運","技術","數據","美術","測試","客服"},INDEX('3.員工名單'!$I:$I,MATCH(A929,'3.員工名單'!$A:$A,0))))*ISNUMBER(SEARCH({"經營","管理","財務","企劃","營運","技術","數據","美術","測試","客服"},INDEX('1.職能辭典'!$K:$K,MATCH(F929,'1.職能辭典'!$C:$C,0)))))&gt;0)),INDEX('2.職務職能需求'!$B$2:$F$28,MATCH(F929,'2.職務職能需求'!$A$2:$A$28,0),MATCH(D929,'2.職務職能需求'!$B$1:$F$1,0)),0),""))</f>
        <v/>
      </c>
      <c r="H929" s="94" t="n"/>
      <c r="I929" s="94" t="n"/>
      <c r="J929" s="120">
        <f>IF(OR(G929="",I929="",G929=0),"",I929-G929)</f>
        <v/>
      </c>
      <c r="K929" s="120">
        <f>IF(G929="","",IF(G929=0,"不適用",IF(I929="","待評核",IF(I929&gt;=G929,IF(I929&gt;G929,"超越","達標"),"待發展"))))</f>
        <v/>
      </c>
      <c r="L929" s="91" t="n"/>
      <c r="M929" s="91" t="n"/>
      <c r="N929" s="88" t="n"/>
    </row>
    <row r="930" ht="15.75" customHeight="1" s="64">
      <c r="A930" s="88" t="n"/>
      <c r="B930" s="120">
        <f t="array" ref="B930:B930">IF(A930="","",IFERROR(INDEX('3.員工名單'!$B:$B,MATCH(A930,'3.員工名單'!$A:$A,0)),"查無此員工"))</f>
        <v/>
      </c>
      <c r="C930" s="120">
        <f t="array" ref="C930:C930">IF(A930="","",IFERROR(INDEX('3.員工名單'!$C:$C,MATCH(A930,'3.員工名單'!$A:$A,0)),""))</f>
        <v/>
      </c>
      <c r="D930" s="120">
        <f t="array" ref="D930:D930">IF(A930="","",IFERROR(INDEX('3.員工名單'!$D:$D,MATCH(A930,'3.員工名單'!$A:$A,0)),""))</f>
        <v/>
      </c>
      <c r="E930" s="120">
        <f t="array" ref="E930:E930">IF(F930="","",IFERROR(INDEX('1.職能辭典'!$A:$A,MATCH(F930,'1.職能辭典'!$C:$C,0)),""))</f>
        <v/>
      </c>
      <c r="F930" s="94" t="n"/>
      <c r="G930" s="120">
        <f t="array" ref="G930:G930">IF(OR(D930="",F930=""),"",IFERROR(IF(AND(OR(INDEX('1.職能辭典'!$J:$J,MATCH(F930,'1.職能辭典'!$C:$C,0))="全部",INDEX('3.員工名單'!$H:$H,MATCH(A930,'3.員工名單'!$A:$A,0))="兩款共用",INDEX('3.員工名單'!$H:$H,MATCH(A930,'3.員工名單'!$A:$A,0))=INDEX('1.職能辭典'!$J:$J,MATCH(F930,'1.職能辭典'!$C:$C,0))),OR(INDEX('1.職能辭典'!$K:$K,MATCH(F930,'1.職能辭典'!$C:$C,0))="全部",SUMPRODUCT(ISNUMBER(SEARCH({"經營","管理","財務","企劃","營運","技術","數據","美術","測試","客服"},INDEX('3.員工名單'!$I:$I,MATCH(A930,'3.員工名單'!$A:$A,0))))*ISNUMBER(SEARCH({"經營","管理","財務","企劃","營運","技術","數據","美術","測試","客服"},INDEX('1.職能辭典'!$K:$K,MATCH(F930,'1.職能辭典'!$C:$C,0)))))&gt;0)),INDEX('2.職務職能需求'!$B$2:$F$28,MATCH(F930,'2.職務職能需求'!$A$2:$A$28,0),MATCH(D930,'2.職務職能需求'!$B$1:$F$1,0)),0),""))</f>
        <v/>
      </c>
      <c r="H930" s="94" t="n"/>
      <c r="I930" s="94" t="n"/>
      <c r="J930" s="120">
        <f>IF(OR(G930="",I930="",G930=0),"",I930-G930)</f>
        <v/>
      </c>
      <c r="K930" s="120">
        <f>IF(G930="","",IF(G930=0,"不適用",IF(I930="","待評核",IF(I930&gt;=G930,IF(I930&gt;G930,"超越","達標"),"待發展"))))</f>
        <v/>
      </c>
      <c r="L930" s="91" t="n"/>
      <c r="M930" s="91" t="n"/>
      <c r="N930" s="88" t="n"/>
    </row>
    <row r="931" ht="15.75" customHeight="1" s="64">
      <c r="A931" s="88" t="n"/>
      <c r="B931" s="120">
        <f t="array" ref="B931:B931">IF(A931="","",IFERROR(INDEX('3.員工名單'!$B:$B,MATCH(A931,'3.員工名單'!$A:$A,0)),"查無此員工"))</f>
        <v/>
      </c>
      <c r="C931" s="120">
        <f t="array" ref="C931:C931">IF(A931="","",IFERROR(INDEX('3.員工名單'!$C:$C,MATCH(A931,'3.員工名單'!$A:$A,0)),""))</f>
        <v/>
      </c>
      <c r="D931" s="120">
        <f t="array" ref="D931:D931">IF(A931="","",IFERROR(INDEX('3.員工名單'!$D:$D,MATCH(A931,'3.員工名單'!$A:$A,0)),""))</f>
        <v/>
      </c>
      <c r="E931" s="120">
        <f t="array" ref="E931:E931">IF(F931="","",IFERROR(INDEX('1.職能辭典'!$A:$A,MATCH(F931,'1.職能辭典'!$C:$C,0)),""))</f>
        <v/>
      </c>
      <c r="F931" s="94" t="n"/>
      <c r="G931" s="120">
        <f t="array" ref="G931:G931">IF(OR(D931="",F931=""),"",IFERROR(IF(AND(OR(INDEX('1.職能辭典'!$J:$J,MATCH(F931,'1.職能辭典'!$C:$C,0))="全部",INDEX('3.員工名單'!$H:$H,MATCH(A931,'3.員工名單'!$A:$A,0))="兩款共用",INDEX('3.員工名單'!$H:$H,MATCH(A931,'3.員工名單'!$A:$A,0))=INDEX('1.職能辭典'!$J:$J,MATCH(F931,'1.職能辭典'!$C:$C,0))),OR(INDEX('1.職能辭典'!$K:$K,MATCH(F931,'1.職能辭典'!$C:$C,0))="全部",SUMPRODUCT(ISNUMBER(SEARCH({"經營","管理","財務","企劃","營運","技術","數據","美術","測試","客服"},INDEX('3.員工名單'!$I:$I,MATCH(A931,'3.員工名單'!$A:$A,0))))*ISNUMBER(SEARCH({"經營","管理","財務","企劃","營運","技術","數據","美術","測試","客服"},INDEX('1.職能辭典'!$K:$K,MATCH(F931,'1.職能辭典'!$C:$C,0)))))&gt;0)),INDEX('2.職務職能需求'!$B$2:$F$28,MATCH(F931,'2.職務職能需求'!$A$2:$A$28,0),MATCH(D931,'2.職務職能需求'!$B$1:$F$1,0)),0),""))</f>
        <v/>
      </c>
      <c r="H931" s="94" t="n"/>
      <c r="I931" s="94" t="n"/>
      <c r="J931" s="120">
        <f>IF(OR(G931="",I931="",G931=0),"",I931-G931)</f>
        <v/>
      </c>
      <c r="K931" s="120">
        <f>IF(G931="","",IF(G931=0,"不適用",IF(I931="","待評核",IF(I931&gt;=G931,IF(I931&gt;G931,"超越","達標"),"待發展"))))</f>
        <v/>
      </c>
      <c r="L931" s="91" t="n"/>
      <c r="M931" s="91" t="n"/>
      <c r="N931" s="88" t="n"/>
    </row>
    <row r="932" ht="15.75" customHeight="1" s="64">
      <c r="A932" s="88" t="n"/>
      <c r="B932" s="120">
        <f t="array" ref="B932:B932">IF(A932="","",IFERROR(INDEX('3.員工名單'!$B:$B,MATCH(A932,'3.員工名單'!$A:$A,0)),"查無此員工"))</f>
        <v/>
      </c>
      <c r="C932" s="120">
        <f t="array" ref="C932:C932">IF(A932="","",IFERROR(INDEX('3.員工名單'!$C:$C,MATCH(A932,'3.員工名單'!$A:$A,0)),""))</f>
        <v/>
      </c>
      <c r="D932" s="120">
        <f t="array" ref="D932:D932">IF(A932="","",IFERROR(INDEX('3.員工名單'!$D:$D,MATCH(A932,'3.員工名單'!$A:$A,0)),""))</f>
        <v/>
      </c>
      <c r="E932" s="120">
        <f t="array" ref="E932:E932">IF(F932="","",IFERROR(INDEX('1.職能辭典'!$A:$A,MATCH(F932,'1.職能辭典'!$C:$C,0)),""))</f>
        <v/>
      </c>
      <c r="F932" s="94" t="n"/>
      <c r="G932" s="120">
        <f t="array" ref="G932:G932">IF(OR(D932="",F932=""),"",IFERROR(IF(AND(OR(INDEX('1.職能辭典'!$J:$J,MATCH(F932,'1.職能辭典'!$C:$C,0))="全部",INDEX('3.員工名單'!$H:$H,MATCH(A932,'3.員工名單'!$A:$A,0))="兩款共用",INDEX('3.員工名單'!$H:$H,MATCH(A932,'3.員工名單'!$A:$A,0))=INDEX('1.職能辭典'!$J:$J,MATCH(F932,'1.職能辭典'!$C:$C,0))),OR(INDEX('1.職能辭典'!$K:$K,MATCH(F932,'1.職能辭典'!$C:$C,0))="全部",SUMPRODUCT(ISNUMBER(SEARCH({"經營","管理","財務","企劃","營運","技術","數據","美術","測試","客服"},INDEX('3.員工名單'!$I:$I,MATCH(A932,'3.員工名單'!$A:$A,0))))*ISNUMBER(SEARCH({"經營","管理","財務","企劃","營運","技術","數據","美術","測試","客服"},INDEX('1.職能辭典'!$K:$K,MATCH(F932,'1.職能辭典'!$C:$C,0)))))&gt;0)),INDEX('2.職務職能需求'!$B$2:$F$28,MATCH(F932,'2.職務職能需求'!$A$2:$A$28,0),MATCH(D932,'2.職務職能需求'!$B$1:$F$1,0)),0),""))</f>
        <v/>
      </c>
      <c r="H932" s="94" t="n"/>
      <c r="I932" s="94" t="n"/>
      <c r="J932" s="120">
        <f>IF(OR(G932="",I932="",G932=0),"",I932-G932)</f>
        <v/>
      </c>
      <c r="K932" s="120">
        <f>IF(G932="","",IF(G932=0,"不適用",IF(I932="","待評核",IF(I932&gt;=G932,IF(I932&gt;G932,"超越","達標"),"待發展"))))</f>
        <v/>
      </c>
      <c r="L932" s="91" t="n"/>
      <c r="M932" s="91" t="n"/>
      <c r="N932" s="88" t="n"/>
    </row>
    <row r="933" ht="15.75" customHeight="1" s="64">
      <c r="A933" s="88" t="n"/>
      <c r="B933" s="120">
        <f t="array" ref="B933:B933">IF(A933="","",IFERROR(INDEX('3.員工名單'!$B:$B,MATCH(A933,'3.員工名單'!$A:$A,0)),"查無此員工"))</f>
        <v/>
      </c>
      <c r="C933" s="120">
        <f t="array" ref="C933:C933">IF(A933="","",IFERROR(INDEX('3.員工名單'!$C:$C,MATCH(A933,'3.員工名單'!$A:$A,0)),""))</f>
        <v/>
      </c>
      <c r="D933" s="120">
        <f t="array" ref="D933:D933">IF(A933="","",IFERROR(INDEX('3.員工名單'!$D:$D,MATCH(A933,'3.員工名單'!$A:$A,0)),""))</f>
        <v/>
      </c>
      <c r="E933" s="120">
        <f t="array" ref="E933:E933">IF(F933="","",IFERROR(INDEX('1.職能辭典'!$A:$A,MATCH(F933,'1.職能辭典'!$C:$C,0)),""))</f>
        <v/>
      </c>
      <c r="F933" s="94" t="n"/>
      <c r="G933" s="120">
        <f t="array" ref="G933:G933">IF(OR(D933="",F933=""),"",IFERROR(IF(AND(OR(INDEX('1.職能辭典'!$J:$J,MATCH(F933,'1.職能辭典'!$C:$C,0))="全部",INDEX('3.員工名單'!$H:$H,MATCH(A933,'3.員工名單'!$A:$A,0))="兩款共用",INDEX('3.員工名單'!$H:$H,MATCH(A933,'3.員工名單'!$A:$A,0))=INDEX('1.職能辭典'!$J:$J,MATCH(F933,'1.職能辭典'!$C:$C,0))),OR(INDEX('1.職能辭典'!$K:$K,MATCH(F933,'1.職能辭典'!$C:$C,0))="全部",SUMPRODUCT(ISNUMBER(SEARCH({"經營","管理","財務","企劃","營運","技術","數據","美術","測試","客服"},INDEX('3.員工名單'!$I:$I,MATCH(A933,'3.員工名單'!$A:$A,0))))*ISNUMBER(SEARCH({"經營","管理","財務","企劃","營運","技術","數據","美術","測試","客服"},INDEX('1.職能辭典'!$K:$K,MATCH(F933,'1.職能辭典'!$C:$C,0)))))&gt;0)),INDEX('2.職務職能需求'!$B$2:$F$28,MATCH(F933,'2.職務職能需求'!$A$2:$A$28,0),MATCH(D933,'2.職務職能需求'!$B$1:$F$1,0)),0),""))</f>
        <v/>
      </c>
      <c r="H933" s="94" t="n"/>
      <c r="I933" s="94" t="n"/>
      <c r="J933" s="120">
        <f>IF(OR(G933="",I933="",G933=0),"",I933-G933)</f>
        <v/>
      </c>
      <c r="K933" s="120">
        <f>IF(G933="","",IF(G933=0,"不適用",IF(I933="","待評核",IF(I933&gt;=G933,IF(I933&gt;G933,"超越","達標"),"待發展"))))</f>
        <v/>
      </c>
      <c r="L933" s="91" t="n"/>
      <c r="M933" s="91" t="n"/>
      <c r="N933" s="88" t="n"/>
    </row>
    <row r="934" ht="15.75" customHeight="1" s="64">
      <c r="A934" s="88" t="n"/>
      <c r="B934" s="120">
        <f t="array" ref="B934:B934">IF(A934="","",IFERROR(INDEX('3.員工名單'!$B:$B,MATCH(A934,'3.員工名單'!$A:$A,0)),"查無此員工"))</f>
        <v/>
      </c>
      <c r="C934" s="120">
        <f t="array" ref="C934:C934">IF(A934="","",IFERROR(INDEX('3.員工名單'!$C:$C,MATCH(A934,'3.員工名單'!$A:$A,0)),""))</f>
        <v/>
      </c>
      <c r="D934" s="120">
        <f t="array" ref="D934:D934">IF(A934="","",IFERROR(INDEX('3.員工名單'!$D:$D,MATCH(A934,'3.員工名單'!$A:$A,0)),""))</f>
        <v/>
      </c>
      <c r="E934" s="120">
        <f t="array" ref="E934:E934">IF(F934="","",IFERROR(INDEX('1.職能辭典'!$A:$A,MATCH(F934,'1.職能辭典'!$C:$C,0)),""))</f>
        <v/>
      </c>
      <c r="F934" s="94" t="n"/>
      <c r="G934" s="120">
        <f t="array" ref="G934:G934">IF(OR(D934="",F934=""),"",IFERROR(IF(AND(OR(INDEX('1.職能辭典'!$J:$J,MATCH(F934,'1.職能辭典'!$C:$C,0))="全部",INDEX('3.員工名單'!$H:$H,MATCH(A934,'3.員工名單'!$A:$A,0))="兩款共用",INDEX('3.員工名單'!$H:$H,MATCH(A934,'3.員工名單'!$A:$A,0))=INDEX('1.職能辭典'!$J:$J,MATCH(F934,'1.職能辭典'!$C:$C,0))),OR(INDEX('1.職能辭典'!$K:$K,MATCH(F934,'1.職能辭典'!$C:$C,0))="全部",SUMPRODUCT(ISNUMBER(SEARCH({"經營","管理","財務","企劃","營運","技術","數據","美術","測試","客服"},INDEX('3.員工名單'!$I:$I,MATCH(A934,'3.員工名單'!$A:$A,0))))*ISNUMBER(SEARCH({"經營","管理","財務","企劃","營運","技術","數據","美術","測試","客服"},INDEX('1.職能辭典'!$K:$K,MATCH(F934,'1.職能辭典'!$C:$C,0)))))&gt;0)),INDEX('2.職務職能需求'!$B$2:$F$28,MATCH(F934,'2.職務職能需求'!$A$2:$A$28,0),MATCH(D934,'2.職務職能需求'!$B$1:$F$1,0)),0),""))</f>
        <v/>
      </c>
      <c r="H934" s="94" t="n"/>
      <c r="I934" s="94" t="n"/>
      <c r="J934" s="120">
        <f>IF(OR(G934="",I934="",G934=0),"",I934-G934)</f>
        <v/>
      </c>
      <c r="K934" s="120">
        <f>IF(G934="","",IF(G934=0,"不適用",IF(I934="","待評核",IF(I934&gt;=G934,IF(I934&gt;G934,"超越","達標"),"待發展"))))</f>
        <v/>
      </c>
      <c r="L934" s="91" t="n"/>
      <c r="M934" s="91" t="n"/>
      <c r="N934" s="88" t="n"/>
    </row>
    <row r="935" ht="15.75" customHeight="1" s="64">
      <c r="A935" s="88" t="n"/>
      <c r="B935" s="120">
        <f t="array" ref="B935:B935">IF(A935="","",IFERROR(INDEX('3.員工名單'!$B:$B,MATCH(A935,'3.員工名單'!$A:$A,0)),"查無此員工"))</f>
        <v/>
      </c>
      <c r="C935" s="120">
        <f t="array" ref="C935:C935">IF(A935="","",IFERROR(INDEX('3.員工名單'!$C:$C,MATCH(A935,'3.員工名單'!$A:$A,0)),""))</f>
        <v/>
      </c>
      <c r="D935" s="120">
        <f t="array" ref="D935:D935">IF(A935="","",IFERROR(INDEX('3.員工名單'!$D:$D,MATCH(A935,'3.員工名單'!$A:$A,0)),""))</f>
        <v/>
      </c>
      <c r="E935" s="120">
        <f t="array" ref="E935:E935">IF(F935="","",IFERROR(INDEX('1.職能辭典'!$A:$A,MATCH(F935,'1.職能辭典'!$C:$C,0)),""))</f>
        <v/>
      </c>
      <c r="F935" s="94" t="n"/>
      <c r="G935" s="120">
        <f t="array" ref="G935:G935">IF(OR(D935="",F935=""),"",IFERROR(IF(AND(OR(INDEX('1.職能辭典'!$J:$J,MATCH(F935,'1.職能辭典'!$C:$C,0))="全部",INDEX('3.員工名單'!$H:$H,MATCH(A935,'3.員工名單'!$A:$A,0))="兩款共用",INDEX('3.員工名單'!$H:$H,MATCH(A935,'3.員工名單'!$A:$A,0))=INDEX('1.職能辭典'!$J:$J,MATCH(F935,'1.職能辭典'!$C:$C,0))),OR(INDEX('1.職能辭典'!$K:$K,MATCH(F935,'1.職能辭典'!$C:$C,0))="全部",SUMPRODUCT(ISNUMBER(SEARCH({"經營","管理","財務","企劃","營運","技術","數據","美術","測試","客服"},INDEX('3.員工名單'!$I:$I,MATCH(A935,'3.員工名單'!$A:$A,0))))*ISNUMBER(SEARCH({"經營","管理","財務","企劃","營運","技術","數據","美術","測試","客服"},INDEX('1.職能辭典'!$K:$K,MATCH(F935,'1.職能辭典'!$C:$C,0)))))&gt;0)),INDEX('2.職務職能需求'!$B$2:$F$28,MATCH(F935,'2.職務職能需求'!$A$2:$A$28,0),MATCH(D935,'2.職務職能需求'!$B$1:$F$1,0)),0),""))</f>
        <v/>
      </c>
      <c r="H935" s="94" t="n"/>
      <c r="I935" s="94" t="n"/>
      <c r="J935" s="120">
        <f>IF(OR(G935="",I935="",G935=0),"",I935-G935)</f>
        <v/>
      </c>
      <c r="K935" s="120">
        <f>IF(G935="","",IF(G935=0,"不適用",IF(I935="","待評核",IF(I935&gt;=G935,IF(I935&gt;G935,"超越","達標"),"待發展"))))</f>
        <v/>
      </c>
      <c r="L935" s="91" t="n"/>
      <c r="M935" s="91" t="n"/>
      <c r="N935" s="88" t="n"/>
    </row>
    <row r="936" ht="15.75" customHeight="1" s="64">
      <c r="A936" s="88" t="n"/>
      <c r="B936" s="120">
        <f t="array" ref="B936:B936">IF(A936="","",IFERROR(INDEX('3.員工名單'!$B:$B,MATCH(A936,'3.員工名單'!$A:$A,0)),"查無此員工"))</f>
        <v/>
      </c>
      <c r="C936" s="120">
        <f t="array" ref="C936:C936">IF(A936="","",IFERROR(INDEX('3.員工名單'!$C:$C,MATCH(A936,'3.員工名單'!$A:$A,0)),""))</f>
        <v/>
      </c>
      <c r="D936" s="120">
        <f t="array" ref="D936:D936">IF(A936="","",IFERROR(INDEX('3.員工名單'!$D:$D,MATCH(A936,'3.員工名單'!$A:$A,0)),""))</f>
        <v/>
      </c>
      <c r="E936" s="120">
        <f t="array" ref="E936:E936">IF(F936="","",IFERROR(INDEX('1.職能辭典'!$A:$A,MATCH(F936,'1.職能辭典'!$C:$C,0)),""))</f>
        <v/>
      </c>
      <c r="F936" s="94" t="n"/>
      <c r="G936" s="120">
        <f t="array" ref="G936:G936">IF(OR(D936="",F936=""),"",IFERROR(IF(AND(OR(INDEX('1.職能辭典'!$J:$J,MATCH(F936,'1.職能辭典'!$C:$C,0))="全部",INDEX('3.員工名單'!$H:$H,MATCH(A936,'3.員工名單'!$A:$A,0))="兩款共用",INDEX('3.員工名單'!$H:$H,MATCH(A936,'3.員工名單'!$A:$A,0))=INDEX('1.職能辭典'!$J:$J,MATCH(F936,'1.職能辭典'!$C:$C,0))),OR(INDEX('1.職能辭典'!$K:$K,MATCH(F936,'1.職能辭典'!$C:$C,0))="全部",SUMPRODUCT(ISNUMBER(SEARCH({"經營","管理","財務","企劃","營運","技術","數據","美術","測試","客服"},INDEX('3.員工名單'!$I:$I,MATCH(A936,'3.員工名單'!$A:$A,0))))*ISNUMBER(SEARCH({"經營","管理","財務","企劃","營運","技術","數據","美術","測試","客服"},INDEX('1.職能辭典'!$K:$K,MATCH(F936,'1.職能辭典'!$C:$C,0)))))&gt;0)),INDEX('2.職務職能需求'!$B$2:$F$28,MATCH(F936,'2.職務職能需求'!$A$2:$A$28,0),MATCH(D936,'2.職務職能需求'!$B$1:$F$1,0)),0),""))</f>
        <v/>
      </c>
      <c r="H936" s="94" t="n"/>
      <c r="I936" s="94" t="n"/>
      <c r="J936" s="120">
        <f>IF(OR(G936="",I936="",G936=0),"",I936-G936)</f>
        <v/>
      </c>
      <c r="K936" s="120">
        <f>IF(G936="","",IF(G936=0,"不適用",IF(I936="","待評核",IF(I936&gt;=G936,IF(I936&gt;G936,"超越","達標"),"待發展"))))</f>
        <v/>
      </c>
      <c r="L936" s="91" t="n"/>
      <c r="M936" s="91" t="n"/>
      <c r="N936" s="88" t="n"/>
    </row>
    <row r="937" ht="15.75" customHeight="1" s="64">
      <c r="A937" s="88" t="n"/>
      <c r="B937" s="120">
        <f t="array" ref="B937:B937">IF(A937="","",IFERROR(INDEX('3.員工名單'!$B:$B,MATCH(A937,'3.員工名單'!$A:$A,0)),"查無此員工"))</f>
        <v/>
      </c>
      <c r="C937" s="120">
        <f t="array" ref="C937:C937">IF(A937="","",IFERROR(INDEX('3.員工名單'!$C:$C,MATCH(A937,'3.員工名單'!$A:$A,0)),""))</f>
        <v/>
      </c>
      <c r="D937" s="120">
        <f t="array" ref="D937:D937">IF(A937="","",IFERROR(INDEX('3.員工名單'!$D:$D,MATCH(A937,'3.員工名單'!$A:$A,0)),""))</f>
        <v/>
      </c>
      <c r="E937" s="120">
        <f t="array" ref="E937:E937">IF(F937="","",IFERROR(INDEX('1.職能辭典'!$A:$A,MATCH(F937,'1.職能辭典'!$C:$C,0)),""))</f>
        <v/>
      </c>
      <c r="F937" s="94" t="n"/>
      <c r="G937" s="120">
        <f t="array" ref="G937:G937">IF(OR(D937="",F937=""),"",IFERROR(IF(AND(OR(INDEX('1.職能辭典'!$J:$J,MATCH(F937,'1.職能辭典'!$C:$C,0))="全部",INDEX('3.員工名單'!$H:$H,MATCH(A937,'3.員工名單'!$A:$A,0))="兩款共用",INDEX('3.員工名單'!$H:$H,MATCH(A937,'3.員工名單'!$A:$A,0))=INDEX('1.職能辭典'!$J:$J,MATCH(F937,'1.職能辭典'!$C:$C,0))),OR(INDEX('1.職能辭典'!$K:$K,MATCH(F937,'1.職能辭典'!$C:$C,0))="全部",SUMPRODUCT(ISNUMBER(SEARCH({"經營","管理","財務","企劃","營運","技術","數據","美術","測試","客服"},INDEX('3.員工名單'!$I:$I,MATCH(A937,'3.員工名單'!$A:$A,0))))*ISNUMBER(SEARCH({"經營","管理","財務","企劃","營運","技術","數據","美術","測試","客服"},INDEX('1.職能辭典'!$K:$K,MATCH(F937,'1.職能辭典'!$C:$C,0)))))&gt;0)),INDEX('2.職務職能需求'!$B$2:$F$28,MATCH(F937,'2.職務職能需求'!$A$2:$A$28,0),MATCH(D937,'2.職務職能需求'!$B$1:$F$1,0)),0),""))</f>
        <v/>
      </c>
      <c r="H937" s="94" t="n"/>
      <c r="I937" s="94" t="n"/>
      <c r="J937" s="120">
        <f>IF(OR(G937="",I937="",G937=0),"",I937-G937)</f>
        <v/>
      </c>
      <c r="K937" s="120">
        <f>IF(G937="","",IF(G937=0,"不適用",IF(I937="","待評核",IF(I937&gt;=G937,IF(I937&gt;G937,"超越","達標"),"待發展"))))</f>
        <v/>
      </c>
      <c r="L937" s="91" t="n"/>
      <c r="M937" s="91" t="n"/>
      <c r="N937" s="88" t="n"/>
    </row>
    <row r="938" ht="15.75" customHeight="1" s="64">
      <c r="A938" s="88" t="n"/>
      <c r="B938" s="120">
        <f t="array" ref="B938:B938">IF(A938="","",IFERROR(INDEX('3.員工名單'!$B:$B,MATCH(A938,'3.員工名單'!$A:$A,0)),"查無此員工"))</f>
        <v/>
      </c>
      <c r="C938" s="120">
        <f t="array" ref="C938:C938">IF(A938="","",IFERROR(INDEX('3.員工名單'!$C:$C,MATCH(A938,'3.員工名單'!$A:$A,0)),""))</f>
        <v/>
      </c>
      <c r="D938" s="120">
        <f t="array" ref="D938:D938">IF(A938="","",IFERROR(INDEX('3.員工名單'!$D:$D,MATCH(A938,'3.員工名單'!$A:$A,0)),""))</f>
        <v/>
      </c>
      <c r="E938" s="120">
        <f t="array" ref="E938:E938">IF(F938="","",IFERROR(INDEX('1.職能辭典'!$A:$A,MATCH(F938,'1.職能辭典'!$C:$C,0)),""))</f>
        <v/>
      </c>
      <c r="F938" s="94" t="n"/>
      <c r="G938" s="120">
        <f t="array" ref="G938:G938">IF(OR(D938="",F938=""),"",IFERROR(IF(AND(OR(INDEX('1.職能辭典'!$J:$J,MATCH(F938,'1.職能辭典'!$C:$C,0))="全部",INDEX('3.員工名單'!$H:$H,MATCH(A938,'3.員工名單'!$A:$A,0))="兩款共用",INDEX('3.員工名單'!$H:$H,MATCH(A938,'3.員工名單'!$A:$A,0))=INDEX('1.職能辭典'!$J:$J,MATCH(F938,'1.職能辭典'!$C:$C,0))),OR(INDEX('1.職能辭典'!$K:$K,MATCH(F938,'1.職能辭典'!$C:$C,0))="全部",SUMPRODUCT(ISNUMBER(SEARCH({"經營","管理","財務","企劃","營運","技術","數據","美術","測試","客服"},INDEX('3.員工名單'!$I:$I,MATCH(A938,'3.員工名單'!$A:$A,0))))*ISNUMBER(SEARCH({"經營","管理","財務","企劃","營運","技術","數據","美術","測試","客服"},INDEX('1.職能辭典'!$K:$K,MATCH(F938,'1.職能辭典'!$C:$C,0)))))&gt;0)),INDEX('2.職務職能需求'!$B$2:$F$28,MATCH(F938,'2.職務職能需求'!$A$2:$A$28,0),MATCH(D938,'2.職務職能需求'!$B$1:$F$1,0)),0),""))</f>
        <v/>
      </c>
      <c r="H938" s="94" t="n"/>
      <c r="I938" s="94" t="n"/>
      <c r="J938" s="120">
        <f>IF(OR(G938="",I938="",G938=0),"",I938-G938)</f>
        <v/>
      </c>
      <c r="K938" s="120">
        <f>IF(G938="","",IF(G938=0,"不適用",IF(I938="","待評核",IF(I938&gt;=G938,IF(I938&gt;G938,"超越","達標"),"待發展"))))</f>
        <v/>
      </c>
      <c r="L938" s="91" t="n"/>
      <c r="M938" s="91" t="n"/>
      <c r="N938" s="88" t="n"/>
    </row>
    <row r="939" ht="15.75" customHeight="1" s="64">
      <c r="A939" s="88" t="n"/>
      <c r="B939" s="120">
        <f t="array" ref="B939:B939">IF(A939="","",IFERROR(INDEX('3.員工名單'!$B:$B,MATCH(A939,'3.員工名單'!$A:$A,0)),"查無此員工"))</f>
        <v/>
      </c>
      <c r="C939" s="120">
        <f t="array" ref="C939:C939">IF(A939="","",IFERROR(INDEX('3.員工名單'!$C:$C,MATCH(A939,'3.員工名單'!$A:$A,0)),""))</f>
        <v/>
      </c>
      <c r="D939" s="120">
        <f t="array" ref="D939:D939">IF(A939="","",IFERROR(INDEX('3.員工名單'!$D:$D,MATCH(A939,'3.員工名單'!$A:$A,0)),""))</f>
        <v/>
      </c>
      <c r="E939" s="120">
        <f t="array" ref="E939:E939">IF(F939="","",IFERROR(INDEX('1.職能辭典'!$A:$A,MATCH(F939,'1.職能辭典'!$C:$C,0)),""))</f>
        <v/>
      </c>
      <c r="F939" s="94" t="n"/>
      <c r="G939" s="120">
        <f t="array" ref="G939:G939">IF(OR(D939="",F939=""),"",IFERROR(IF(AND(OR(INDEX('1.職能辭典'!$J:$J,MATCH(F939,'1.職能辭典'!$C:$C,0))="全部",INDEX('3.員工名單'!$H:$H,MATCH(A939,'3.員工名單'!$A:$A,0))="兩款共用",INDEX('3.員工名單'!$H:$H,MATCH(A939,'3.員工名單'!$A:$A,0))=INDEX('1.職能辭典'!$J:$J,MATCH(F939,'1.職能辭典'!$C:$C,0))),OR(INDEX('1.職能辭典'!$K:$K,MATCH(F939,'1.職能辭典'!$C:$C,0))="全部",SUMPRODUCT(ISNUMBER(SEARCH({"經營","管理","財務","企劃","營運","技術","數據","美術","測試","客服"},INDEX('3.員工名單'!$I:$I,MATCH(A939,'3.員工名單'!$A:$A,0))))*ISNUMBER(SEARCH({"經營","管理","財務","企劃","營運","技術","數據","美術","測試","客服"},INDEX('1.職能辭典'!$K:$K,MATCH(F939,'1.職能辭典'!$C:$C,0)))))&gt;0)),INDEX('2.職務職能需求'!$B$2:$F$28,MATCH(F939,'2.職務職能需求'!$A$2:$A$28,0),MATCH(D939,'2.職務職能需求'!$B$1:$F$1,0)),0),""))</f>
        <v/>
      </c>
      <c r="H939" s="94" t="n"/>
      <c r="I939" s="94" t="n"/>
      <c r="J939" s="120">
        <f>IF(OR(G939="",I939="",G939=0),"",I939-G939)</f>
        <v/>
      </c>
      <c r="K939" s="120">
        <f>IF(G939="","",IF(G939=0,"不適用",IF(I939="","待評核",IF(I939&gt;=G939,IF(I939&gt;G939,"超越","達標"),"待發展"))))</f>
        <v/>
      </c>
      <c r="L939" s="91" t="n"/>
      <c r="M939" s="91" t="n"/>
      <c r="N939" s="88" t="n"/>
    </row>
    <row r="940" ht="15.75" customHeight="1" s="64">
      <c r="A940" s="88" t="n"/>
      <c r="B940" s="120">
        <f t="array" ref="B940:B940">IF(A940="","",IFERROR(INDEX('3.員工名單'!$B:$B,MATCH(A940,'3.員工名單'!$A:$A,0)),"查無此員工"))</f>
        <v/>
      </c>
      <c r="C940" s="120">
        <f t="array" ref="C940:C940">IF(A940="","",IFERROR(INDEX('3.員工名單'!$C:$C,MATCH(A940,'3.員工名單'!$A:$A,0)),""))</f>
        <v/>
      </c>
      <c r="D940" s="120">
        <f t="array" ref="D940:D940">IF(A940="","",IFERROR(INDEX('3.員工名單'!$D:$D,MATCH(A940,'3.員工名單'!$A:$A,0)),""))</f>
        <v/>
      </c>
      <c r="E940" s="120">
        <f t="array" ref="E940:E940">IF(F940="","",IFERROR(INDEX('1.職能辭典'!$A:$A,MATCH(F940,'1.職能辭典'!$C:$C,0)),""))</f>
        <v/>
      </c>
      <c r="F940" s="94" t="n"/>
      <c r="G940" s="120">
        <f t="array" ref="G940:G940">IF(OR(D940="",F940=""),"",IFERROR(IF(AND(OR(INDEX('1.職能辭典'!$J:$J,MATCH(F940,'1.職能辭典'!$C:$C,0))="全部",INDEX('3.員工名單'!$H:$H,MATCH(A940,'3.員工名單'!$A:$A,0))="兩款共用",INDEX('3.員工名單'!$H:$H,MATCH(A940,'3.員工名單'!$A:$A,0))=INDEX('1.職能辭典'!$J:$J,MATCH(F940,'1.職能辭典'!$C:$C,0))),OR(INDEX('1.職能辭典'!$K:$K,MATCH(F940,'1.職能辭典'!$C:$C,0))="全部",SUMPRODUCT(ISNUMBER(SEARCH({"經營","管理","財務","企劃","營運","技術","數據","美術","測試","客服"},INDEX('3.員工名單'!$I:$I,MATCH(A940,'3.員工名單'!$A:$A,0))))*ISNUMBER(SEARCH({"經營","管理","財務","企劃","營運","技術","數據","美術","測試","客服"},INDEX('1.職能辭典'!$K:$K,MATCH(F940,'1.職能辭典'!$C:$C,0)))))&gt;0)),INDEX('2.職務職能需求'!$B$2:$F$28,MATCH(F940,'2.職務職能需求'!$A$2:$A$28,0),MATCH(D940,'2.職務職能需求'!$B$1:$F$1,0)),0),""))</f>
        <v/>
      </c>
      <c r="H940" s="94" t="n"/>
      <c r="I940" s="94" t="n"/>
      <c r="J940" s="120">
        <f>IF(OR(G940="",I940="",G940=0),"",I940-G940)</f>
        <v/>
      </c>
      <c r="K940" s="120">
        <f>IF(G940="","",IF(G940=0,"不適用",IF(I940="","待評核",IF(I940&gt;=G940,IF(I940&gt;G940,"超越","達標"),"待發展"))))</f>
        <v/>
      </c>
      <c r="L940" s="91" t="n"/>
      <c r="M940" s="91" t="n"/>
      <c r="N940" s="88" t="n"/>
    </row>
    <row r="941" ht="15.75" customHeight="1" s="64">
      <c r="A941" s="88" t="n"/>
      <c r="B941" s="120">
        <f t="array" ref="B941:B941">IF(A941="","",IFERROR(INDEX('3.員工名單'!$B:$B,MATCH(A941,'3.員工名單'!$A:$A,0)),"查無此員工"))</f>
        <v/>
      </c>
      <c r="C941" s="120">
        <f t="array" ref="C941:C941">IF(A941="","",IFERROR(INDEX('3.員工名單'!$C:$C,MATCH(A941,'3.員工名單'!$A:$A,0)),""))</f>
        <v/>
      </c>
      <c r="D941" s="120">
        <f t="array" ref="D941:D941">IF(A941="","",IFERROR(INDEX('3.員工名單'!$D:$D,MATCH(A941,'3.員工名單'!$A:$A,0)),""))</f>
        <v/>
      </c>
      <c r="E941" s="120">
        <f t="array" ref="E941:E941">IF(F941="","",IFERROR(INDEX('1.職能辭典'!$A:$A,MATCH(F941,'1.職能辭典'!$C:$C,0)),""))</f>
        <v/>
      </c>
      <c r="F941" s="94" t="n"/>
      <c r="G941" s="120">
        <f t="array" ref="G941:G941">IF(OR(D941="",F941=""),"",IFERROR(IF(AND(OR(INDEX('1.職能辭典'!$J:$J,MATCH(F941,'1.職能辭典'!$C:$C,0))="全部",INDEX('3.員工名單'!$H:$H,MATCH(A941,'3.員工名單'!$A:$A,0))="兩款共用",INDEX('3.員工名單'!$H:$H,MATCH(A941,'3.員工名單'!$A:$A,0))=INDEX('1.職能辭典'!$J:$J,MATCH(F941,'1.職能辭典'!$C:$C,0))),OR(INDEX('1.職能辭典'!$K:$K,MATCH(F941,'1.職能辭典'!$C:$C,0))="全部",SUMPRODUCT(ISNUMBER(SEARCH({"經營","管理","財務","企劃","營運","技術","數據","美術","測試","客服"},INDEX('3.員工名單'!$I:$I,MATCH(A941,'3.員工名單'!$A:$A,0))))*ISNUMBER(SEARCH({"經營","管理","財務","企劃","營運","技術","數據","美術","測試","客服"},INDEX('1.職能辭典'!$K:$K,MATCH(F941,'1.職能辭典'!$C:$C,0)))))&gt;0)),INDEX('2.職務職能需求'!$B$2:$F$28,MATCH(F941,'2.職務職能需求'!$A$2:$A$28,0),MATCH(D941,'2.職務職能需求'!$B$1:$F$1,0)),0),""))</f>
        <v/>
      </c>
      <c r="H941" s="94" t="n"/>
      <c r="I941" s="94" t="n"/>
      <c r="J941" s="120">
        <f>IF(OR(G941="",I941="",G941=0),"",I941-G941)</f>
        <v/>
      </c>
      <c r="K941" s="120">
        <f>IF(G941="","",IF(G941=0,"不適用",IF(I941="","待評核",IF(I941&gt;=G941,IF(I941&gt;G941,"超越","達標"),"待發展"))))</f>
        <v/>
      </c>
      <c r="L941" s="91" t="n"/>
      <c r="M941" s="91" t="n"/>
      <c r="N941" s="88" t="n"/>
    </row>
    <row r="942" ht="15.75" customHeight="1" s="64">
      <c r="A942" s="88" t="n"/>
      <c r="B942" s="120">
        <f t="array" ref="B942:B942">IF(A942="","",IFERROR(INDEX('3.員工名單'!$B:$B,MATCH(A942,'3.員工名單'!$A:$A,0)),"查無此員工"))</f>
        <v/>
      </c>
      <c r="C942" s="120">
        <f t="array" ref="C942:C942">IF(A942="","",IFERROR(INDEX('3.員工名單'!$C:$C,MATCH(A942,'3.員工名單'!$A:$A,0)),""))</f>
        <v/>
      </c>
      <c r="D942" s="120">
        <f t="array" ref="D942:D942">IF(A942="","",IFERROR(INDEX('3.員工名單'!$D:$D,MATCH(A942,'3.員工名單'!$A:$A,0)),""))</f>
        <v/>
      </c>
      <c r="E942" s="120">
        <f t="array" ref="E942:E942">IF(F942="","",IFERROR(INDEX('1.職能辭典'!$A:$A,MATCH(F942,'1.職能辭典'!$C:$C,0)),""))</f>
        <v/>
      </c>
      <c r="F942" s="94" t="n"/>
      <c r="G942" s="120">
        <f t="array" ref="G942:G942">IF(OR(D942="",F942=""),"",IFERROR(IF(AND(OR(INDEX('1.職能辭典'!$J:$J,MATCH(F942,'1.職能辭典'!$C:$C,0))="全部",INDEX('3.員工名單'!$H:$H,MATCH(A942,'3.員工名單'!$A:$A,0))="兩款共用",INDEX('3.員工名單'!$H:$H,MATCH(A942,'3.員工名單'!$A:$A,0))=INDEX('1.職能辭典'!$J:$J,MATCH(F942,'1.職能辭典'!$C:$C,0))),OR(INDEX('1.職能辭典'!$K:$K,MATCH(F942,'1.職能辭典'!$C:$C,0))="全部",SUMPRODUCT(ISNUMBER(SEARCH({"經營","管理","財務","企劃","營運","技術","數據","美術","測試","客服"},INDEX('3.員工名單'!$I:$I,MATCH(A942,'3.員工名單'!$A:$A,0))))*ISNUMBER(SEARCH({"經營","管理","財務","企劃","營運","技術","數據","美術","測試","客服"},INDEX('1.職能辭典'!$K:$K,MATCH(F942,'1.職能辭典'!$C:$C,0)))))&gt;0)),INDEX('2.職務職能需求'!$B$2:$F$28,MATCH(F942,'2.職務職能需求'!$A$2:$A$28,0),MATCH(D942,'2.職務職能需求'!$B$1:$F$1,0)),0),""))</f>
        <v/>
      </c>
      <c r="H942" s="94" t="n"/>
      <c r="I942" s="94" t="n"/>
      <c r="J942" s="120">
        <f>IF(OR(G942="",I942="",G942=0),"",I942-G942)</f>
        <v/>
      </c>
      <c r="K942" s="120">
        <f>IF(G942="","",IF(G942=0,"不適用",IF(I942="","待評核",IF(I942&gt;=G942,IF(I942&gt;G942,"超越","達標"),"待發展"))))</f>
        <v/>
      </c>
      <c r="L942" s="91" t="n"/>
      <c r="M942" s="91" t="n"/>
      <c r="N942" s="88" t="n"/>
    </row>
    <row r="943" ht="15.75" customHeight="1" s="64">
      <c r="A943" s="88" t="n"/>
      <c r="B943" s="120">
        <f t="array" ref="B943:B943">IF(A943="","",IFERROR(INDEX('3.員工名單'!$B:$B,MATCH(A943,'3.員工名單'!$A:$A,0)),"查無此員工"))</f>
        <v/>
      </c>
      <c r="C943" s="120">
        <f t="array" ref="C943:C943">IF(A943="","",IFERROR(INDEX('3.員工名單'!$C:$C,MATCH(A943,'3.員工名單'!$A:$A,0)),""))</f>
        <v/>
      </c>
      <c r="D943" s="120">
        <f t="array" ref="D943:D943">IF(A943="","",IFERROR(INDEX('3.員工名單'!$D:$D,MATCH(A943,'3.員工名單'!$A:$A,0)),""))</f>
        <v/>
      </c>
      <c r="E943" s="120">
        <f t="array" ref="E943:E943">IF(F943="","",IFERROR(INDEX('1.職能辭典'!$A:$A,MATCH(F943,'1.職能辭典'!$C:$C,0)),""))</f>
        <v/>
      </c>
      <c r="F943" s="94" t="n"/>
      <c r="G943" s="120">
        <f t="array" ref="G943:G943">IF(OR(D943="",F943=""),"",IFERROR(IF(AND(OR(INDEX('1.職能辭典'!$J:$J,MATCH(F943,'1.職能辭典'!$C:$C,0))="全部",INDEX('3.員工名單'!$H:$H,MATCH(A943,'3.員工名單'!$A:$A,0))="兩款共用",INDEX('3.員工名單'!$H:$H,MATCH(A943,'3.員工名單'!$A:$A,0))=INDEX('1.職能辭典'!$J:$J,MATCH(F943,'1.職能辭典'!$C:$C,0))),OR(INDEX('1.職能辭典'!$K:$K,MATCH(F943,'1.職能辭典'!$C:$C,0))="全部",SUMPRODUCT(ISNUMBER(SEARCH({"經營","管理","財務","企劃","營運","技術","數據","美術","測試","客服"},INDEX('3.員工名單'!$I:$I,MATCH(A943,'3.員工名單'!$A:$A,0))))*ISNUMBER(SEARCH({"經營","管理","財務","企劃","營運","技術","數據","美術","測試","客服"},INDEX('1.職能辭典'!$K:$K,MATCH(F943,'1.職能辭典'!$C:$C,0)))))&gt;0)),INDEX('2.職務職能需求'!$B$2:$F$28,MATCH(F943,'2.職務職能需求'!$A$2:$A$28,0),MATCH(D943,'2.職務職能需求'!$B$1:$F$1,0)),0),""))</f>
        <v/>
      </c>
      <c r="H943" s="94" t="n"/>
      <c r="I943" s="94" t="n"/>
      <c r="J943" s="120">
        <f>IF(OR(G943="",I943="",G943=0),"",I943-G943)</f>
        <v/>
      </c>
      <c r="K943" s="120">
        <f>IF(G943="","",IF(G943=0,"不適用",IF(I943="","待評核",IF(I943&gt;=G943,IF(I943&gt;G943,"超越","達標"),"待發展"))))</f>
        <v/>
      </c>
      <c r="L943" s="91" t="n"/>
      <c r="M943" s="91" t="n"/>
      <c r="N943" s="88" t="n"/>
    </row>
    <row r="944" ht="15.75" customHeight="1" s="64">
      <c r="A944" s="88" t="n"/>
      <c r="B944" s="120">
        <f t="array" ref="B944:B944">IF(A944="","",IFERROR(INDEX('3.員工名單'!$B:$B,MATCH(A944,'3.員工名單'!$A:$A,0)),"查無此員工"))</f>
        <v/>
      </c>
      <c r="C944" s="120">
        <f t="array" ref="C944:C944">IF(A944="","",IFERROR(INDEX('3.員工名單'!$C:$C,MATCH(A944,'3.員工名單'!$A:$A,0)),""))</f>
        <v/>
      </c>
      <c r="D944" s="120">
        <f t="array" ref="D944:D944">IF(A944="","",IFERROR(INDEX('3.員工名單'!$D:$D,MATCH(A944,'3.員工名單'!$A:$A,0)),""))</f>
        <v/>
      </c>
      <c r="E944" s="120">
        <f t="array" ref="E944:E944">IF(F944="","",IFERROR(INDEX('1.職能辭典'!$A:$A,MATCH(F944,'1.職能辭典'!$C:$C,0)),""))</f>
        <v/>
      </c>
      <c r="F944" s="94" t="n"/>
      <c r="G944" s="120">
        <f t="array" ref="G944:G944">IF(OR(D944="",F944=""),"",IFERROR(IF(AND(OR(INDEX('1.職能辭典'!$J:$J,MATCH(F944,'1.職能辭典'!$C:$C,0))="全部",INDEX('3.員工名單'!$H:$H,MATCH(A944,'3.員工名單'!$A:$A,0))="兩款共用",INDEX('3.員工名單'!$H:$H,MATCH(A944,'3.員工名單'!$A:$A,0))=INDEX('1.職能辭典'!$J:$J,MATCH(F944,'1.職能辭典'!$C:$C,0))),OR(INDEX('1.職能辭典'!$K:$K,MATCH(F944,'1.職能辭典'!$C:$C,0))="全部",SUMPRODUCT(ISNUMBER(SEARCH({"經營","管理","財務","企劃","營運","技術","數據","美術","測試","客服"},INDEX('3.員工名單'!$I:$I,MATCH(A944,'3.員工名單'!$A:$A,0))))*ISNUMBER(SEARCH({"經營","管理","財務","企劃","營運","技術","數據","美術","測試","客服"},INDEX('1.職能辭典'!$K:$K,MATCH(F944,'1.職能辭典'!$C:$C,0)))))&gt;0)),INDEX('2.職務職能需求'!$B$2:$F$28,MATCH(F944,'2.職務職能需求'!$A$2:$A$28,0),MATCH(D944,'2.職務職能需求'!$B$1:$F$1,0)),0),""))</f>
        <v/>
      </c>
      <c r="H944" s="94" t="n"/>
      <c r="I944" s="94" t="n"/>
      <c r="J944" s="120">
        <f>IF(OR(G944="",I944="",G944=0),"",I944-G944)</f>
        <v/>
      </c>
      <c r="K944" s="120">
        <f>IF(G944="","",IF(G944=0,"不適用",IF(I944="","待評核",IF(I944&gt;=G944,IF(I944&gt;G944,"超越","達標"),"待發展"))))</f>
        <v/>
      </c>
      <c r="L944" s="91" t="n"/>
      <c r="M944" s="91" t="n"/>
      <c r="N944" s="88" t="n"/>
    </row>
    <row r="945" ht="15.75" customHeight="1" s="64">
      <c r="A945" s="88" t="n"/>
      <c r="B945" s="120">
        <f t="array" ref="B945:B945">IF(A945="","",IFERROR(INDEX('3.員工名單'!$B:$B,MATCH(A945,'3.員工名單'!$A:$A,0)),"查無此員工"))</f>
        <v/>
      </c>
      <c r="C945" s="120">
        <f t="array" ref="C945:C945">IF(A945="","",IFERROR(INDEX('3.員工名單'!$C:$C,MATCH(A945,'3.員工名單'!$A:$A,0)),""))</f>
        <v/>
      </c>
      <c r="D945" s="120">
        <f t="array" ref="D945:D945">IF(A945="","",IFERROR(INDEX('3.員工名單'!$D:$D,MATCH(A945,'3.員工名單'!$A:$A,0)),""))</f>
        <v/>
      </c>
      <c r="E945" s="120">
        <f t="array" ref="E945:E945">IF(F945="","",IFERROR(INDEX('1.職能辭典'!$A:$A,MATCH(F945,'1.職能辭典'!$C:$C,0)),""))</f>
        <v/>
      </c>
      <c r="F945" s="94" t="n"/>
      <c r="G945" s="120">
        <f t="array" ref="G945:G945">IF(OR(D945="",F945=""),"",IFERROR(IF(AND(OR(INDEX('1.職能辭典'!$J:$J,MATCH(F945,'1.職能辭典'!$C:$C,0))="全部",INDEX('3.員工名單'!$H:$H,MATCH(A945,'3.員工名單'!$A:$A,0))="兩款共用",INDEX('3.員工名單'!$H:$H,MATCH(A945,'3.員工名單'!$A:$A,0))=INDEX('1.職能辭典'!$J:$J,MATCH(F945,'1.職能辭典'!$C:$C,0))),OR(INDEX('1.職能辭典'!$K:$K,MATCH(F945,'1.職能辭典'!$C:$C,0))="全部",SUMPRODUCT(ISNUMBER(SEARCH({"經營","管理","財務","企劃","營運","技術","數據","美術","測試","客服"},INDEX('3.員工名單'!$I:$I,MATCH(A945,'3.員工名單'!$A:$A,0))))*ISNUMBER(SEARCH({"經營","管理","財務","企劃","營運","技術","數據","美術","測試","客服"},INDEX('1.職能辭典'!$K:$K,MATCH(F945,'1.職能辭典'!$C:$C,0)))))&gt;0)),INDEX('2.職務職能需求'!$B$2:$F$28,MATCH(F945,'2.職務職能需求'!$A$2:$A$28,0),MATCH(D945,'2.職務職能需求'!$B$1:$F$1,0)),0),""))</f>
        <v/>
      </c>
      <c r="H945" s="94" t="n"/>
      <c r="I945" s="94" t="n"/>
      <c r="J945" s="120">
        <f>IF(OR(G945="",I945="",G945=0),"",I945-G945)</f>
        <v/>
      </c>
      <c r="K945" s="120">
        <f>IF(G945="","",IF(G945=0,"不適用",IF(I945="","待評核",IF(I945&gt;=G945,IF(I945&gt;G945,"超越","達標"),"待發展"))))</f>
        <v/>
      </c>
      <c r="L945" s="91" t="n"/>
      <c r="M945" s="91" t="n"/>
      <c r="N945" s="88" t="n"/>
    </row>
    <row r="946" ht="15.75" customHeight="1" s="64">
      <c r="A946" s="88" t="n"/>
      <c r="B946" s="120">
        <f t="array" ref="B946:B946">IF(A946="","",IFERROR(INDEX('3.員工名單'!$B:$B,MATCH(A946,'3.員工名單'!$A:$A,0)),"查無此員工"))</f>
        <v/>
      </c>
      <c r="C946" s="120">
        <f t="array" ref="C946:C946">IF(A946="","",IFERROR(INDEX('3.員工名單'!$C:$C,MATCH(A946,'3.員工名單'!$A:$A,0)),""))</f>
        <v/>
      </c>
      <c r="D946" s="120">
        <f t="array" ref="D946:D946">IF(A946="","",IFERROR(INDEX('3.員工名單'!$D:$D,MATCH(A946,'3.員工名單'!$A:$A,0)),""))</f>
        <v/>
      </c>
      <c r="E946" s="120">
        <f t="array" ref="E946:E946">IF(F946="","",IFERROR(INDEX('1.職能辭典'!$A:$A,MATCH(F946,'1.職能辭典'!$C:$C,0)),""))</f>
        <v/>
      </c>
      <c r="F946" s="94" t="n"/>
      <c r="G946" s="120">
        <f t="array" ref="G946:G946">IF(OR(D946="",F946=""),"",IFERROR(IF(AND(OR(INDEX('1.職能辭典'!$J:$J,MATCH(F946,'1.職能辭典'!$C:$C,0))="全部",INDEX('3.員工名單'!$H:$H,MATCH(A946,'3.員工名單'!$A:$A,0))="兩款共用",INDEX('3.員工名單'!$H:$H,MATCH(A946,'3.員工名單'!$A:$A,0))=INDEX('1.職能辭典'!$J:$J,MATCH(F946,'1.職能辭典'!$C:$C,0))),OR(INDEX('1.職能辭典'!$K:$K,MATCH(F946,'1.職能辭典'!$C:$C,0))="全部",SUMPRODUCT(ISNUMBER(SEARCH({"經營","管理","財務","企劃","營運","技術","數據","美術","測試","客服"},INDEX('3.員工名單'!$I:$I,MATCH(A946,'3.員工名單'!$A:$A,0))))*ISNUMBER(SEARCH({"經營","管理","財務","企劃","營運","技術","數據","美術","測試","客服"},INDEX('1.職能辭典'!$K:$K,MATCH(F946,'1.職能辭典'!$C:$C,0)))))&gt;0)),INDEX('2.職務職能需求'!$B$2:$F$28,MATCH(F946,'2.職務職能需求'!$A$2:$A$28,0),MATCH(D946,'2.職務職能需求'!$B$1:$F$1,0)),0),""))</f>
        <v/>
      </c>
      <c r="H946" s="94" t="n"/>
      <c r="I946" s="94" t="n"/>
      <c r="J946" s="120">
        <f>IF(OR(G946="",I946="",G946=0),"",I946-G946)</f>
        <v/>
      </c>
      <c r="K946" s="120">
        <f>IF(G946="","",IF(G946=0,"不適用",IF(I946="","待評核",IF(I946&gt;=G946,IF(I946&gt;G946,"超越","達標"),"待發展"))))</f>
        <v/>
      </c>
      <c r="L946" s="91" t="n"/>
      <c r="M946" s="91" t="n"/>
      <c r="N946" s="88" t="n"/>
    </row>
    <row r="947" ht="15.75" customHeight="1" s="64">
      <c r="A947" s="88" t="n"/>
      <c r="B947" s="120">
        <f t="array" ref="B947:B947">IF(A947="","",IFERROR(INDEX('3.員工名單'!$B:$B,MATCH(A947,'3.員工名單'!$A:$A,0)),"查無此員工"))</f>
        <v/>
      </c>
      <c r="C947" s="120">
        <f t="array" ref="C947:C947">IF(A947="","",IFERROR(INDEX('3.員工名單'!$C:$C,MATCH(A947,'3.員工名單'!$A:$A,0)),""))</f>
        <v/>
      </c>
      <c r="D947" s="120">
        <f t="array" ref="D947:D947">IF(A947="","",IFERROR(INDEX('3.員工名單'!$D:$D,MATCH(A947,'3.員工名單'!$A:$A,0)),""))</f>
        <v/>
      </c>
      <c r="E947" s="120">
        <f t="array" ref="E947:E947">IF(F947="","",IFERROR(INDEX('1.職能辭典'!$A:$A,MATCH(F947,'1.職能辭典'!$C:$C,0)),""))</f>
        <v/>
      </c>
      <c r="F947" s="94" t="n"/>
      <c r="G947" s="120">
        <f t="array" ref="G947:G947">IF(OR(D947="",F947=""),"",IFERROR(IF(AND(OR(INDEX('1.職能辭典'!$J:$J,MATCH(F947,'1.職能辭典'!$C:$C,0))="全部",INDEX('3.員工名單'!$H:$H,MATCH(A947,'3.員工名單'!$A:$A,0))="兩款共用",INDEX('3.員工名單'!$H:$H,MATCH(A947,'3.員工名單'!$A:$A,0))=INDEX('1.職能辭典'!$J:$J,MATCH(F947,'1.職能辭典'!$C:$C,0))),OR(INDEX('1.職能辭典'!$K:$K,MATCH(F947,'1.職能辭典'!$C:$C,0))="全部",SUMPRODUCT(ISNUMBER(SEARCH({"經營","管理","財務","企劃","營運","技術","數據","美術","測試","客服"},INDEX('3.員工名單'!$I:$I,MATCH(A947,'3.員工名單'!$A:$A,0))))*ISNUMBER(SEARCH({"經營","管理","財務","企劃","營運","技術","數據","美術","測試","客服"},INDEX('1.職能辭典'!$K:$K,MATCH(F947,'1.職能辭典'!$C:$C,0)))))&gt;0)),INDEX('2.職務職能需求'!$B$2:$F$28,MATCH(F947,'2.職務職能需求'!$A$2:$A$28,0),MATCH(D947,'2.職務職能需求'!$B$1:$F$1,0)),0),""))</f>
        <v/>
      </c>
      <c r="H947" s="94" t="n"/>
      <c r="I947" s="94" t="n"/>
      <c r="J947" s="120">
        <f>IF(OR(G947="",I947="",G947=0),"",I947-G947)</f>
        <v/>
      </c>
      <c r="K947" s="120">
        <f>IF(G947="","",IF(G947=0,"不適用",IF(I947="","待評核",IF(I947&gt;=G947,IF(I947&gt;G947,"超越","達標"),"待發展"))))</f>
        <v/>
      </c>
      <c r="L947" s="91" t="n"/>
      <c r="M947" s="91" t="n"/>
      <c r="N947" s="88" t="n"/>
    </row>
    <row r="948" ht="15.75" customHeight="1" s="64">
      <c r="A948" s="88" t="n"/>
      <c r="B948" s="120">
        <f t="array" ref="B948:B948">IF(A948="","",IFERROR(INDEX('3.員工名單'!$B:$B,MATCH(A948,'3.員工名單'!$A:$A,0)),"查無此員工"))</f>
        <v/>
      </c>
      <c r="C948" s="120">
        <f t="array" ref="C948:C948">IF(A948="","",IFERROR(INDEX('3.員工名單'!$C:$C,MATCH(A948,'3.員工名單'!$A:$A,0)),""))</f>
        <v/>
      </c>
      <c r="D948" s="120">
        <f t="array" ref="D948:D948">IF(A948="","",IFERROR(INDEX('3.員工名單'!$D:$D,MATCH(A948,'3.員工名單'!$A:$A,0)),""))</f>
        <v/>
      </c>
      <c r="E948" s="120">
        <f t="array" ref="E948:E948">IF(F948="","",IFERROR(INDEX('1.職能辭典'!$A:$A,MATCH(F948,'1.職能辭典'!$C:$C,0)),""))</f>
        <v/>
      </c>
      <c r="F948" s="94" t="n"/>
      <c r="G948" s="120">
        <f t="array" ref="G948:G948">IF(OR(D948="",F948=""),"",IFERROR(IF(AND(OR(INDEX('1.職能辭典'!$J:$J,MATCH(F948,'1.職能辭典'!$C:$C,0))="全部",INDEX('3.員工名單'!$H:$H,MATCH(A948,'3.員工名單'!$A:$A,0))="兩款共用",INDEX('3.員工名單'!$H:$H,MATCH(A948,'3.員工名單'!$A:$A,0))=INDEX('1.職能辭典'!$J:$J,MATCH(F948,'1.職能辭典'!$C:$C,0))),OR(INDEX('1.職能辭典'!$K:$K,MATCH(F948,'1.職能辭典'!$C:$C,0))="全部",SUMPRODUCT(ISNUMBER(SEARCH({"經營","管理","財務","企劃","營運","技術","數據","美術","測試","客服"},INDEX('3.員工名單'!$I:$I,MATCH(A948,'3.員工名單'!$A:$A,0))))*ISNUMBER(SEARCH({"經營","管理","財務","企劃","營運","技術","數據","美術","測試","客服"},INDEX('1.職能辭典'!$K:$K,MATCH(F948,'1.職能辭典'!$C:$C,0)))))&gt;0)),INDEX('2.職務職能需求'!$B$2:$F$28,MATCH(F948,'2.職務職能需求'!$A$2:$A$28,0),MATCH(D948,'2.職務職能需求'!$B$1:$F$1,0)),0),""))</f>
        <v/>
      </c>
      <c r="H948" s="94" t="n"/>
      <c r="I948" s="94" t="n"/>
      <c r="J948" s="120">
        <f>IF(OR(G948="",I948="",G948=0),"",I948-G948)</f>
        <v/>
      </c>
      <c r="K948" s="120">
        <f>IF(G948="","",IF(G948=0,"不適用",IF(I948="","待評核",IF(I948&gt;=G948,IF(I948&gt;G948,"超越","達標"),"待發展"))))</f>
        <v/>
      </c>
      <c r="L948" s="91" t="n"/>
      <c r="M948" s="91" t="n"/>
      <c r="N948" s="88" t="n"/>
    </row>
    <row r="949" ht="15.75" customHeight="1" s="64">
      <c r="A949" s="88" t="n"/>
      <c r="B949" s="120">
        <f t="array" ref="B949:B949">IF(A949="","",IFERROR(INDEX('3.員工名單'!$B:$B,MATCH(A949,'3.員工名單'!$A:$A,0)),"查無此員工"))</f>
        <v/>
      </c>
      <c r="C949" s="120">
        <f t="array" ref="C949:C949">IF(A949="","",IFERROR(INDEX('3.員工名單'!$C:$C,MATCH(A949,'3.員工名單'!$A:$A,0)),""))</f>
        <v/>
      </c>
      <c r="D949" s="120">
        <f t="array" ref="D949:D949">IF(A949="","",IFERROR(INDEX('3.員工名單'!$D:$D,MATCH(A949,'3.員工名單'!$A:$A,0)),""))</f>
        <v/>
      </c>
      <c r="E949" s="120">
        <f t="array" ref="E949:E949">IF(F949="","",IFERROR(INDEX('1.職能辭典'!$A:$A,MATCH(F949,'1.職能辭典'!$C:$C,0)),""))</f>
        <v/>
      </c>
      <c r="F949" s="94" t="n"/>
      <c r="G949" s="120">
        <f t="array" ref="G949:G949">IF(OR(D949="",F949=""),"",IFERROR(IF(AND(OR(INDEX('1.職能辭典'!$J:$J,MATCH(F949,'1.職能辭典'!$C:$C,0))="全部",INDEX('3.員工名單'!$H:$H,MATCH(A949,'3.員工名單'!$A:$A,0))="兩款共用",INDEX('3.員工名單'!$H:$H,MATCH(A949,'3.員工名單'!$A:$A,0))=INDEX('1.職能辭典'!$J:$J,MATCH(F949,'1.職能辭典'!$C:$C,0))),OR(INDEX('1.職能辭典'!$K:$K,MATCH(F949,'1.職能辭典'!$C:$C,0))="全部",SUMPRODUCT(ISNUMBER(SEARCH({"經營","管理","財務","企劃","營運","技術","數據","美術","測試","客服"},INDEX('3.員工名單'!$I:$I,MATCH(A949,'3.員工名單'!$A:$A,0))))*ISNUMBER(SEARCH({"經營","管理","財務","企劃","營運","技術","數據","美術","測試","客服"},INDEX('1.職能辭典'!$K:$K,MATCH(F949,'1.職能辭典'!$C:$C,0)))))&gt;0)),INDEX('2.職務職能需求'!$B$2:$F$28,MATCH(F949,'2.職務職能需求'!$A$2:$A$28,0),MATCH(D949,'2.職務職能需求'!$B$1:$F$1,0)),0),""))</f>
        <v/>
      </c>
      <c r="H949" s="94" t="n"/>
      <c r="I949" s="94" t="n"/>
      <c r="J949" s="120">
        <f>IF(OR(G949="",I949="",G949=0),"",I949-G949)</f>
        <v/>
      </c>
      <c r="K949" s="120">
        <f>IF(G949="","",IF(G949=0,"不適用",IF(I949="","待評核",IF(I949&gt;=G949,IF(I949&gt;G949,"超越","達標"),"待發展"))))</f>
        <v/>
      </c>
      <c r="L949" s="91" t="n"/>
      <c r="M949" s="91" t="n"/>
      <c r="N949" s="88" t="n"/>
    </row>
    <row r="950" ht="15.75" customHeight="1" s="64">
      <c r="A950" s="88" t="n"/>
      <c r="B950" s="120">
        <f t="array" ref="B950:B950">IF(A950="","",IFERROR(INDEX('3.員工名單'!$B:$B,MATCH(A950,'3.員工名單'!$A:$A,0)),"查無此員工"))</f>
        <v/>
      </c>
      <c r="C950" s="120">
        <f t="array" ref="C950:C950">IF(A950="","",IFERROR(INDEX('3.員工名單'!$C:$C,MATCH(A950,'3.員工名單'!$A:$A,0)),""))</f>
        <v/>
      </c>
      <c r="D950" s="120">
        <f t="array" ref="D950:D950">IF(A950="","",IFERROR(INDEX('3.員工名單'!$D:$D,MATCH(A950,'3.員工名單'!$A:$A,0)),""))</f>
        <v/>
      </c>
      <c r="E950" s="120">
        <f t="array" ref="E950:E950">IF(F950="","",IFERROR(INDEX('1.職能辭典'!$A:$A,MATCH(F950,'1.職能辭典'!$C:$C,0)),""))</f>
        <v/>
      </c>
      <c r="F950" s="94" t="n"/>
      <c r="G950" s="120">
        <f t="array" ref="G950:G950">IF(OR(D950="",F950=""),"",IFERROR(IF(AND(OR(INDEX('1.職能辭典'!$J:$J,MATCH(F950,'1.職能辭典'!$C:$C,0))="全部",INDEX('3.員工名單'!$H:$H,MATCH(A950,'3.員工名單'!$A:$A,0))="兩款共用",INDEX('3.員工名單'!$H:$H,MATCH(A950,'3.員工名單'!$A:$A,0))=INDEX('1.職能辭典'!$J:$J,MATCH(F950,'1.職能辭典'!$C:$C,0))),OR(INDEX('1.職能辭典'!$K:$K,MATCH(F950,'1.職能辭典'!$C:$C,0))="全部",SUMPRODUCT(ISNUMBER(SEARCH({"經營","管理","財務","企劃","營運","技術","數據","美術","測試","客服"},INDEX('3.員工名單'!$I:$I,MATCH(A950,'3.員工名單'!$A:$A,0))))*ISNUMBER(SEARCH({"經營","管理","財務","企劃","營運","技術","數據","美術","測試","客服"},INDEX('1.職能辭典'!$K:$K,MATCH(F950,'1.職能辭典'!$C:$C,0)))))&gt;0)),INDEX('2.職務職能需求'!$B$2:$F$28,MATCH(F950,'2.職務職能需求'!$A$2:$A$28,0),MATCH(D950,'2.職務職能需求'!$B$1:$F$1,0)),0),""))</f>
        <v/>
      </c>
      <c r="H950" s="94" t="n"/>
      <c r="I950" s="94" t="n"/>
      <c r="J950" s="120">
        <f>IF(OR(G950="",I950="",G950=0),"",I950-G950)</f>
        <v/>
      </c>
      <c r="K950" s="120">
        <f>IF(G950="","",IF(G950=0,"不適用",IF(I950="","待評核",IF(I950&gt;=G950,IF(I950&gt;G950,"超越","達標"),"待發展"))))</f>
        <v/>
      </c>
      <c r="L950" s="91" t="n"/>
      <c r="M950" s="91" t="n"/>
      <c r="N950" s="88" t="n"/>
    </row>
    <row r="951" ht="15.75" customHeight="1" s="64">
      <c r="A951" s="88" t="n"/>
      <c r="B951" s="120">
        <f t="array" ref="B951:B951">IF(A951="","",IFERROR(INDEX('3.員工名單'!$B:$B,MATCH(A951,'3.員工名單'!$A:$A,0)),"查無此員工"))</f>
        <v/>
      </c>
      <c r="C951" s="120">
        <f t="array" ref="C951:C951">IF(A951="","",IFERROR(INDEX('3.員工名單'!$C:$C,MATCH(A951,'3.員工名單'!$A:$A,0)),""))</f>
        <v/>
      </c>
      <c r="D951" s="120">
        <f t="array" ref="D951:D951">IF(A951="","",IFERROR(INDEX('3.員工名單'!$D:$D,MATCH(A951,'3.員工名單'!$A:$A,0)),""))</f>
        <v/>
      </c>
      <c r="E951" s="120">
        <f t="array" ref="E951:E951">IF(F951="","",IFERROR(INDEX('1.職能辭典'!$A:$A,MATCH(F951,'1.職能辭典'!$C:$C,0)),""))</f>
        <v/>
      </c>
      <c r="F951" s="94" t="n"/>
      <c r="G951" s="120">
        <f t="array" ref="G951:G951">IF(OR(D951="",F951=""),"",IFERROR(IF(AND(OR(INDEX('1.職能辭典'!$J:$J,MATCH(F951,'1.職能辭典'!$C:$C,0))="全部",INDEX('3.員工名單'!$H:$H,MATCH(A951,'3.員工名單'!$A:$A,0))="兩款共用",INDEX('3.員工名單'!$H:$H,MATCH(A951,'3.員工名單'!$A:$A,0))=INDEX('1.職能辭典'!$J:$J,MATCH(F951,'1.職能辭典'!$C:$C,0))),OR(INDEX('1.職能辭典'!$K:$K,MATCH(F951,'1.職能辭典'!$C:$C,0))="全部",SUMPRODUCT(ISNUMBER(SEARCH({"經營","管理","財務","企劃","營運","技術","數據","美術","測試","客服"},INDEX('3.員工名單'!$I:$I,MATCH(A951,'3.員工名單'!$A:$A,0))))*ISNUMBER(SEARCH({"經營","管理","財務","企劃","營運","技術","數據","美術","測試","客服"},INDEX('1.職能辭典'!$K:$K,MATCH(F951,'1.職能辭典'!$C:$C,0)))))&gt;0)),INDEX('2.職務職能需求'!$B$2:$F$28,MATCH(F951,'2.職務職能需求'!$A$2:$A$28,0),MATCH(D951,'2.職務職能需求'!$B$1:$F$1,0)),0),""))</f>
        <v/>
      </c>
      <c r="H951" s="94" t="n"/>
      <c r="I951" s="94" t="n"/>
      <c r="J951" s="120">
        <f>IF(OR(G951="",I951="",G951=0),"",I951-G951)</f>
        <v/>
      </c>
      <c r="K951" s="120">
        <f>IF(G951="","",IF(G951=0,"不適用",IF(I951="","待評核",IF(I951&gt;=G951,IF(I951&gt;G951,"超越","達標"),"待發展"))))</f>
        <v/>
      </c>
      <c r="L951" s="91" t="n"/>
      <c r="M951" s="91" t="n"/>
      <c r="N951" s="88" t="n"/>
    </row>
    <row r="952" ht="15.75" customHeight="1" s="64">
      <c r="A952" s="88" t="n"/>
      <c r="B952" s="120">
        <f t="array" ref="B952:B952">IF(A952="","",IFERROR(INDEX('3.員工名單'!$B:$B,MATCH(A952,'3.員工名單'!$A:$A,0)),"查無此員工"))</f>
        <v/>
      </c>
      <c r="C952" s="120">
        <f t="array" ref="C952:C952">IF(A952="","",IFERROR(INDEX('3.員工名單'!$C:$C,MATCH(A952,'3.員工名單'!$A:$A,0)),""))</f>
        <v/>
      </c>
      <c r="D952" s="120">
        <f t="array" ref="D952:D952">IF(A952="","",IFERROR(INDEX('3.員工名單'!$D:$D,MATCH(A952,'3.員工名單'!$A:$A,0)),""))</f>
        <v/>
      </c>
      <c r="E952" s="120">
        <f t="array" ref="E952:E952">IF(F952="","",IFERROR(INDEX('1.職能辭典'!$A:$A,MATCH(F952,'1.職能辭典'!$C:$C,0)),""))</f>
        <v/>
      </c>
      <c r="F952" s="94" t="n"/>
      <c r="G952" s="120">
        <f t="array" ref="G952:G952">IF(OR(D952="",F952=""),"",IFERROR(IF(AND(OR(INDEX('1.職能辭典'!$J:$J,MATCH(F952,'1.職能辭典'!$C:$C,0))="全部",INDEX('3.員工名單'!$H:$H,MATCH(A952,'3.員工名單'!$A:$A,0))="兩款共用",INDEX('3.員工名單'!$H:$H,MATCH(A952,'3.員工名單'!$A:$A,0))=INDEX('1.職能辭典'!$J:$J,MATCH(F952,'1.職能辭典'!$C:$C,0))),OR(INDEX('1.職能辭典'!$K:$K,MATCH(F952,'1.職能辭典'!$C:$C,0))="全部",SUMPRODUCT(ISNUMBER(SEARCH({"經營","管理","財務","企劃","營運","技術","數據","美術","測試","客服"},INDEX('3.員工名單'!$I:$I,MATCH(A952,'3.員工名單'!$A:$A,0))))*ISNUMBER(SEARCH({"經營","管理","財務","企劃","營運","技術","數據","美術","測試","客服"},INDEX('1.職能辭典'!$K:$K,MATCH(F952,'1.職能辭典'!$C:$C,0)))))&gt;0)),INDEX('2.職務職能需求'!$B$2:$F$28,MATCH(F952,'2.職務職能需求'!$A$2:$A$28,0),MATCH(D952,'2.職務職能需求'!$B$1:$F$1,0)),0),""))</f>
        <v/>
      </c>
      <c r="H952" s="94" t="n"/>
      <c r="I952" s="94" t="n"/>
      <c r="J952" s="120">
        <f>IF(OR(G952="",I952="",G952=0),"",I952-G952)</f>
        <v/>
      </c>
      <c r="K952" s="120">
        <f>IF(G952="","",IF(G952=0,"不適用",IF(I952="","待評核",IF(I952&gt;=G952,IF(I952&gt;G952,"超越","達標"),"待發展"))))</f>
        <v/>
      </c>
      <c r="L952" s="91" t="n"/>
      <c r="M952" s="91" t="n"/>
      <c r="N952" s="88" t="n"/>
    </row>
    <row r="953" ht="15.75" customHeight="1" s="64">
      <c r="A953" s="88" t="n"/>
      <c r="B953" s="120">
        <f t="array" ref="B953:B953">IF(A953="","",IFERROR(INDEX('3.員工名單'!$B:$B,MATCH(A953,'3.員工名單'!$A:$A,0)),"查無此員工"))</f>
        <v/>
      </c>
      <c r="C953" s="120">
        <f t="array" ref="C953:C953">IF(A953="","",IFERROR(INDEX('3.員工名單'!$C:$C,MATCH(A953,'3.員工名單'!$A:$A,0)),""))</f>
        <v/>
      </c>
      <c r="D953" s="120">
        <f t="array" ref="D953:D953">IF(A953="","",IFERROR(INDEX('3.員工名單'!$D:$D,MATCH(A953,'3.員工名單'!$A:$A,0)),""))</f>
        <v/>
      </c>
      <c r="E953" s="120">
        <f t="array" ref="E953:E953">IF(F953="","",IFERROR(INDEX('1.職能辭典'!$A:$A,MATCH(F953,'1.職能辭典'!$C:$C,0)),""))</f>
        <v/>
      </c>
      <c r="F953" s="94" t="n"/>
      <c r="G953" s="120">
        <f t="array" ref="G953:G953">IF(OR(D953="",F953=""),"",IFERROR(IF(AND(OR(INDEX('1.職能辭典'!$J:$J,MATCH(F953,'1.職能辭典'!$C:$C,0))="全部",INDEX('3.員工名單'!$H:$H,MATCH(A953,'3.員工名單'!$A:$A,0))="兩款共用",INDEX('3.員工名單'!$H:$H,MATCH(A953,'3.員工名單'!$A:$A,0))=INDEX('1.職能辭典'!$J:$J,MATCH(F953,'1.職能辭典'!$C:$C,0))),OR(INDEX('1.職能辭典'!$K:$K,MATCH(F953,'1.職能辭典'!$C:$C,0))="全部",SUMPRODUCT(ISNUMBER(SEARCH({"經營","管理","財務","企劃","營運","技術","數據","美術","測試","客服"},INDEX('3.員工名單'!$I:$I,MATCH(A953,'3.員工名單'!$A:$A,0))))*ISNUMBER(SEARCH({"經營","管理","財務","企劃","營運","技術","數據","美術","測試","客服"},INDEX('1.職能辭典'!$K:$K,MATCH(F953,'1.職能辭典'!$C:$C,0)))))&gt;0)),INDEX('2.職務職能需求'!$B$2:$F$28,MATCH(F953,'2.職務職能需求'!$A$2:$A$28,0),MATCH(D953,'2.職務職能需求'!$B$1:$F$1,0)),0),""))</f>
        <v/>
      </c>
      <c r="H953" s="94" t="n"/>
      <c r="I953" s="94" t="n"/>
      <c r="J953" s="120">
        <f>IF(OR(G953="",I953="",G953=0),"",I953-G953)</f>
        <v/>
      </c>
      <c r="K953" s="120">
        <f>IF(G953="","",IF(G953=0,"不適用",IF(I953="","待評核",IF(I953&gt;=G953,IF(I953&gt;G953,"超越","達標"),"待發展"))))</f>
        <v/>
      </c>
      <c r="L953" s="91" t="n"/>
      <c r="M953" s="91" t="n"/>
      <c r="N953" s="88" t="n"/>
    </row>
    <row r="954" ht="15.75" customHeight="1" s="64">
      <c r="A954" s="88" t="n"/>
      <c r="B954" s="120">
        <f t="array" ref="B954:B954">IF(A954="","",IFERROR(INDEX('3.員工名單'!$B:$B,MATCH(A954,'3.員工名單'!$A:$A,0)),"查無此員工"))</f>
        <v/>
      </c>
      <c r="C954" s="120">
        <f t="array" ref="C954:C954">IF(A954="","",IFERROR(INDEX('3.員工名單'!$C:$C,MATCH(A954,'3.員工名單'!$A:$A,0)),""))</f>
        <v/>
      </c>
      <c r="D954" s="120">
        <f t="array" ref="D954:D954">IF(A954="","",IFERROR(INDEX('3.員工名單'!$D:$D,MATCH(A954,'3.員工名單'!$A:$A,0)),""))</f>
        <v/>
      </c>
      <c r="E954" s="120">
        <f t="array" ref="E954:E954">IF(F954="","",IFERROR(INDEX('1.職能辭典'!$A:$A,MATCH(F954,'1.職能辭典'!$C:$C,0)),""))</f>
        <v/>
      </c>
      <c r="F954" s="94" t="n"/>
      <c r="G954" s="120">
        <f t="array" ref="G954:G954">IF(OR(D954="",F954=""),"",IFERROR(IF(AND(OR(INDEX('1.職能辭典'!$J:$J,MATCH(F954,'1.職能辭典'!$C:$C,0))="全部",INDEX('3.員工名單'!$H:$H,MATCH(A954,'3.員工名單'!$A:$A,0))="兩款共用",INDEX('3.員工名單'!$H:$H,MATCH(A954,'3.員工名單'!$A:$A,0))=INDEX('1.職能辭典'!$J:$J,MATCH(F954,'1.職能辭典'!$C:$C,0))),OR(INDEX('1.職能辭典'!$K:$K,MATCH(F954,'1.職能辭典'!$C:$C,0))="全部",SUMPRODUCT(ISNUMBER(SEARCH({"經營","管理","財務","企劃","營運","技術","數據","美術","測試","客服"},INDEX('3.員工名單'!$I:$I,MATCH(A954,'3.員工名單'!$A:$A,0))))*ISNUMBER(SEARCH({"經營","管理","財務","企劃","營運","技術","數據","美術","測試","客服"},INDEX('1.職能辭典'!$K:$K,MATCH(F954,'1.職能辭典'!$C:$C,0)))))&gt;0)),INDEX('2.職務職能需求'!$B$2:$F$28,MATCH(F954,'2.職務職能需求'!$A$2:$A$28,0),MATCH(D954,'2.職務職能需求'!$B$1:$F$1,0)),0),""))</f>
        <v/>
      </c>
      <c r="H954" s="94" t="n"/>
      <c r="I954" s="94" t="n"/>
      <c r="J954" s="120">
        <f>IF(OR(G954="",I954="",G954=0),"",I954-G954)</f>
        <v/>
      </c>
      <c r="K954" s="120">
        <f>IF(G954="","",IF(G954=0,"不適用",IF(I954="","待評核",IF(I954&gt;=G954,IF(I954&gt;G954,"超越","達標"),"待發展"))))</f>
        <v/>
      </c>
      <c r="L954" s="91" t="n"/>
      <c r="M954" s="91" t="n"/>
      <c r="N954" s="88" t="n"/>
    </row>
    <row r="955" ht="15.75" customHeight="1" s="64">
      <c r="A955" s="88" t="n"/>
      <c r="B955" s="120">
        <f t="array" ref="B955:B955">IF(A955="","",IFERROR(INDEX('3.員工名單'!$B:$B,MATCH(A955,'3.員工名單'!$A:$A,0)),"查無此員工"))</f>
        <v/>
      </c>
      <c r="C955" s="120">
        <f t="array" ref="C955:C955">IF(A955="","",IFERROR(INDEX('3.員工名單'!$C:$C,MATCH(A955,'3.員工名單'!$A:$A,0)),""))</f>
        <v/>
      </c>
      <c r="D955" s="120">
        <f t="array" ref="D955:D955">IF(A955="","",IFERROR(INDEX('3.員工名單'!$D:$D,MATCH(A955,'3.員工名單'!$A:$A,0)),""))</f>
        <v/>
      </c>
      <c r="E955" s="120">
        <f t="array" ref="E955:E955">IF(F955="","",IFERROR(INDEX('1.職能辭典'!$A:$A,MATCH(F955,'1.職能辭典'!$C:$C,0)),""))</f>
        <v/>
      </c>
      <c r="F955" s="94" t="n"/>
      <c r="G955" s="120">
        <f t="array" ref="G955:G955">IF(OR(D955="",F955=""),"",IFERROR(IF(AND(OR(INDEX('1.職能辭典'!$J:$J,MATCH(F955,'1.職能辭典'!$C:$C,0))="全部",INDEX('3.員工名單'!$H:$H,MATCH(A955,'3.員工名單'!$A:$A,0))="兩款共用",INDEX('3.員工名單'!$H:$H,MATCH(A955,'3.員工名單'!$A:$A,0))=INDEX('1.職能辭典'!$J:$J,MATCH(F955,'1.職能辭典'!$C:$C,0))),OR(INDEX('1.職能辭典'!$K:$K,MATCH(F955,'1.職能辭典'!$C:$C,0))="全部",SUMPRODUCT(ISNUMBER(SEARCH({"經營","管理","財務","企劃","營運","技術","數據","美術","測試","客服"},INDEX('3.員工名單'!$I:$I,MATCH(A955,'3.員工名單'!$A:$A,0))))*ISNUMBER(SEARCH({"經營","管理","財務","企劃","營運","技術","數據","美術","測試","客服"},INDEX('1.職能辭典'!$K:$K,MATCH(F955,'1.職能辭典'!$C:$C,0)))))&gt;0)),INDEX('2.職務職能需求'!$B$2:$F$28,MATCH(F955,'2.職務職能需求'!$A$2:$A$28,0),MATCH(D955,'2.職務職能需求'!$B$1:$F$1,0)),0),""))</f>
        <v/>
      </c>
      <c r="H955" s="94" t="n"/>
      <c r="I955" s="94" t="n"/>
      <c r="J955" s="120">
        <f>IF(OR(G955="",I955="",G955=0),"",I955-G955)</f>
        <v/>
      </c>
      <c r="K955" s="120">
        <f>IF(G955="","",IF(G955=0,"不適用",IF(I955="","待評核",IF(I955&gt;=G955,IF(I955&gt;G955,"超越","達標"),"待發展"))))</f>
        <v/>
      </c>
      <c r="L955" s="91" t="n"/>
      <c r="M955" s="91" t="n"/>
      <c r="N955" s="88" t="n"/>
    </row>
    <row r="956" ht="15.75" customHeight="1" s="64">
      <c r="A956" s="88" t="n"/>
      <c r="B956" s="120">
        <f t="array" ref="B956:B956">IF(A956="","",IFERROR(INDEX('3.員工名單'!$B:$B,MATCH(A956,'3.員工名單'!$A:$A,0)),"查無此員工"))</f>
        <v/>
      </c>
      <c r="C956" s="120">
        <f t="array" ref="C956:C956">IF(A956="","",IFERROR(INDEX('3.員工名單'!$C:$C,MATCH(A956,'3.員工名單'!$A:$A,0)),""))</f>
        <v/>
      </c>
      <c r="D956" s="120">
        <f t="array" ref="D956:D956">IF(A956="","",IFERROR(INDEX('3.員工名單'!$D:$D,MATCH(A956,'3.員工名單'!$A:$A,0)),""))</f>
        <v/>
      </c>
      <c r="E956" s="120">
        <f t="array" ref="E956:E956">IF(F956="","",IFERROR(INDEX('1.職能辭典'!$A:$A,MATCH(F956,'1.職能辭典'!$C:$C,0)),""))</f>
        <v/>
      </c>
      <c r="F956" s="94" t="n"/>
      <c r="G956" s="120">
        <f t="array" ref="G956:G956">IF(OR(D956="",F956=""),"",IFERROR(IF(AND(OR(INDEX('1.職能辭典'!$J:$J,MATCH(F956,'1.職能辭典'!$C:$C,0))="全部",INDEX('3.員工名單'!$H:$H,MATCH(A956,'3.員工名單'!$A:$A,0))="兩款共用",INDEX('3.員工名單'!$H:$H,MATCH(A956,'3.員工名單'!$A:$A,0))=INDEX('1.職能辭典'!$J:$J,MATCH(F956,'1.職能辭典'!$C:$C,0))),OR(INDEX('1.職能辭典'!$K:$K,MATCH(F956,'1.職能辭典'!$C:$C,0))="全部",SUMPRODUCT(ISNUMBER(SEARCH({"經營","管理","財務","企劃","營運","技術","數據","美術","測試","客服"},INDEX('3.員工名單'!$I:$I,MATCH(A956,'3.員工名單'!$A:$A,0))))*ISNUMBER(SEARCH({"經營","管理","財務","企劃","營運","技術","數據","美術","測試","客服"},INDEX('1.職能辭典'!$K:$K,MATCH(F956,'1.職能辭典'!$C:$C,0)))))&gt;0)),INDEX('2.職務職能需求'!$B$2:$F$28,MATCH(F956,'2.職務職能需求'!$A$2:$A$28,0),MATCH(D956,'2.職務職能需求'!$B$1:$F$1,0)),0),""))</f>
        <v/>
      </c>
      <c r="H956" s="94" t="n"/>
      <c r="I956" s="94" t="n"/>
      <c r="J956" s="120">
        <f>IF(OR(G956="",I956="",G956=0),"",I956-G956)</f>
        <v/>
      </c>
      <c r="K956" s="120">
        <f>IF(G956="","",IF(G956=0,"不適用",IF(I956="","待評核",IF(I956&gt;=G956,IF(I956&gt;G956,"超越","達標"),"待發展"))))</f>
        <v/>
      </c>
      <c r="L956" s="91" t="n"/>
      <c r="M956" s="91" t="n"/>
      <c r="N956" s="88" t="n"/>
    </row>
    <row r="957" ht="15.75" customHeight="1" s="64">
      <c r="A957" s="88" t="n"/>
      <c r="B957" s="120">
        <f t="array" ref="B957:B957">IF(A957="","",IFERROR(INDEX('3.員工名單'!$B:$B,MATCH(A957,'3.員工名單'!$A:$A,0)),"查無此員工"))</f>
        <v/>
      </c>
      <c r="C957" s="120">
        <f t="array" ref="C957:C957">IF(A957="","",IFERROR(INDEX('3.員工名單'!$C:$C,MATCH(A957,'3.員工名單'!$A:$A,0)),""))</f>
        <v/>
      </c>
      <c r="D957" s="120">
        <f t="array" ref="D957:D957">IF(A957="","",IFERROR(INDEX('3.員工名單'!$D:$D,MATCH(A957,'3.員工名單'!$A:$A,0)),""))</f>
        <v/>
      </c>
      <c r="E957" s="120">
        <f t="array" ref="E957:E957">IF(F957="","",IFERROR(INDEX('1.職能辭典'!$A:$A,MATCH(F957,'1.職能辭典'!$C:$C,0)),""))</f>
        <v/>
      </c>
      <c r="F957" s="94" t="n"/>
      <c r="G957" s="120">
        <f t="array" ref="G957:G957">IF(OR(D957="",F957=""),"",IFERROR(IF(AND(OR(INDEX('1.職能辭典'!$J:$J,MATCH(F957,'1.職能辭典'!$C:$C,0))="全部",INDEX('3.員工名單'!$H:$H,MATCH(A957,'3.員工名單'!$A:$A,0))="兩款共用",INDEX('3.員工名單'!$H:$H,MATCH(A957,'3.員工名單'!$A:$A,0))=INDEX('1.職能辭典'!$J:$J,MATCH(F957,'1.職能辭典'!$C:$C,0))),OR(INDEX('1.職能辭典'!$K:$K,MATCH(F957,'1.職能辭典'!$C:$C,0))="全部",SUMPRODUCT(ISNUMBER(SEARCH({"經營","管理","財務","企劃","營運","技術","數據","美術","測試","客服"},INDEX('3.員工名單'!$I:$I,MATCH(A957,'3.員工名單'!$A:$A,0))))*ISNUMBER(SEARCH({"經營","管理","財務","企劃","營運","技術","數據","美術","測試","客服"},INDEX('1.職能辭典'!$K:$K,MATCH(F957,'1.職能辭典'!$C:$C,0)))))&gt;0)),INDEX('2.職務職能需求'!$B$2:$F$28,MATCH(F957,'2.職務職能需求'!$A$2:$A$28,0),MATCH(D957,'2.職務職能需求'!$B$1:$F$1,0)),0),""))</f>
        <v/>
      </c>
      <c r="H957" s="94" t="n"/>
      <c r="I957" s="94" t="n"/>
      <c r="J957" s="120">
        <f>IF(OR(G957="",I957="",G957=0),"",I957-G957)</f>
        <v/>
      </c>
      <c r="K957" s="120">
        <f>IF(G957="","",IF(G957=0,"不適用",IF(I957="","待評核",IF(I957&gt;=G957,IF(I957&gt;G957,"超越","達標"),"待發展"))))</f>
        <v/>
      </c>
      <c r="L957" s="91" t="n"/>
      <c r="M957" s="91" t="n"/>
      <c r="N957" s="88" t="n"/>
    </row>
    <row r="958" ht="15.75" customHeight="1" s="64">
      <c r="A958" s="88" t="n"/>
      <c r="B958" s="120">
        <f t="array" ref="B958:B958">IF(A958="","",IFERROR(INDEX('3.員工名單'!$B:$B,MATCH(A958,'3.員工名單'!$A:$A,0)),"查無此員工"))</f>
        <v/>
      </c>
      <c r="C958" s="120">
        <f t="array" ref="C958:C958">IF(A958="","",IFERROR(INDEX('3.員工名單'!$C:$C,MATCH(A958,'3.員工名單'!$A:$A,0)),""))</f>
        <v/>
      </c>
      <c r="D958" s="120">
        <f t="array" ref="D958:D958">IF(A958="","",IFERROR(INDEX('3.員工名單'!$D:$D,MATCH(A958,'3.員工名單'!$A:$A,0)),""))</f>
        <v/>
      </c>
      <c r="E958" s="120">
        <f t="array" ref="E958:E958">IF(F958="","",IFERROR(INDEX('1.職能辭典'!$A:$A,MATCH(F958,'1.職能辭典'!$C:$C,0)),""))</f>
        <v/>
      </c>
      <c r="F958" s="94" t="n"/>
      <c r="G958" s="120">
        <f t="array" ref="G958:G958">IF(OR(D958="",F958=""),"",IFERROR(IF(AND(OR(INDEX('1.職能辭典'!$J:$J,MATCH(F958,'1.職能辭典'!$C:$C,0))="全部",INDEX('3.員工名單'!$H:$H,MATCH(A958,'3.員工名單'!$A:$A,0))="兩款共用",INDEX('3.員工名單'!$H:$H,MATCH(A958,'3.員工名單'!$A:$A,0))=INDEX('1.職能辭典'!$J:$J,MATCH(F958,'1.職能辭典'!$C:$C,0))),OR(INDEX('1.職能辭典'!$K:$K,MATCH(F958,'1.職能辭典'!$C:$C,0))="全部",SUMPRODUCT(ISNUMBER(SEARCH({"經營","管理","財務","企劃","營運","技術","數據","美術","測試","客服"},INDEX('3.員工名單'!$I:$I,MATCH(A958,'3.員工名單'!$A:$A,0))))*ISNUMBER(SEARCH({"經營","管理","財務","企劃","營運","技術","數據","美術","測試","客服"},INDEX('1.職能辭典'!$K:$K,MATCH(F958,'1.職能辭典'!$C:$C,0)))))&gt;0)),INDEX('2.職務職能需求'!$B$2:$F$28,MATCH(F958,'2.職務職能需求'!$A$2:$A$28,0),MATCH(D958,'2.職務職能需求'!$B$1:$F$1,0)),0),""))</f>
        <v/>
      </c>
      <c r="H958" s="94" t="n"/>
      <c r="I958" s="94" t="n"/>
      <c r="J958" s="120">
        <f>IF(OR(G958="",I958="",G958=0),"",I958-G958)</f>
        <v/>
      </c>
      <c r="K958" s="120">
        <f>IF(G958="","",IF(G958=0,"不適用",IF(I958="","待評核",IF(I958&gt;=G958,IF(I958&gt;G958,"超越","達標"),"待發展"))))</f>
        <v/>
      </c>
      <c r="L958" s="91" t="n"/>
      <c r="M958" s="91" t="n"/>
      <c r="N958" s="88" t="n"/>
    </row>
    <row r="959" ht="15.75" customHeight="1" s="64">
      <c r="A959" s="88" t="n"/>
      <c r="B959" s="120">
        <f t="array" ref="B959:B959">IF(A959="","",IFERROR(INDEX('3.員工名單'!$B:$B,MATCH(A959,'3.員工名單'!$A:$A,0)),"查無此員工"))</f>
        <v/>
      </c>
      <c r="C959" s="120">
        <f t="array" ref="C959:C959">IF(A959="","",IFERROR(INDEX('3.員工名單'!$C:$C,MATCH(A959,'3.員工名單'!$A:$A,0)),""))</f>
        <v/>
      </c>
      <c r="D959" s="120">
        <f t="array" ref="D959:D959">IF(A959="","",IFERROR(INDEX('3.員工名單'!$D:$D,MATCH(A959,'3.員工名單'!$A:$A,0)),""))</f>
        <v/>
      </c>
      <c r="E959" s="120">
        <f t="array" ref="E959:E959">IF(F959="","",IFERROR(INDEX('1.職能辭典'!$A:$A,MATCH(F959,'1.職能辭典'!$C:$C,0)),""))</f>
        <v/>
      </c>
      <c r="F959" s="94" t="n"/>
      <c r="G959" s="120">
        <f t="array" ref="G959:G959">IF(OR(D959="",F959=""),"",IFERROR(IF(AND(OR(INDEX('1.職能辭典'!$J:$J,MATCH(F959,'1.職能辭典'!$C:$C,0))="全部",INDEX('3.員工名單'!$H:$H,MATCH(A959,'3.員工名單'!$A:$A,0))="兩款共用",INDEX('3.員工名單'!$H:$H,MATCH(A959,'3.員工名單'!$A:$A,0))=INDEX('1.職能辭典'!$J:$J,MATCH(F959,'1.職能辭典'!$C:$C,0))),OR(INDEX('1.職能辭典'!$K:$K,MATCH(F959,'1.職能辭典'!$C:$C,0))="全部",SUMPRODUCT(ISNUMBER(SEARCH({"經營","管理","財務","企劃","營運","技術","數據","美術","測試","客服"},INDEX('3.員工名單'!$I:$I,MATCH(A959,'3.員工名單'!$A:$A,0))))*ISNUMBER(SEARCH({"經營","管理","財務","企劃","營運","技術","數據","美術","測試","客服"},INDEX('1.職能辭典'!$K:$K,MATCH(F959,'1.職能辭典'!$C:$C,0)))))&gt;0)),INDEX('2.職務職能需求'!$B$2:$F$28,MATCH(F959,'2.職務職能需求'!$A$2:$A$28,0),MATCH(D959,'2.職務職能需求'!$B$1:$F$1,0)),0),""))</f>
        <v/>
      </c>
      <c r="H959" s="94" t="n"/>
      <c r="I959" s="94" t="n"/>
      <c r="J959" s="120">
        <f>IF(OR(G959="",I959="",G959=0),"",I959-G959)</f>
        <v/>
      </c>
      <c r="K959" s="120">
        <f>IF(G959="","",IF(G959=0,"不適用",IF(I959="","待評核",IF(I959&gt;=G959,IF(I959&gt;G959,"超越","達標"),"待發展"))))</f>
        <v/>
      </c>
      <c r="L959" s="91" t="n"/>
      <c r="M959" s="91" t="n"/>
      <c r="N959" s="88" t="n"/>
    </row>
    <row r="960" ht="15.75" customHeight="1" s="64">
      <c r="A960" s="88" t="n"/>
      <c r="B960" s="120">
        <f t="array" ref="B960:B960">IF(A960="","",IFERROR(INDEX('3.員工名單'!$B:$B,MATCH(A960,'3.員工名單'!$A:$A,0)),"查無此員工"))</f>
        <v/>
      </c>
      <c r="C960" s="120">
        <f t="array" ref="C960:C960">IF(A960="","",IFERROR(INDEX('3.員工名單'!$C:$C,MATCH(A960,'3.員工名單'!$A:$A,0)),""))</f>
        <v/>
      </c>
      <c r="D960" s="120">
        <f t="array" ref="D960:D960">IF(A960="","",IFERROR(INDEX('3.員工名單'!$D:$D,MATCH(A960,'3.員工名單'!$A:$A,0)),""))</f>
        <v/>
      </c>
      <c r="E960" s="120">
        <f t="array" ref="E960:E960">IF(F960="","",IFERROR(INDEX('1.職能辭典'!$A:$A,MATCH(F960,'1.職能辭典'!$C:$C,0)),""))</f>
        <v/>
      </c>
      <c r="F960" s="94" t="n"/>
      <c r="G960" s="120">
        <f t="array" ref="G960:G960">IF(OR(D960="",F960=""),"",IFERROR(IF(AND(OR(INDEX('1.職能辭典'!$J:$J,MATCH(F960,'1.職能辭典'!$C:$C,0))="全部",INDEX('3.員工名單'!$H:$H,MATCH(A960,'3.員工名單'!$A:$A,0))="兩款共用",INDEX('3.員工名單'!$H:$H,MATCH(A960,'3.員工名單'!$A:$A,0))=INDEX('1.職能辭典'!$J:$J,MATCH(F960,'1.職能辭典'!$C:$C,0))),OR(INDEX('1.職能辭典'!$K:$K,MATCH(F960,'1.職能辭典'!$C:$C,0))="全部",SUMPRODUCT(ISNUMBER(SEARCH({"經營","管理","財務","企劃","營運","技術","數據","美術","測試","客服"},INDEX('3.員工名單'!$I:$I,MATCH(A960,'3.員工名單'!$A:$A,0))))*ISNUMBER(SEARCH({"經營","管理","財務","企劃","營運","技術","數據","美術","測試","客服"},INDEX('1.職能辭典'!$K:$K,MATCH(F960,'1.職能辭典'!$C:$C,0)))))&gt;0)),INDEX('2.職務職能需求'!$B$2:$F$28,MATCH(F960,'2.職務職能需求'!$A$2:$A$28,0),MATCH(D960,'2.職務職能需求'!$B$1:$F$1,0)),0),""))</f>
        <v/>
      </c>
      <c r="H960" s="94" t="n"/>
      <c r="I960" s="94" t="n"/>
      <c r="J960" s="120">
        <f>IF(OR(G960="",I960="",G960=0),"",I960-G960)</f>
        <v/>
      </c>
      <c r="K960" s="120">
        <f>IF(G960="","",IF(G960=0,"不適用",IF(I960="","待評核",IF(I960&gt;=G960,IF(I960&gt;G960,"超越","達標"),"待發展"))))</f>
        <v/>
      </c>
      <c r="L960" s="91" t="n"/>
      <c r="M960" s="91" t="n"/>
      <c r="N960" s="88" t="n"/>
    </row>
    <row r="961" ht="15.75" customHeight="1" s="64">
      <c r="A961" s="88" t="n"/>
      <c r="B961" s="120">
        <f t="array" ref="B961:B961">IF(A961="","",IFERROR(INDEX('3.員工名單'!$B:$B,MATCH(A961,'3.員工名單'!$A:$A,0)),"查無此員工"))</f>
        <v/>
      </c>
      <c r="C961" s="120">
        <f t="array" ref="C961:C961">IF(A961="","",IFERROR(INDEX('3.員工名單'!$C:$C,MATCH(A961,'3.員工名單'!$A:$A,0)),""))</f>
        <v/>
      </c>
      <c r="D961" s="120">
        <f t="array" ref="D961:D961">IF(A961="","",IFERROR(INDEX('3.員工名單'!$D:$D,MATCH(A961,'3.員工名單'!$A:$A,0)),""))</f>
        <v/>
      </c>
      <c r="E961" s="120">
        <f t="array" ref="E961:E961">IF(F961="","",IFERROR(INDEX('1.職能辭典'!$A:$A,MATCH(F961,'1.職能辭典'!$C:$C,0)),""))</f>
        <v/>
      </c>
      <c r="F961" s="94" t="n"/>
      <c r="G961" s="120">
        <f t="array" ref="G961:G961">IF(OR(D961="",F961=""),"",IFERROR(IF(AND(OR(INDEX('1.職能辭典'!$J:$J,MATCH(F961,'1.職能辭典'!$C:$C,0))="全部",INDEX('3.員工名單'!$H:$H,MATCH(A961,'3.員工名單'!$A:$A,0))="兩款共用",INDEX('3.員工名單'!$H:$H,MATCH(A961,'3.員工名單'!$A:$A,0))=INDEX('1.職能辭典'!$J:$J,MATCH(F961,'1.職能辭典'!$C:$C,0))),OR(INDEX('1.職能辭典'!$K:$K,MATCH(F961,'1.職能辭典'!$C:$C,0))="全部",SUMPRODUCT(ISNUMBER(SEARCH({"經營","管理","財務","企劃","營運","技術","數據","美術","測試","客服"},INDEX('3.員工名單'!$I:$I,MATCH(A961,'3.員工名單'!$A:$A,0))))*ISNUMBER(SEARCH({"經營","管理","財務","企劃","營運","技術","數據","美術","測試","客服"},INDEX('1.職能辭典'!$K:$K,MATCH(F961,'1.職能辭典'!$C:$C,0)))))&gt;0)),INDEX('2.職務職能需求'!$B$2:$F$28,MATCH(F961,'2.職務職能需求'!$A$2:$A$28,0),MATCH(D961,'2.職務職能需求'!$B$1:$F$1,0)),0),""))</f>
        <v/>
      </c>
      <c r="H961" s="94" t="n"/>
      <c r="I961" s="94" t="n"/>
      <c r="J961" s="120">
        <f>IF(OR(G961="",I961="",G961=0),"",I961-G961)</f>
        <v/>
      </c>
      <c r="K961" s="120">
        <f>IF(G961="","",IF(G961=0,"不適用",IF(I961="","待評核",IF(I961&gt;=G961,IF(I961&gt;G961,"超越","達標"),"待發展"))))</f>
        <v/>
      </c>
      <c r="L961" s="91" t="n"/>
      <c r="M961" s="91" t="n"/>
      <c r="N961" s="88" t="n"/>
    </row>
    <row r="962" ht="15.75" customHeight="1" s="64">
      <c r="A962" s="88" t="n"/>
      <c r="B962" s="120">
        <f t="array" ref="B962:B962">IF(A962="","",IFERROR(INDEX('3.員工名單'!$B:$B,MATCH(A962,'3.員工名單'!$A:$A,0)),"查無此員工"))</f>
        <v/>
      </c>
      <c r="C962" s="120">
        <f t="array" ref="C962:C962">IF(A962="","",IFERROR(INDEX('3.員工名單'!$C:$C,MATCH(A962,'3.員工名單'!$A:$A,0)),""))</f>
        <v/>
      </c>
      <c r="D962" s="120">
        <f t="array" ref="D962:D962">IF(A962="","",IFERROR(INDEX('3.員工名單'!$D:$D,MATCH(A962,'3.員工名單'!$A:$A,0)),""))</f>
        <v/>
      </c>
      <c r="E962" s="120">
        <f t="array" ref="E962:E962">IF(F962="","",IFERROR(INDEX('1.職能辭典'!$A:$A,MATCH(F962,'1.職能辭典'!$C:$C,0)),""))</f>
        <v/>
      </c>
      <c r="F962" s="94" t="n"/>
      <c r="G962" s="120">
        <f t="array" ref="G962:G962">IF(OR(D962="",F962=""),"",IFERROR(IF(AND(OR(INDEX('1.職能辭典'!$J:$J,MATCH(F962,'1.職能辭典'!$C:$C,0))="全部",INDEX('3.員工名單'!$H:$H,MATCH(A962,'3.員工名單'!$A:$A,0))="兩款共用",INDEX('3.員工名單'!$H:$H,MATCH(A962,'3.員工名單'!$A:$A,0))=INDEX('1.職能辭典'!$J:$J,MATCH(F962,'1.職能辭典'!$C:$C,0))),OR(INDEX('1.職能辭典'!$K:$K,MATCH(F962,'1.職能辭典'!$C:$C,0))="全部",SUMPRODUCT(ISNUMBER(SEARCH({"經營","管理","財務","企劃","營運","技術","數據","美術","測試","客服"},INDEX('3.員工名單'!$I:$I,MATCH(A962,'3.員工名單'!$A:$A,0))))*ISNUMBER(SEARCH({"經營","管理","財務","企劃","營運","技術","數據","美術","測試","客服"},INDEX('1.職能辭典'!$K:$K,MATCH(F962,'1.職能辭典'!$C:$C,0)))))&gt;0)),INDEX('2.職務職能需求'!$B$2:$F$28,MATCH(F962,'2.職務職能需求'!$A$2:$A$28,0),MATCH(D962,'2.職務職能需求'!$B$1:$F$1,0)),0),""))</f>
        <v/>
      </c>
      <c r="H962" s="94" t="n"/>
      <c r="I962" s="94" t="n"/>
      <c r="J962" s="120">
        <f>IF(OR(G962="",I962="",G962=0),"",I962-G962)</f>
        <v/>
      </c>
      <c r="K962" s="120">
        <f>IF(G962="","",IF(G962=0,"不適用",IF(I962="","待評核",IF(I962&gt;=G962,IF(I962&gt;G962,"超越","達標"),"待發展"))))</f>
        <v/>
      </c>
      <c r="L962" s="91" t="n"/>
      <c r="M962" s="91" t="n"/>
      <c r="N962" s="88" t="n"/>
    </row>
    <row r="963" ht="15.75" customHeight="1" s="64">
      <c r="A963" s="88" t="n"/>
      <c r="B963" s="120">
        <f t="array" ref="B963:B963">IF(A963="","",IFERROR(INDEX('3.員工名單'!$B:$B,MATCH(A963,'3.員工名單'!$A:$A,0)),"查無此員工"))</f>
        <v/>
      </c>
      <c r="C963" s="120">
        <f t="array" ref="C963:C963">IF(A963="","",IFERROR(INDEX('3.員工名單'!$C:$C,MATCH(A963,'3.員工名單'!$A:$A,0)),""))</f>
        <v/>
      </c>
      <c r="D963" s="120">
        <f t="array" ref="D963:D963">IF(A963="","",IFERROR(INDEX('3.員工名單'!$D:$D,MATCH(A963,'3.員工名單'!$A:$A,0)),""))</f>
        <v/>
      </c>
      <c r="E963" s="120">
        <f t="array" ref="E963:E963">IF(F963="","",IFERROR(INDEX('1.職能辭典'!$A:$A,MATCH(F963,'1.職能辭典'!$C:$C,0)),""))</f>
        <v/>
      </c>
      <c r="F963" s="94" t="n"/>
      <c r="G963" s="120">
        <f t="array" ref="G963:G963">IF(OR(D963="",F963=""),"",IFERROR(IF(AND(OR(INDEX('1.職能辭典'!$J:$J,MATCH(F963,'1.職能辭典'!$C:$C,0))="全部",INDEX('3.員工名單'!$H:$H,MATCH(A963,'3.員工名單'!$A:$A,0))="兩款共用",INDEX('3.員工名單'!$H:$H,MATCH(A963,'3.員工名單'!$A:$A,0))=INDEX('1.職能辭典'!$J:$J,MATCH(F963,'1.職能辭典'!$C:$C,0))),OR(INDEX('1.職能辭典'!$K:$K,MATCH(F963,'1.職能辭典'!$C:$C,0))="全部",SUMPRODUCT(ISNUMBER(SEARCH({"經營","管理","財務","企劃","營運","技術","數據","美術","測試","客服"},INDEX('3.員工名單'!$I:$I,MATCH(A963,'3.員工名單'!$A:$A,0))))*ISNUMBER(SEARCH({"經營","管理","財務","企劃","營運","技術","數據","美術","測試","客服"},INDEX('1.職能辭典'!$K:$K,MATCH(F963,'1.職能辭典'!$C:$C,0)))))&gt;0)),INDEX('2.職務職能需求'!$B$2:$F$28,MATCH(F963,'2.職務職能需求'!$A$2:$A$28,0),MATCH(D963,'2.職務職能需求'!$B$1:$F$1,0)),0),""))</f>
        <v/>
      </c>
      <c r="H963" s="94" t="n"/>
      <c r="I963" s="94" t="n"/>
      <c r="J963" s="120">
        <f>IF(OR(G963="",I963="",G963=0),"",I963-G963)</f>
        <v/>
      </c>
      <c r="K963" s="120">
        <f>IF(G963="","",IF(G963=0,"不適用",IF(I963="","待評核",IF(I963&gt;=G963,IF(I963&gt;G963,"超越","達標"),"待發展"))))</f>
        <v/>
      </c>
      <c r="L963" s="91" t="n"/>
      <c r="M963" s="91" t="n"/>
      <c r="N963" s="88" t="n"/>
    </row>
    <row r="964" ht="15.75" customHeight="1" s="64">
      <c r="A964" s="88" t="n"/>
      <c r="B964" s="120">
        <f t="array" ref="B964:B964">IF(A964="","",IFERROR(INDEX('3.員工名單'!$B:$B,MATCH(A964,'3.員工名單'!$A:$A,0)),"查無此員工"))</f>
        <v/>
      </c>
      <c r="C964" s="120">
        <f t="array" ref="C964:C964">IF(A964="","",IFERROR(INDEX('3.員工名單'!$C:$C,MATCH(A964,'3.員工名單'!$A:$A,0)),""))</f>
        <v/>
      </c>
      <c r="D964" s="120">
        <f t="array" ref="D964:D964">IF(A964="","",IFERROR(INDEX('3.員工名單'!$D:$D,MATCH(A964,'3.員工名單'!$A:$A,0)),""))</f>
        <v/>
      </c>
      <c r="E964" s="120">
        <f t="array" ref="E964:E964">IF(F964="","",IFERROR(INDEX('1.職能辭典'!$A:$A,MATCH(F964,'1.職能辭典'!$C:$C,0)),""))</f>
        <v/>
      </c>
      <c r="F964" s="94" t="n"/>
      <c r="G964" s="120">
        <f t="array" ref="G964:G964">IF(OR(D964="",F964=""),"",IFERROR(IF(AND(OR(INDEX('1.職能辭典'!$J:$J,MATCH(F964,'1.職能辭典'!$C:$C,0))="全部",INDEX('3.員工名單'!$H:$H,MATCH(A964,'3.員工名單'!$A:$A,0))="兩款共用",INDEX('3.員工名單'!$H:$H,MATCH(A964,'3.員工名單'!$A:$A,0))=INDEX('1.職能辭典'!$J:$J,MATCH(F964,'1.職能辭典'!$C:$C,0))),OR(INDEX('1.職能辭典'!$K:$K,MATCH(F964,'1.職能辭典'!$C:$C,0))="全部",SUMPRODUCT(ISNUMBER(SEARCH({"經營","管理","財務","企劃","營運","技術","數據","美術","測試","客服"},INDEX('3.員工名單'!$I:$I,MATCH(A964,'3.員工名單'!$A:$A,0))))*ISNUMBER(SEARCH({"經營","管理","財務","企劃","營運","技術","數據","美術","測試","客服"},INDEX('1.職能辭典'!$K:$K,MATCH(F964,'1.職能辭典'!$C:$C,0)))))&gt;0)),INDEX('2.職務職能需求'!$B$2:$F$28,MATCH(F964,'2.職務職能需求'!$A$2:$A$28,0),MATCH(D964,'2.職務職能需求'!$B$1:$F$1,0)),0),""))</f>
        <v/>
      </c>
      <c r="H964" s="94" t="n"/>
      <c r="I964" s="94" t="n"/>
      <c r="J964" s="120">
        <f>IF(OR(G964="",I964="",G964=0),"",I964-G964)</f>
        <v/>
      </c>
      <c r="K964" s="120">
        <f>IF(G964="","",IF(G964=0,"不適用",IF(I964="","待評核",IF(I964&gt;=G964,IF(I964&gt;G964,"超越","達標"),"待發展"))))</f>
        <v/>
      </c>
      <c r="L964" s="91" t="n"/>
      <c r="M964" s="91" t="n"/>
      <c r="N964" s="88" t="n"/>
    </row>
    <row r="965" ht="15.75" customHeight="1" s="64">
      <c r="A965" s="88" t="n"/>
      <c r="B965" s="120">
        <f t="array" ref="B965:B965">IF(A965="","",IFERROR(INDEX('3.員工名單'!$B:$B,MATCH(A965,'3.員工名單'!$A:$A,0)),"查無此員工"))</f>
        <v/>
      </c>
      <c r="C965" s="120">
        <f t="array" ref="C965:C965">IF(A965="","",IFERROR(INDEX('3.員工名單'!$C:$C,MATCH(A965,'3.員工名單'!$A:$A,0)),""))</f>
        <v/>
      </c>
      <c r="D965" s="120">
        <f t="array" ref="D965:D965">IF(A965="","",IFERROR(INDEX('3.員工名單'!$D:$D,MATCH(A965,'3.員工名單'!$A:$A,0)),""))</f>
        <v/>
      </c>
      <c r="E965" s="120">
        <f t="array" ref="E965:E965">IF(F965="","",IFERROR(INDEX('1.職能辭典'!$A:$A,MATCH(F965,'1.職能辭典'!$C:$C,0)),""))</f>
        <v/>
      </c>
      <c r="F965" s="94" t="n"/>
      <c r="G965" s="120">
        <f t="array" ref="G965:G965">IF(OR(D965="",F965=""),"",IFERROR(IF(AND(OR(INDEX('1.職能辭典'!$J:$J,MATCH(F965,'1.職能辭典'!$C:$C,0))="全部",INDEX('3.員工名單'!$H:$H,MATCH(A965,'3.員工名單'!$A:$A,0))="兩款共用",INDEX('3.員工名單'!$H:$H,MATCH(A965,'3.員工名單'!$A:$A,0))=INDEX('1.職能辭典'!$J:$J,MATCH(F965,'1.職能辭典'!$C:$C,0))),OR(INDEX('1.職能辭典'!$K:$K,MATCH(F965,'1.職能辭典'!$C:$C,0))="全部",SUMPRODUCT(ISNUMBER(SEARCH({"經營","管理","財務","企劃","營運","技術","數據","美術","測試","客服"},INDEX('3.員工名單'!$I:$I,MATCH(A965,'3.員工名單'!$A:$A,0))))*ISNUMBER(SEARCH({"經營","管理","財務","企劃","營運","技術","數據","美術","測試","客服"},INDEX('1.職能辭典'!$K:$K,MATCH(F965,'1.職能辭典'!$C:$C,0)))))&gt;0)),INDEX('2.職務職能需求'!$B$2:$F$28,MATCH(F965,'2.職務職能需求'!$A$2:$A$28,0),MATCH(D965,'2.職務職能需求'!$B$1:$F$1,0)),0),""))</f>
        <v/>
      </c>
      <c r="H965" s="94" t="n"/>
      <c r="I965" s="94" t="n"/>
      <c r="J965" s="120">
        <f>IF(OR(G965="",I965="",G965=0),"",I965-G965)</f>
        <v/>
      </c>
      <c r="K965" s="120">
        <f>IF(G965="","",IF(G965=0,"不適用",IF(I965="","待評核",IF(I965&gt;=G965,IF(I965&gt;G965,"超越","達標"),"待發展"))))</f>
        <v/>
      </c>
      <c r="L965" s="91" t="n"/>
      <c r="M965" s="91" t="n"/>
      <c r="N965" s="88" t="n"/>
    </row>
    <row r="966" ht="15.75" customHeight="1" s="64">
      <c r="A966" s="88" t="n"/>
      <c r="B966" s="120">
        <f t="array" ref="B966:B966">IF(A966="","",IFERROR(INDEX('3.員工名單'!$B:$B,MATCH(A966,'3.員工名單'!$A:$A,0)),"查無此員工"))</f>
        <v/>
      </c>
      <c r="C966" s="120">
        <f t="array" ref="C966:C966">IF(A966="","",IFERROR(INDEX('3.員工名單'!$C:$C,MATCH(A966,'3.員工名單'!$A:$A,0)),""))</f>
        <v/>
      </c>
      <c r="D966" s="120">
        <f t="array" ref="D966:D966">IF(A966="","",IFERROR(INDEX('3.員工名單'!$D:$D,MATCH(A966,'3.員工名單'!$A:$A,0)),""))</f>
        <v/>
      </c>
      <c r="E966" s="120">
        <f t="array" ref="E966:E966">IF(F966="","",IFERROR(INDEX('1.職能辭典'!$A:$A,MATCH(F966,'1.職能辭典'!$C:$C,0)),""))</f>
        <v/>
      </c>
      <c r="F966" s="94" t="n"/>
      <c r="G966" s="120">
        <f t="array" ref="G966:G966">IF(OR(D966="",F966=""),"",IFERROR(IF(AND(OR(INDEX('1.職能辭典'!$J:$J,MATCH(F966,'1.職能辭典'!$C:$C,0))="全部",INDEX('3.員工名單'!$H:$H,MATCH(A966,'3.員工名單'!$A:$A,0))="兩款共用",INDEX('3.員工名單'!$H:$H,MATCH(A966,'3.員工名單'!$A:$A,0))=INDEX('1.職能辭典'!$J:$J,MATCH(F966,'1.職能辭典'!$C:$C,0))),OR(INDEX('1.職能辭典'!$K:$K,MATCH(F966,'1.職能辭典'!$C:$C,0))="全部",SUMPRODUCT(ISNUMBER(SEARCH({"經營","管理","財務","企劃","營運","技術","數據","美術","測試","客服"},INDEX('3.員工名單'!$I:$I,MATCH(A966,'3.員工名單'!$A:$A,0))))*ISNUMBER(SEARCH({"經營","管理","財務","企劃","營運","技術","數據","美術","測試","客服"},INDEX('1.職能辭典'!$K:$K,MATCH(F966,'1.職能辭典'!$C:$C,0)))))&gt;0)),INDEX('2.職務職能需求'!$B$2:$F$28,MATCH(F966,'2.職務職能需求'!$A$2:$A$28,0),MATCH(D966,'2.職務職能需求'!$B$1:$F$1,0)),0),""))</f>
        <v/>
      </c>
      <c r="H966" s="94" t="n"/>
      <c r="I966" s="94" t="n"/>
      <c r="J966" s="120">
        <f>IF(OR(G966="",I966="",G966=0),"",I966-G966)</f>
        <v/>
      </c>
      <c r="K966" s="120">
        <f>IF(G966="","",IF(G966=0,"不適用",IF(I966="","待評核",IF(I966&gt;=G966,IF(I966&gt;G966,"超越","達標"),"待發展"))))</f>
        <v/>
      </c>
      <c r="L966" s="91" t="n"/>
      <c r="M966" s="91" t="n"/>
      <c r="N966" s="88" t="n"/>
    </row>
    <row r="967" ht="15.75" customHeight="1" s="64">
      <c r="A967" s="88" t="n"/>
      <c r="B967" s="120">
        <f t="array" ref="B967:B967">IF(A967="","",IFERROR(INDEX('3.員工名單'!$B:$B,MATCH(A967,'3.員工名單'!$A:$A,0)),"查無此員工"))</f>
        <v/>
      </c>
      <c r="C967" s="120">
        <f t="array" ref="C967:C967">IF(A967="","",IFERROR(INDEX('3.員工名單'!$C:$C,MATCH(A967,'3.員工名單'!$A:$A,0)),""))</f>
        <v/>
      </c>
      <c r="D967" s="120">
        <f t="array" ref="D967:D967">IF(A967="","",IFERROR(INDEX('3.員工名單'!$D:$D,MATCH(A967,'3.員工名單'!$A:$A,0)),""))</f>
        <v/>
      </c>
      <c r="E967" s="120">
        <f t="array" ref="E967:E967">IF(F967="","",IFERROR(INDEX('1.職能辭典'!$A:$A,MATCH(F967,'1.職能辭典'!$C:$C,0)),""))</f>
        <v/>
      </c>
      <c r="F967" s="94" t="n"/>
      <c r="G967" s="120">
        <f t="array" ref="G967:G967">IF(OR(D967="",F967=""),"",IFERROR(IF(AND(OR(INDEX('1.職能辭典'!$J:$J,MATCH(F967,'1.職能辭典'!$C:$C,0))="全部",INDEX('3.員工名單'!$H:$H,MATCH(A967,'3.員工名單'!$A:$A,0))="兩款共用",INDEX('3.員工名單'!$H:$H,MATCH(A967,'3.員工名單'!$A:$A,0))=INDEX('1.職能辭典'!$J:$J,MATCH(F967,'1.職能辭典'!$C:$C,0))),OR(INDEX('1.職能辭典'!$K:$K,MATCH(F967,'1.職能辭典'!$C:$C,0))="全部",SUMPRODUCT(ISNUMBER(SEARCH({"經營","管理","財務","企劃","營運","技術","數據","美術","測試","客服"},INDEX('3.員工名單'!$I:$I,MATCH(A967,'3.員工名單'!$A:$A,0))))*ISNUMBER(SEARCH({"經營","管理","財務","企劃","營運","技術","數據","美術","測試","客服"},INDEX('1.職能辭典'!$K:$K,MATCH(F967,'1.職能辭典'!$C:$C,0)))))&gt;0)),INDEX('2.職務職能需求'!$B$2:$F$28,MATCH(F967,'2.職務職能需求'!$A$2:$A$28,0),MATCH(D967,'2.職務職能需求'!$B$1:$F$1,0)),0),""))</f>
        <v/>
      </c>
      <c r="H967" s="94" t="n"/>
      <c r="I967" s="94" t="n"/>
      <c r="J967" s="120">
        <f>IF(OR(G967="",I967="",G967=0),"",I967-G967)</f>
        <v/>
      </c>
      <c r="K967" s="120">
        <f>IF(G967="","",IF(G967=0,"不適用",IF(I967="","待評核",IF(I967&gt;=G967,IF(I967&gt;G967,"超越","達標"),"待發展"))))</f>
        <v/>
      </c>
      <c r="L967" s="91" t="n"/>
      <c r="M967" s="91" t="n"/>
      <c r="N967" s="88" t="n"/>
    </row>
    <row r="968" ht="15.75" customHeight="1" s="64">
      <c r="A968" s="88" t="n"/>
      <c r="B968" s="120">
        <f t="array" ref="B968:B968">IF(A968="","",IFERROR(INDEX('3.員工名單'!$B:$B,MATCH(A968,'3.員工名單'!$A:$A,0)),"查無此員工"))</f>
        <v/>
      </c>
      <c r="C968" s="120">
        <f t="array" ref="C968:C968">IF(A968="","",IFERROR(INDEX('3.員工名單'!$C:$C,MATCH(A968,'3.員工名單'!$A:$A,0)),""))</f>
        <v/>
      </c>
      <c r="D968" s="120">
        <f t="array" ref="D968:D968">IF(A968="","",IFERROR(INDEX('3.員工名單'!$D:$D,MATCH(A968,'3.員工名單'!$A:$A,0)),""))</f>
        <v/>
      </c>
      <c r="E968" s="120">
        <f t="array" ref="E968:E968">IF(F968="","",IFERROR(INDEX('1.職能辭典'!$A:$A,MATCH(F968,'1.職能辭典'!$C:$C,0)),""))</f>
        <v/>
      </c>
      <c r="F968" s="94" t="n"/>
      <c r="G968" s="120">
        <f t="array" ref="G968:G968">IF(OR(D968="",F968=""),"",IFERROR(IF(AND(OR(INDEX('1.職能辭典'!$J:$J,MATCH(F968,'1.職能辭典'!$C:$C,0))="全部",INDEX('3.員工名單'!$H:$H,MATCH(A968,'3.員工名單'!$A:$A,0))="兩款共用",INDEX('3.員工名單'!$H:$H,MATCH(A968,'3.員工名單'!$A:$A,0))=INDEX('1.職能辭典'!$J:$J,MATCH(F968,'1.職能辭典'!$C:$C,0))),OR(INDEX('1.職能辭典'!$K:$K,MATCH(F968,'1.職能辭典'!$C:$C,0))="全部",SUMPRODUCT(ISNUMBER(SEARCH({"經營","管理","財務","企劃","營運","技術","數據","美術","測試","客服"},INDEX('3.員工名單'!$I:$I,MATCH(A968,'3.員工名單'!$A:$A,0))))*ISNUMBER(SEARCH({"經營","管理","財務","企劃","營運","技術","數據","美術","測試","客服"},INDEX('1.職能辭典'!$K:$K,MATCH(F968,'1.職能辭典'!$C:$C,0)))))&gt;0)),INDEX('2.職務職能需求'!$B$2:$F$28,MATCH(F968,'2.職務職能需求'!$A$2:$A$28,0),MATCH(D968,'2.職務職能需求'!$B$1:$F$1,0)),0),""))</f>
        <v/>
      </c>
      <c r="H968" s="94" t="n"/>
      <c r="I968" s="94" t="n"/>
      <c r="J968" s="120">
        <f>IF(OR(G968="",I968="",G968=0),"",I968-G968)</f>
        <v/>
      </c>
      <c r="K968" s="120">
        <f>IF(G968="","",IF(G968=0,"不適用",IF(I968="","待評核",IF(I968&gt;=G968,IF(I968&gt;G968,"超越","達標"),"待發展"))))</f>
        <v/>
      </c>
      <c r="L968" s="91" t="n"/>
      <c r="M968" s="91" t="n"/>
      <c r="N968" s="88" t="n"/>
    </row>
    <row r="969" ht="15.75" customHeight="1" s="64">
      <c r="A969" s="88" t="n"/>
      <c r="B969" s="120">
        <f t="array" ref="B969:B969">IF(A969="","",IFERROR(INDEX('3.員工名單'!$B:$B,MATCH(A969,'3.員工名單'!$A:$A,0)),"查無此員工"))</f>
        <v/>
      </c>
      <c r="C969" s="120">
        <f t="array" ref="C969:C969">IF(A969="","",IFERROR(INDEX('3.員工名單'!$C:$C,MATCH(A969,'3.員工名單'!$A:$A,0)),""))</f>
        <v/>
      </c>
      <c r="D969" s="120">
        <f t="array" ref="D969:D969">IF(A969="","",IFERROR(INDEX('3.員工名單'!$D:$D,MATCH(A969,'3.員工名單'!$A:$A,0)),""))</f>
        <v/>
      </c>
      <c r="E969" s="120">
        <f t="array" ref="E969:E969">IF(F969="","",IFERROR(INDEX('1.職能辭典'!$A:$A,MATCH(F969,'1.職能辭典'!$C:$C,0)),""))</f>
        <v/>
      </c>
      <c r="F969" s="94" t="n"/>
      <c r="G969" s="120">
        <f t="array" ref="G969:G969">IF(OR(D969="",F969=""),"",IFERROR(IF(AND(OR(INDEX('1.職能辭典'!$J:$J,MATCH(F969,'1.職能辭典'!$C:$C,0))="全部",INDEX('3.員工名單'!$H:$H,MATCH(A969,'3.員工名單'!$A:$A,0))="兩款共用",INDEX('3.員工名單'!$H:$H,MATCH(A969,'3.員工名單'!$A:$A,0))=INDEX('1.職能辭典'!$J:$J,MATCH(F969,'1.職能辭典'!$C:$C,0))),OR(INDEX('1.職能辭典'!$K:$K,MATCH(F969,'1.職能辭典'!$C:$C,0))="全部",SUMPRODUCT(ISNUMBER(SEARCH({"經營","管理","財務","企劃","營運","技術","數據","美術","測試","客服"},INDEX('3.員工名單'!$I:$I,MATCH(A969,'3.員工名單'!$A:$A,0))))*ISNUMBER(SEARCH({"經營","管理","財務","企劃","營運","技術","數據","美術","測試","客服"},INDEX('1.職能辭典'!$K:$K,MATCH(F969,'1.職能辭典'!$C:$C,0)))))&gt;0)),INDEX('2.職務職能需求'!$B$2:$F$28,MATCH(F969,'2.職務職能需求'!$A$2:$A$28,0),MATCH(D969,'2.職務職能需求'!$B$1:$F$1,0)),0),""))</f>
        <v/>
      </c>
      <c r="H969" s="94" t="n"/>
      <c r="I969" s="94" t="n"/>
      <c r="J969" s="120">
        <f>IF(OR(G969="",I969="",G969=0),"",I969-G969)</f>
        <v/>
      </c>
      <c r="K969" s="120">
        <f>IF(G969="","",IF(G969=0,"不適用",IF(I969="","待評核",IF(I969&gt;=G969,IF(I969&gt;G969,"超越","達標"),"待發展"))))</f>
        <v/>
      </c>
      <c r="L969" s="91" t="n"/>
      <c r="M969" s="91" t="n"/>
      <c r="N969" s="88" t="n"/>
    </row>
    <row r="970" ht="15.75" customHeight="1" s="64">
      <c r="A970" s="88" t="n"/>
      <c r="B970" s="120">
        <f t="array" ref="B970:B970">IF(A970="","",IFERROR(INDEX('3.員工名單'!$B:$B,MATCH(A970,'3.員工名單'!$A:$A,0)),"查無此員工"))</f>
        <v/>
      </c>
      <c r="C970" s="120">
        <f t="array" ref="C970:C970">IF(A970="","",IFERROR(INDEX('3.員工名單'!$C:$C,MATCH(A970,'3.員工名單'!$A:$A,0)),""))</f>
        <v/>
      </c>
      <c r="D970" s="120">
        <f t="array" ref="D970:D970">IF(A970="","",IFERROR(INDEX('3.員工名單'!$D:$D,MATCH(A970,'3.員工名單'!$A:$A,0)),""))</f>
        <v/>
      </c>
      <c r="E970" s="120">
        <f t="array" ref="E970:E970">IF(F970="","",IFERROR(INDEX('1.職能辭典'!$A:$A,MATCH(F970,'1.職能辭典'!$C:$C,0)),""))</f>
        <v/>
      </c>
      <c r="F970" s="94" t="n"/>
      <c r="G970" s="120">
        <f t="array" ref="G970:G970">IF(OR(D970="",F970=""),"",IFERROR(IF(AND(OR(INDEX('1.職能辭典'!$J:$J,MATCH(F970,'1.職能辭典'!$C:$C,0))="全部",INDEX('3.員工名單'!$H:$H,MATCH(A970,'3.員工名單'!$A:$A,0))="兩款共用",INDEX('3.員工名單'!$H:$H,MATCH(A970,'3.員工名單'!$A:$A,0))=INDEX('1.職能辭典'!$J:$J,MATCH(F970,'1.職能辭典'!$C:$C,0))),OR(INDEX('1.職能辭典'!$K:$K,MATCH(F970,'1.職能辭典'!$C:$C,0))="全部",SUMPRODUCT(ISNUMBER(SEARCH({"經營","管理","財務","企劃","營運","技術","數據","美術","測試","客服"},INDEX('3.員工名單'!$I:$I,MATCH(A970,'3.員工名單'!$A:$A,0))))*ISNUMBER(SEARCH({"經營","管理","財務","企劃","營運","技術","數據","美術","測試","客服"},INDEX('1.職能辭典'!$K:$K,MATCH(F970,'1.職能辭典'!$C:$C,0)))))&gt;0)),INDEX('2.職務職能需求'!$B$2:$F$28,MATCH(F970,'2.職務職能需求'!$A$2:$A$28,0),MATCH(D970,'2.職務職能需求'!$B$1:$F$1,0)),0),""))</f>
        <v/>
      </c>
      <c r="H970" s="94" t="n"/>
      <c r="I970" s="94" t="n"/>
      <c r="J970" s="120">
        <f>IF(OR(G970="",I970="",G970=0),"",I970-G970)</f>
        <v/>
      </c>
      <c r="K970" s="120">
        <f>IF(G970="","",IF(G970=0,"不適用",IF(I970="","待評核",IF(I970&gt;=G970,IF(I970&gt;G970,"超越","達標"),"待發展"))))</f>
        <v/>
      </c>
      <c r="L970" s="91" t="n"/>
      <c r="M970" s="91" t="n"/>
      <c r="N970" s="88" t="n"/>
    </row>
    <row r="971" ht="15.75" customHeight="1" s="64">
      <c r="A971" s="88" t="n"/>
      <c r="B971" s="120">
        <f t="array" ref="B971:B971">IF(A971="","",IFERROR(INDEX('3.員工名單'!$B:$B,MATCH(A971,'3.員工名單'!$A:$A,0)),"查無此員工"))</f>
        <v/>
      </c>
      <c r="C971" s="120">
        <f t="array" ref="C971:C971">IF(A971="","",IFERROR(INDEX('3.員工名單'!$C:$C,MATCH(A971,'3.員工名單'!$A:$A,0)),""))</f>
        <v/>
      </c>
      <c r="D971" s="120">
        <f t="array" ref="D971:D971">IF(A971="","",IFERROR(INDEX('3.員工名單'!$D:$D,MATCH(A971,'3.員工名單'!$A:$A,0)),""))</f>
        <v/>
      </c>
      <c r="E971" s="120">
        <f t="array" ref="E971:E971">IF(F971="","",IFERROR(INDEX('1.職能辭典'!$A:$A,MATCH(F971,'1.職能辭典'!$C:$C,0)),""))</f>
        <v/>
      </c>
      <c r="F971" s="94" t="n"/>
      <c r="G971" s="120">
        <f t="array" ref="G971:G971">IF(OR(D971="",F971=""),"",IFERROR(IF(AND(OR(INDEX('1.職能辭典'!$J:$J,MATCH(F971,'1.職能辭典'!$C:$C,0))="全部",INDEX('3.員工名單'!$H:$H,MATCH(A971,'3.員工名單'!$A:$A,0))="兩款共用",INDEX('3.員工名單'!$H:$H,MATCH(A971,'3.員工名單'!$A:$A,0))=INDEX('1.職能辭典'!$J:$J,MATCH(F971,'1.職能辭典'!$C:$C,0))),OR(INDEX('1.職能辭典'!$K:$K,MATCH(F971,'1.職能辭典'!$C:$C,0))="全部",SUMPRODUCT(ISNUMBER(SEARCH({"經營","管理","財務","企劃","營運","技術","數據","美術","測試","客服"},INDEX('3.員工名單'!$I:$I,MATCH(A971,'3.員工名單'!$A:$A,0))))*ISNUMBER(SEARCH({"經營","管理","財務","企劃","營運","技術","數據","美術","測試","客服"},INDEX('1.職能辭典'!$K:$K,MATCH(F971,'1.職能辭典'!$C:$C,0)))))&gt;0)),INDEX('2.職務職能需求'!$B$2:$F$28,MATCH(F971,'2.職務職能需求'!$A$2:$A$28,0),MATCH(D971,'2.職務職能需求'!$B$1:$F$1,0)),0),""))</f>
        <v/>
      </c>
      <c r="H971" s="94" t="n"/>
      <c r="I971" s="94" t="n"/>
      <c r="J971" s="120">
        <f>IF(OR(G971="",I971="",G971=0),"",I971-G971)</f>
        <v/>
      </c>
      <c r="K971" s="120">
        <f>IF(G971="","",IF(G971=0,"不適用",IF(I971="","待評核",IF(I971&gt;=G971,IF(I971&gt;G971,"超越","達標"),"待發展"))))</f>
        <v/>
      </c>
      <c r="L971" s="91" t="n"/>
      <c r="M971" s="91" t="n"/>
      <c r="N971" s="88" t="n"/>
    </row>
    <row r="972" ht="15.75" customHeight="1" s="64">
      <c r="A972" s="88" t="n"/>
      <c r="B972" s="120">
        <f t="array" ref="B972:B972">IF(A972="","",IFERROR(INDEX('3.員工名單'!$B:$B,MATCH(A972,'3.員工名單'!$A:$A,0)),"查無此員工"))</f>
        <v/>
      </c>
      <c r="C972" s="120">
        <f t="array" ref="C972:C972">IF(A972="","",IFERROR(INDEX('3.員工名單'!$C:$C,MATCH(A972,'3.員工名單'!$A:$A,0)),""))</f>
        <v/>
      </c>
      <c r="D972" s="120">
        <f t="array" ref="D972:D972">IF(A972="","",IFERROR(INDEX('3.員工名單'!$D:$D,MATCH(A972,'3.員工名單'!$A:$A,0)),""))</f>
        <v/>
      </c>
      <c r="E972" s="120">
        <f t="array" ref="E972:E972">IF(F972="","",IFERROR(INDEX('1.職能辭典'!$A:$A,MATCH(F972,'1.職能辭典'!$C:$C,0)),""))</f>
        <v/>
      </c>
      <c r="F972" s="94" t="n"/>
      <c r="G972" s="120">
        <f t="array" ref="G972:G972">IF(OR(D972="",F972=""),"",IFERROR(IF(AND(OR(INDEX('1.職能辭典'!$J:$J,MATCH(F972,'1.職能辭典'!$C:$C,0))="全部",INDEX('3.員工名單'!$H:$H,MATCH(A972,'3.員工名單'!$A:$A,0))="兩款共用",INDEX('3.員工名單'!$H:$H,MATCH(A972,'3.員工名單'!$A:$A,0))=INDEX('1.職能辭典'!$J:$J,MATCH(F972,'1.職能辭典'!$C:$C,0))),OR(INDEX('1.職能辭典'!$K:$K,MATCH(F972,'1.職能辭典'!$C:$C,0))="全部",SUMPRODUCT(ISNUMBER(SEARCH({"經營","管理","財務","企劃","營運","技術","數據","美術","測試","客服"},INDEX('3.員工名單'!$I:$I,MATCH(A972,'3.員工名單'!$A:$A,0))))*ISNUMBER(SEARCH({"經營","管理","財務","企劃","營運","技術","數據","美術","測試","客服"},INDEX('1.職能辭典'!$K:$K,MATCH(F972,'1.職能辭典'!$C:$C,0)))))&gt;0)),INDEX('2.職務職能需求'!$B$2:$F$28,MATCH(F972,'2.職務職能需求'!$A$2:$A$28,0),MATCH(D972,'2.職務職能需求'!$B$1:$F$1,0)),0),""))</f>
        <v/>
      </c>
      <c r="H972" s="94" t="n"/>
      <c r="I972" s="94" t="n"/>
      <c r="J972" s="120">
        <f>IF(OR(G972="",I972="",G972=0),"",I972-G972)</f>
        <v/>
      </c>
      <c r="K972" s="120">
        <f>IF(G972="","",IF(G972=0,"不適用",IF(I972="","待評核",IF(I972&gt;=G972,IF(I972&gt;G972,"超越","達標"),"待發展"))))</f>
        <v/>
      </c>
      <c r="L972" s="91" t="n"/>
      <c r="M972" s="91" t="n"/>
      <c r="N972" s="88" t="n"/>
    </row>
    <row r="973" ht="15.75" customHeight="1" s="64">
      <c r="A973" s="88" t="n"/>
      <c r="B973" s="120">
        <f t="array" ref="B973:B973">IF(A973="","",IFERROR(INDEX('3.員工名單'!$B:$B,MATCH(A973,'3.員工名單'!$A:$A,0)),"查無此員工"))</f>
        <v/>
      </c>
      <c r="C973" s="120">
        <f t="array" ref="C973:C973">IF(A973="","",IFERROR(INDEX('3.員工名單'!$C:$C,MATCH(A973,'3.員工名單'!$A:$A,0)),""))</f>
        <v/>
      </c>
      <c r="D973" s="120">
        <f t="array" ref="D973:D973">IF(A973="","",IFERROR(INDEX('3.員工名單'!$D:$D,MATCH(A973,'3.員工名單'!$A:$A,0)),""))</f>
        <v/>
      </c>
      <c r="E973" s="120">
        <f t="array" ref="E973:E973">IF(F973="","",IFERROR(INDEX('1.職能辭典'!$A:$A,MATCH(F973,'1.職能辭典'!$C:$C,0)),""))</f>
        <v/>
      </c>
      <c r="F973" s="94" t="n"/>
      <c r="G973" s="120">
        <f t="array" ref="G973:G973">IF(OR(D973="",F973=""),"",IFERROR(IF(AND(OR(INDEX('1.職能辭典'!$J:$J,MATCH(F973,'1.職能辭典'!$C:$C,0))="全部",INDEX('3.員工名單'!$H:$H,MATCH(A973,'3.員工名單'!$A:$A,0))="兩款共用",INDEX('3.員工名單'!$H:$H,MATCH(A973,'3.員工名單'!$A:$A,0))=INDEX('1.職能辭典'!$J:$J,MATCH(F973,'1.職能辭典'!$C:$C,0))),OR(INDEX('1.職能辭典'!$K:$K,MATCH(F973,'1.職能辭典'!$C:$C,0))="全部",SUMPRODUCT(ISNUMBER(SEARCH({"經營","管理","財務","企劃","營運","技術","數據","美術","測試","客服"},INDEX('3.員工名單'!$I:$I,MATCH(A973,'3.員工名單'!$A:$A,0))))*ISNUMBER(SEARCH({"經營","管理","財務","企劃","營運","技術","數據","美術","測試","客服"},INDEX('1.職能辭典'!$K:$K,MATCH(F973,'1.職能辭典'!$C:$C,0)))))&gt;0)),INDEX('2.職務職能需求'!$B$2:$F$28,MATCH(F973,'2.職務職能需求'!$A$2:$A$28,0),MATCH(D973,'2.職務職能需求'!$B$1:$F$1,0)),0),""))</f>
        <v/>
      </c>
      <c r="H973" s="94" t="n"/>
      <c r="I973" s="94" t="n"/>
      <c r="J973" s="120">
        <f>IF(OR(G973="",I973="",G973=0),"",I973-G973)</f>
        <v/>
      </c>
      <c r="K973" s="120">
        <f>IF(G973="","",IF(G973=0,"不適用",IF(I973="","待評核",IF(I973&gt;=G973,IF(I973&gt;G973,"超越","達標"),"待發展"))))</f>
        <v/>
      </c>
      <c r="L973" s="91" t="n"/>
      <c r="M973" s="91" t="n"/>
      <c r="N973" s="88" t="n"/>
    </row>
    <row r="974" ht="15.75" customHeight="1" s="64">
      <c r="A974" s="88" t="n"/>
      <c r="B974" s="120">
        <f t="array" ref="B974:B974">IF(A974="","",IFERROR(INDEX('3.員工名單'!$B:$B,MATCH(A974,'3.員工名單'!$A:$A,0)),"查無此員工"))</f>
        <v/>
      </c>
      <c r="C974" s="120">
        <f t="array" ref="C974:C974">IF(A974="","",IFERROR(INDEX('3.員工名單'!$C:$C,MATCH(A974,'3.員工名單'!$A:$A,0)),""))</f>
        <v/>
      </c>
      <c r="D974" s="120">
        <f t="array" ref="D974:D974">IF(A974="","",IFERROR(INDEX('3.員工名單'!$D:$D,MATCH(A974,'3.員工名單'!$A:$A,0)),""))</f>
        <v/>
      </c>
      <c r="E974" s="120">
        <f t="array" ref="E974:E974">IF(F974="","",IFERROR(INDEX('1.職能辭典'!$A:$A,MATCH(F974,'1.職能辭典'!$C:$C,0)),""))</f>
        <v/>
      </c>
      <c r="F974" s="94" t="n"/>
      <c r="G974" s="120">
        <f t="array" ref="G974:G974">IF(OR(D974="",F974=""),"",IFERROR(IF(AND(OR(INDEX('1.職能辭典'!$J:$J,MATCH(F974,'1.職能辭典'!$C:$C,0))="全部",INDEX('3.員工名單'!$H:$H,MATCH(A974,'3.員工名單'!$A:$A,0))="兩款共用",INDEX('3.員工名單'!$H:$H,MATCH(A974,'3.員工名單'!$A:$A,0))=INDEX('1.職能辭典'!$J:$J,MATCH(F974,'1.職能辭典'!$C:$C,0))),OR(INDEX('1.職能辭典'!$K:$K,MATCH(F974,'1.職能辭典'!$C:$C,0))="全部",SUMPRODUCT(ISNUMBER(SEARCH({"經營","管理","財務","企劃","營運","技術","數據","美術","測試","客服"},INDEX('3.員工名單'!$I:$I,MATCH(A974,'3.員工名單'!$A:$A,0))))*ISNUMBER(SEARCH({"經營","管理","財務","企劃","營運","技術","數據","美術","測試","客服"},INDEX('1.職能辭典'!$K:$K,MATCH(F974,'1.職能辭典'!$C:$C,0)))))&gt;0)),INDEX('2.職務職能需求'!$B$2:$F$28,MATCH(F974,'2.職務職能需求'!$A$2:$A$28,0),MATCH(D974,'2.職務職能需求'!$B$1:$F$1,0)),0),""))</f>
        <v/>
      </c>
      <c r="H974" s="94" t="n"/>
      <c r="I974" s="94" t="n"/>
      <c r="J974" s="120">
        <f>IF(OR(G974="",I974="",G974=0),"",I974-G974)</f>
        <v/>
      </c>
      <c r="K974" s="120">
        <f>IF(G974="","",IF(G974=0,"不適用",IF(I974="","待評核",IF(I974&gt;=G974,IF(I974&gt;G974,"超越","達標"),"待發展"))))</f>
        <v/>
      </c>
      <c r="L974" s="91" t="n"/>
      <c r="M974" s="91" t="n"/>
      <c r="N974" s="88" t="n"/>
    </row>
    <row r="975" ht="15.75" customHeight="1" s="64">
      <c r="A975" s="88" t="n"/>
      <c r="B975" s="120">
        <f t="array" ref="B975:B975">IF(A975="","",IFERROR(INDEX('3.員工名單'!$B:$B,MATCH(A975,'3.員工名單'!$A:$A,0)),"查無此員工"))</f>
        <v/>
      </c>
      <c r="C975" s="120">
        <f t="array" ref="C975:C975">IF(A975="","",IFERROR(INDEX('3.員工名單'!$C:$C,MATCH(A975,'3.員工名單'!$A:$A,0)),""))</f>
        <v/>
      </c>
      <c r="D975" s="120">
        <f t="array" ref="D975:D975">IF(A975="","",IFERROR(INDEX('3.員工名單'!$D:$D,MATCH(A975,'3.員工名單'!$A:$A,0)),""))</f>
        <v/>
      </c>
      <c r="E975" s="120">
        <f t="array" ref="E975:E975">IF(F975="","",IFERROR(INDEX('1.職能辭典'!$A:$A,MATCH(F975,'1.職能辭典'!$C:$C,0)),""))</f>
        <v/>
      </c>
      <c r="F975" s="94" t="n"/>
      <c r="G975" s="120">
        <f t="array" ref="G975:G975">IF(OR(D975="",F975=""),"",IFERROR(IF(AND(OR(INDEX('1.職能辭典'!$J:$J,MATCH(F975,'1.職能辭典'!$C:$C,0))="全部",INDEX('3.員工名單'!$H:$H,MATCH(A975,'3.員工名單'!$A:$A,0))="兩款共用",INDEX('3.員工名單'!$H:$H,MATCH(A975,'3.員工名單'!$A:$A,0))=INDEX('1.職能辭典'!$J:$J,MATCH(F975,'1.職能辭典'!$C:$C,0))),OR(INDEX('1.職能辭典'!$K:$K,MATCH(F975,'1.職能辭典'!$C:$C,0))="全部",SUMPRODUCT(ISNUMBER(SEARCH({"經營","管理","財務","企劃","營運","技術","數據","美術","測試","客服"},INDEX('3.員工名單'!$I:$I,MATCH(A975,'3.員工名單'!$A:$A,0))))*ISNUMBER(SEARCH({"經營","管理","財務","企劃","營運","技術","數據","美術","測試","客服"},INDEX('1.職能辭典'!$K:$K,MATCH(F975,'1.職能辭典'!$C:$C,0)))))&gt;0)),INDEX('2.職務職能需求'!$B$2:$F$28,MATCH(F975,'2.職務職能需求'!$A$2:$A$28,0),MATCH(D975,'2.職務職能需求'!$B$1:$F$1,0)),0),""))</f>
        <v/>
      </c>
      <c r="H975" s="94" t="n"/>
      <c r="I975" s="94" t="n"/>
      <c r="J975" s="120">
        <f>IF(OR(G975="",I975="",G975=0),"",I975-G975)</f>
        <v/>
      </c>
      <c r="K975" s="120">
        <f>IF(G975="","",IF(G975=0,"不適用",IF(I975="","待評核",IF(I975&gt;=G975,IF(I975&gt;G975,"超越","達標"),"待發展"))))</f>
        <v/>
      </c>
      <c r="L975" s="91" t="n"/>
      <c r="M975" s="91" t="n"/>
      <c r="N975" s="88" t="n"/>
    </row>
    <row r="976" ht="15.75" customHeight="1" s="64">
      <c r="A976" s="88" t="n"/>
      <c r="B976" s="120">
        <f t="array" ref="B976:B976">IF(A976="","",IFERROR(INDEX('3.員工名單'!$B:$B,MATCH(A976,'3.員工名單'!$A:$A,0)),"查無此員工"))</f>
        <v/>
      </c>
      <c r="C976" s="120">
        <f t="array" ref="C976:C976">IF(A976="","",IFERROR(INDEX('3.員工名單'!$C:$C,MATCH(A976,'3.員工名單'!$A:$A,0)),""))</f>
        <v/>
      </c>
      <c r="D976" s="120">
        <f t="array" ref="D976:D976">IF(A976="","",IFERROR(INDEX('3.員工名單'!$D:$D,MATCH(A976,'3.員工名單'!$A:$A,0)),""))</f>
        <v/>
      </c>
      <c r="E976" s="120">
        <f t="array" ref="E976:E976">IF(F976="","",IFERROR(INDEX('1.職能辭典'!$A:$A,MATCH(F976,'1.職能辭典'!$C:$C,0)),""))</f>
        <v/>
      </c>
      <c r="F976" s="94" t="n"/>
      <c r="G976" s="120">
        <f t="array" ref="G976:G976">IF(OR(D976="",F976=""),"",IFERROR(IF(AND(OR(INDEX('1.職能辭典'!$J:$J,MATCH(F976,'1.職能辭典'!$C:$C,0))="全部",INDEX('3.員工名單'!$H:$H,MATCH(A976,'3.員工名單'!$A:$A,0))="兩款共用",INDEX('3.員工名單'!$H:$H,MATCH(A976,'3.員工名單'!$A:$A,0))=INDEX('1.職能辭典'!$J:$J,MATCH(F976,'1.職能辭典'!$C:$C,0))),OR(INDEX('1.職能辭典'!$K:$K,MATCH(F976,'1.職能辭典'!$C:$C,0))="全部",SUMPRODUCT(ISNUMBER(SEARCH({"經營","管理","財務","企劃","營運","技術","數據","美術","測試","客服"},INDEX('3.員工名單'!$I:$I,MATCH(A976,'3.員工名單'!$A:$A,0))))*ISNUMBER(SEARCH({"經營","管理","財務","企劃","營運","技術","數據","美術","測試","客服"},INDEX('1.職能辭典'!$K:$K,MATCH(F976,'1.職能辭典'!$C:$C,0)))))&gt;0)),INDEX('2.職務職能需求'!$B$2:$F$28,MATCH(F976,'2.職務職能需求'!$A$2:$A$28,0),MATCH(D976,'2.職務職能需求'!$B$1:$F$1,0)),0),""))</f>
        <v/>
      </c>
      <c r="H976" s="94" t="n"/>
      <c r="I976" s="94" t="n"/>
      <c r="J976" s="120">
        <f>IF(OR(G976="",I976="",G976=0),"",I976-G976)</f>
        <v/>
      </c>
      <c r="K976" s="120">
        <f>IF(G976="","",IF(G976=0,"不適用",IF(I976="","待評核",IF(I976&gt;=G976,IF(I976&gt;G976,"超越","達標"),"待發展"))))</f>
        <v/>
      </c>
      <c r="L976" s="91" t="n"/>
      <c r="M976" s="91" t="n"/>
      <c r="N976" s="88" t="n"/>
    </row>
    <row r="977" ht="15.75" customHeight="1" s="64">
      <c r="A977" s="88" t="n"/>
      <c r="B977" s="120">
        <f t="array" ref="B977:B977">IF(A977="","",IFERROR(INDEX('3.員工名單'!$B:$B,MATCH(A977,'3.員工名單'!$A:$A,0)),"查無此員工"))</f>
        <v/>
      </c>
      <c r="C977" s="120">
        <f t="array" ref="C977:C977">IF(A977="","",IFERROR(INDEX('3.員工名單'!$C:$C,MATCH(A977,'3.員工名單'!$A:$A,0)),""))</f>
        <v/>
      </c>
      <c r="D977" s="120">
        <f t="array" ref="D977:D977">IF(A977="","",IFERROR(INDEX('3.員工名單'!$D:$D,MATCH(A977,'3.員工名單'!$A:$A,0)),""))</f>
        <v/>
      </c>
      <c r="E977" s="120">
        <f t="array" ref="E977:E977">IF(F977="","",IFERROR(INDEX('1.職能辭典'!$A:$A,MATCH(F977,'1.職能辭典'!$C:$C,0)),""))</f>
        <v/>
      </c>
      <c r="F977" s="94" t="n"/>
      <c r="G977" s="120">
        <f t="array" ref="G977:G977">IF(OR(D977="",F977=""),"",IFERROR(IF(AND(OR(INDEX('1.職能辭典'!$J:$J,MATCH(F977,'1.職能辭典'!$C:$C,0))="全部",INDEX('3.員工名單'!$H:$H,MATCH(A977,'3.員工名單'!$A:$A,0))="兩款共用",INDEX('3.員工名單'!$H:$H,MATCH(A977,'3.員工名單'!$A:$A,0))=INDEX('1.職能辭典'!$J:$J,MATCH(F977,'1.職能辭典'!$C:$C,0))),OR(INDEX('1.職能辭典'!$K:$K,MATCH(F977,'1.職能辭典'!$C:$C,0))="全部",SUMPRODUCT(ISNUMBER(SEARCH({"經營","管理","財務","企劃","營運","技術","數據","美術","測試","客服"},INDEX('3.員工名單'!$I:$I,MATCH(A977,'3.員工名單'!$A:$A,0))))*ISNUMBER(SEARCH({"經營","管理","財務","企劃","營運","技術","數據","美術","測試","客服"},INDEX('1.職能辭典'!$K:$K,MATCH(F977,'1.職能辭典'!$C:$C,0)))))&gt;0)),INDEX('2.職務職能需求'!$B$2:$F$28,MATCH(F977,'2.職務職能需求'!$A$2:$A$28,0),MATCH(D977,'2.職務職能需求'!$B$1:$F$1,0)),0),""))</f>
        <v/>
      </c>
      <c r="H977" s="94" t="n"/>
      <c r="I977" s="94" t="n"/>
      <c r="J977" s="120">
        <f>IF(OR(G977="",I977="",G977=0),"",I977-G977)</f>
        <v/>
      </c>
      <c r="K977" s="120">
        <f>IF(G977="","",IF(G977=0,"不適用",IF(I977="","待評核",IF(I977&gt;=G977,IF(I977&gt;G977,"超越","達標"),"待發展"))))</f>
        <v/>
      </c>
      <c r="L977" s="91" t="n"/>
      <c r="M977" s="91" t="n"/>
      <c r="N977" s="88" t="n"/>
    </row>
    <row r="978" ht="15.75" customHeight="1" s="64">
      <c r="A978" s="88" t="n"/>
      <c r="B978" s="120">
        <f t="array" ref="B978:B978">IF(A978="","",IFERROR(INDEX('3.員工名單'!$B:$B,MATCH(A978,'3.員工名單'!$A:$A,0)),"查無此員工"))</f>
        <v/>
      </c>
      <c r="C978" s="120">
        <f t="array" ref="C978:C978">IF(A978="","",IFERROR(INDEX('3.員工名單'!$C:$C,MATCH(A978,'3.員工名單'!$A:$A,0)),""))</f>
        <v/>
      </c>
      <c r="D978" s="120">
        <f t="array" ref="D978:D978">IF(A978="","",IFERROR(INDEX('3.員工名單'!$D:$D,MATCH(A978,'3.員工名單'!$A:$A,0)),""))</f>
        <v/>
      </c>
      <c r="E978" s="120">
        <f t="array" ref="E978:E978">IF(F978="","",IFERROR(INDEX('1.職能辭典'!$A:$A,MATCH(F978,'1.職能辭典'!$C:$C,0)),""))</f>
        <v/>
      </c>
      <c r="F978" s="94" t="n"/>
      <c r="G978" s="120">
        <f t="array" ref="G978:G978">IF(OR(D978="",F978=""),"",IFERROR(IF(AND(OR(INDEX('1.職能辭典'!$J:$J,MATCH(F978,'1.職能辭典'!$C:$C,0))="全部",INDEX('3.員工名單'!$H:$H,MATCH(A978,'3.員工名單'!$A:$A,0))="兩款共用",INDEX('3.員工名單'!$H:$H,MATCH(A978,'3.員工名單'!$A:$A,0))=INDEX('1.職能辭典'!$J:$J,MATCH(F978,'1.職能辭典'!$C:$C,0))),OR(INDEX('1.職能辭典'!$K:$K,MATCH(F978,'1.職能辭典'!$C:$C,0))="全部",SUMPRODUCT(ISNUMBER(SEARCH({"經營","管理","財務","企劃","營運","技術","數據","美術","測試","客服"},INDEX('3.員工名單'!$I:$I,MATCH(A978,'3.員工名單'!$A:$A,0))))*ISNUMBER(SEARCH({"經營","管理","財務","企劃","營運","技術","數據","美術","測試","客服"},INDEX('1.職能辭典'!$K:$K,MATCH(F978,'1.職能辭典'!$C:$C,0)))))&gt;0)),INDEX('2.職務職能需求'!$B$2:$F$28,MATCH(F978,'2.職務職能需求'!$A$2:$A$28,0),MATCH(D978,'2.職務職能需求'!$B$1:$F$1,0)),0),""))</f>
        <v/>
      </c>
      <c r="H978" s="94" t="n"/>
      <c r="I978" s="94" t="n"/>
      <c r="J978" s="120">
        <f>IF(OR(G978="",I978="",G978=0),"",I978-G978)</f>
        <v/>
      </c>
      <c r="K978" s="120">
        <f>IF(G978="","",IF(G978=0,"不適用",IF(I978="","待評核",IF(I978&gt;=G978,IF(I978&gt;G978,"超越","達標"),"待發展"))))</f>
        <v/>
      </c>
      <c r="L978" s="91" t="n"/>
      <c r="M978" s="91" t="n"/>
      <c r="N978" s="88" t="n"/>
    </row>
    <row r="979" ht="15.75" customHeight="1" s="64">
      <c r="A979" s="88" t="n"/>
      <c r="B979" s="120">
        <f t="array" ref="B979:B979">IF(A979="","",IFERROR(INDEX('3.員工名單'!$B:$B,MATCH(A979,'3.員工名單'!$A:$A,0)),"查無此員工"))</f>
        <v/>
      </c>
      <c r="C979" s="120">
        <f t="array" ref="C979:C979">IF(A979="","",IFERROR(INDEX('3.員工名單'!$C:$C,MATCH(A979,'3.員工名單'!$A:$A,0)),""))</f>
        <v/>
      </c>
      <c r="D979" s="120">
        <f t="array" ref="D979:D979">IF(A979="","",IFERROR(INDEX('3.員工名單'!$D:$D,MATCH(A979,'3.員工名單'!$A:$A,0)),""))</f>
        <v/>
      </c>
      <c r="E979" s="120">
        <f t="array" ref="E979:E979">IF(F979="","",IFERROR(INDEX('1.職能辭典'!$A:$A,MATCH(F979,'1.職能辭典'!$C:$C,0)),""))</f>
        <v/>
      </c>
      <c r="F979" s="94" t="n"/>
      <c r="G979" s="120">
        <f t="array" ref="G979:G979">IF(OR(D979="",F979=""),"",IFERROR(IF(AND(OR(INDEX('1.職能辭典'!$J:$J,MATCH(F979,'1.職能辭典'!$C:$C,0))="全部",INDEX('3.員工名單'!$H:$H,MATCH(A979,'3.員工名單'!$A:$A,0))="兩款共用",INDEX('3.員工名單'!$H:$H,MATCH(A979,'3.員工名單'!$A:$A,0))=INDEX('1.職能辭典'!$J:$J,MATCH(F979,'1.職能辭典'!$C:$C,0))),OR(INDEX('1.職能辭典'!$K:$K,MATCH(F979,'1.職能辭典'!$C:$C,0))="全部",SUMPRODUCT(ISNUMBER(SEARCH({"經營","管理","財務","企劃","營運","技術","數據","美術","測試","客服"},INDEX('3.員工名單'!$I:$I,MATCH(A979,'3.員工名單'!$A:$A,0))))*ISNUMBER(SEARCH({"經營","管理","財務","企劃","營運","技術","數據","美術","測試","客服"},INDEX('1.職能辭典'!$K:$K,MATCH(F979,'1.職能辭典'!$C:$C,0)))))&gt;0)),INDEX('2.職務職能需求'!$B$2:$F$28,MATCH(F979,'2.職務職能需求'!$A$2:$A$28,0),MATCH(D979,'2.職務職能需求'!$B$1:$F$1,0)),0),""))</f>
        <v/>
      </c>
      <c r="H979" s="94" t="n"/>
      <c r="I979" s="94" t="n"/>
      <c r="J979" s="120">
        <f>IF(OR(G979="",I979="",G979=0),"",I979-G979)</f>
        <v/>
      </c>
      <c r="K979" s="120">
        <f>IF(G979="","",IF(G979=0,"不適用",IF(I979="","待評核",IF(I979&gt;=G979,IF(I979&gt;G979,"超越","達標"),"待發展"))))</f>
        <v/>
      </c>
      <c r="L979" s="91" t="n"/>
      <c r="M979" s="91" t="n"/>
      <c r="N979" s="88" t="n"/>
    </row>
    <row r="980" ht="15.75" customHeight="1" s="64">
      <c r="A980" s="88" t="n"/>
      <c r="B980" s="120">
        <f t="array" ref="B980:B980">IF(A980="","",IFERROR(INDEX('3.員工名單'!$B:$B,MATCH(A980,'3.員工名單'!$A:$A,0)),"查無此員工"))</f>
        <v/>
      </c>
      <c r="C980" s="120">
        <f t="array" ref="C980:C980">IF(A980="","",IFERROR(INDEX('3.員工名單'!$C:$C,MATCH(A980,'3.員工名單'!$A:$A,0)),""))</f>
        <v/>
      </c>
      <c r="D980" s="120">
        <f t="array" ref="D980:D980">IF(A980="","",IFERROR(INDEX('3.員工名單'!$D:$D,MATCH(A980,'3.員工名單'!$A:$A,0)),""))</f>
        <v/>
      </c>
      <c r="E980" s="120">
        <f t="array" ref="E980:E980">IF(F980="","",IFERROR(INDEX('1.職能辭典'!$A:$A,MATCH(F980,'1.職能辭典'!$C:$C,0)),""))</f>
        <v/>
      </c>
      <c r="F980" s="94" t="n"/>
      <c r="G980" s="120">
        <f t="array" ref="G980:G980">IF(OR(D980="",F980=""),"",IFERROR(IF(AND(OR(INDEX('1.職能辭典'!$J:$J,MATCH(F980,'1.職能辭典'!$C:$C,0))="全部",INDEX('3.員工名單'!$H:$H,MATCH(A980,'3.員工名單'!$A:$A,0))="兩款共用",INDEX('3.員工名單'!$H:$H,MATCH(A980,'3.員工名單'!$A:$A,0))=INDEX('1.職能辭典'!$J:$J,MATCH(F980,'1.職能辭典'!$C:$C,0))),OR(INDEX('1.職能辭典'!$K:$K,MATCH(F980,'1.職能辭典'!$C:$C,0))="全部",SUMPRODUCT(ISNUMBER(SEARCH({"經營","管理","財務","企劃","營運","技術","數據","美術","測試","客服"},INDEX('3.員工名單'!$I:$I,MATCH(A980,'3.員工名單'!$A:$A,0))))*ISNUMBER(SEARCH({"經營","管理","財務","企劃","營運","技術","數據","美術","測試","客服"},INDEX('1.職能辭典'!$K:$K,MATCH(F980,'1.職能辭典'!$C:$C,0)))))&gt;0)),INDEX('2.職務職能需求'!$B$2:$F$28,MATCH(F980,'2.職務職能需求'!$A$2:$A$28,0),MATCH(D980,'2.職務職能需求'!$B$1:$F$1,0)),0),""))</f>
        <v/>
      </c>
      <c r="H980" s="94" t="n"/>
      <c r="I980" s="94" t="n"/>
      <c r="J980" s="120">
        <f>IF(OR(G980="",I980="",G980=0),"",I980-G980)</f>
        <v/>
      </c>
      <c r="K980" s="120">
        <f>IF(G980="","",IF(G980=0,"不適用",IF(I980="","待評核",IF(I980&gt;=G980,IF(I980&gt;G980,"超越","達標"),"待發展"))))</f>
        <v/>
      </c>
      <c r="L980" s="91" t="n"/>
      <c r="M980" s="91" t="n"/>
      <c r="N980" s="88" t="n"/>
    </row>
    <row r="981" ht="15.75" customHeight="1" s="64">
      <c r="A981" s="88" t="n"/>
      <c r="B981" s="120">
        <f t="array" ref="B981:B981">IF(A981="","",IFERROR(INDEX('3.員工名單'!$B:$B,MATCH(A981,'3.員工名單'!$A:$A,0)),"查無此員工"))</f>
        <v/>
      </c>
      <c r="C981" s="120">
        <f t="array" ref="C981:C981">IF(A981="","",IFERROR(INDEX('3.員工名單'!$C:$C,MATCH(A981,'3.員工名單'!$A:$A,0)),""))</f>
        <v/>
      </c>
      <c r="D981" s="120">
        <f t="array" ref="D981:D981">IF(A981="","",IFERROR(INDEX('3.員工名單'!$D:$D,MATCH(A981,'3.員工名單'!$A:$A,0)),""))</f>
        <v/>
      </c>
      <c r="E981" s="120">
        <f t="array" ref="E981:E981">IF(F981="","",IFERROR(INDEX('1.職能辭典'!$A:$A,MATCH(F981,'1.職能辭典'!$C:$C,0)),""))</f>
        <v/>
      </c>
      <c r="F981" s="94" t="n"/>
      <c r="G981" s="120">
        <f t="array" ref="G981:G981">IF(OR(D981="",F981=""),"",IFERROR(IF(AND(OR(INDEX('1.職能辭典'!$J:$J,MATCH(F981,'1.職能辭典'!$C:$C,0))="全部",INDEX('3.員工名單'!$H:$H,MATCH(A981,'3.員工名單'!$A:$A,0))="兩款共用",INDEX('3.員工名單'!$H:$H,MATCH(A981,'3.員工名單'!$A:$A,0))=INDEX('1.職能辭典'!$J:$J,MATCH(F981,'1.職能辭典'!$C:$C,0))),OR(INDEX('1.職能辭典'!$K:$K,MATCH(F981,'1.職能辭典'!$C:$C,0))="全部",SUMPRODUCT(ISNUMBER(SEARCH({"經營","管理","財務","企劃","營運","技術","數據","美術","測試","客服"},INDEX('3.員工名單'!$I:$I,MATCH(A981,'3.員工名單'!$A:$A,0))))*ISNUMBER(SEARCH({"經營","管理","財務","企劃","營運","技術","數據","美術","測試","客服"},INDEX('1.職能辭典'!$K:$K,MATCH(F981,'1.職能辭典'!$C:$C,0)))))&gt;0)),INDEX('2.職務職能需求'!$B$2:$F$28,MATCH(F981,'2.職務職能需求'!$A$2:$A$28,0),MATCH(D981,'2.職務職能需求'!$B$1:$F$1,0)),0),""))</f>
        <v/>
      </c>
      <c r="H981" s="94" t="n"/>
      <c r="I981" s="94" t="n"/>
      <c r="J981" s="120">
        <f>IF(OR(G981="",I981="",G981=0),"",I981-G981)</f>
        <v/>
      </c>
      <c r="K981" s="120">
        <f>IF(G981="","",IF(G981=0,"不適用",IF(I981="","待評核",IF(I981&gt;=G981,IF(I981&gt;G981,"超越","達標"),"待發展"))))</f>
        <v/>
      </c>
      <c r="L981" s="91" t="n"/>
      <c r="M981" s="91" t="n"/>
      <c r="N981" s="88" t="n"/>
    </row>
    <row r="982" ht="15.75" customHeight="1" s="64">
      <c r="A982" s="88" t="n"/>
      <c r="B982" s="120">
        <f t="array" ref="B982:B982">IF(A982="","",IFERROR(INDEX('3.員工名單'!$B:$B,MATCH(A982,'3.員工名單'!$A:$A,0)),"查無此員工"))</f>
        <v/>
      </c>
      <c r="C982" s="120">
        <f t="array" ref="C982:C982">IF(A982="","",IFERROR(INDEX('3.員工名單'!$C:$C,MATCH(A982,'3.員工名單'!$A:$A,0)),""))</f>
        <v/>
      </c>
      <c r="D982" s="120">
        <f t="array" ref="D982:D982">IF(A982="","",IFERROR(INDEX('3.員工名單'!$D:$D,MATCH(A982,'3.員工名單'!$A:$A,0)),""))</f>
        <v/>
      </c>
      <c r="E982" s="120">
        <f t="array" ref="E982:E982">IF(F982="","",IFERROR(INDEX('1.職能辭典'!$A:$A,MATCH(F982,'1.職能辭典'!$C:$C,0)),""))</f>
        <v/>
      </c>
      <c r="F982" s="94" t="n"/>
      <c r="G982" s="120">
        <f t="array" ref="G982:G982">IF(OR(D982="",F982=""),"",IFERROR(IF(AND(OR(INDEX('1.職能辭典'!$J:$J,MATCH(F982,'1.職能辭典'!$C:$C,0))="全部",INDEX('3.員工名單'!$H:$H,MATCH(A982,'3.員工名單'!$A:$A,0))="兩款共用",INDEX('3.員工名單'!$H:$H,MATCH(A982,'3.員工名單'!$A:$A,0))=INDEX('1.職能辭典'!$J:$J,MATCH(F982,'1.職能辭典'!$C:$C,0))),OR(INDEX('1.職能辭典'!$K:$K,MATCH(F982,'1.職能辭典'!$C:$C,0))="全部",SUMPRODUCT(ISNUMBER(SEARCH({"經營","管理","財務","企劃","營運","技術","數據","美術","測試","客服"},INDEX('3.員工名單'!$I:$I,MATCH(A982,'3.員工名單'!$A:$A,0))))*ISNUMBER(SEARCH({"經營","管理","財務","企劃","營運","技術","數據","美術","測試","客服"},INDEX('1.職能辭典'!$K:$K,MATCH(F982,'1.職能辭典'!$C:$C,0)))))&gt;0)),INDEX('2.職務職能需求'!$B$2:$F$28,MATCH(F982,'2.職務職能需求'!$A$2:$A$28,0),MATCH(D982,'2.職務職能需求'!$B$1:$F$1,0)),0),""))</f>
        <v/>
      </c>
      <c r="H982" s="94" t="n"/>
      <c r="I982" s="94" t="n"/>
      <c r="J982" s="120">
        <f>IF(OR(G982="",I982="",G982=0),"",I982-G982)</f>
        <v/>
      </c>
      <c r="K982" s="120">
        <f>IF(G982="","",IF(G982=0,"不適用",IF(I982="","待評核",IF(I982&gt;=G982,IF(I982&gt;G982,"超越","達標"),"待發展"))))</f>
        <v/>
      </c>
      <c r="L982" s="91" t="n"/>
      <c r="M982" s="91" t="n"/>
      <c r="N982" s="88" t="n"/>
    </row>
    <row r="983" ht="15.75" customHeight="1" s="64">
      <c r="A983" s="88" t="n"/>
      <c r="B983" s="120">
        <f t="array" ref="B983:B983">IF(A983="","",IFERROR(INDEX('3.員工名單'!$B:$B,MATCH(A983,'3.員工名單'!$A:$A,0)),"查無此員工"))</f>
        <v/>
      </c>
      <c r="C983" s="120">
        <f t="array" ref="C983:C983">IF(A983="","",IFERROR(INDEX('3.員工名單'!$C:$C,MATCH(A983,'3.員工名單'!$A:$A,0)),""))</f>
        <v/>
      </c>
      <c r="D983" s="120">
        <f t="array" ref="D983:D983">IF(A983="","",IFERROR(INDEX('3.員工名單'!$D:$D,MATCH(A983,'3.員工名單'!$A:$A,0)),""))</f>
        <v/>
      </c>
      <c r="E983" s="120">
        <f t="array" ref="E983:E983">IF(F983="","",IFERROR(INDEX('1.職能辭典'!$A:$A,MATCH(F983,'1.職能辭典'!$C:$C,0)),""))</f>
        <v/>
      </c>
      <c r="F983" s="94" t="n"/>
      <c r="G983" s="120">
        <f t="array" ref="G983:G983">IF(OR(D983="",F983=""),"",IFERROR(IF(AND(OR(INDEX('1.職能辭典'!$J:$J,MATCH(F983,'1.職能辭典'!$C:$C,0))="全部",INDEX('3.員工名單'!$H:$H,MATCH(A983,'3.員工名單'!$A:$A,0))="兩款共用",INDEX('3.員工名單'!$H:$H,MATCH(A983,'3.員工名單'!$A:$A,0))=INDEX('1.職能辭典'!$J:$J,MATCH(F983,'1.職能辭典'!$C:$C,0))),OR(INDEX('1.職能辭典'!$K:$K,MATCH(F983,'1.職能辭典'!$C:$C,0))="全部",SUMPRODUCT(ISNUMBER(SEARCH({"經營","管理","財務","企劃","營運","技術","數據","美術","測試","客服"},INDEX('3.員工名單'!$I:$I,MATCH(A983,'3.員工名單'!$A:$A,0))))*ISNUMBER(SEARCH({"經營","管理","財務","企劃","營運","技術","數據","美術","測試","客服"},INDEX('1.職能辭典'!$K:$K,MATCH(F983,'1.職能辭典'!$C:$C,0)))))&gt;0)),INDEX('2.職務職能需求'!$B$2:$F$28,MATCH(F983,'2.職務職能需求'!$A$2:$A$28,0),MATCH(D983,'2.職務職能需求'!$B$1:$F$1,0)),0),""))</f>
        <v/>
      </c>
      <c r="H983" s="94" t="n"/>
      <c r="I983" s="94" t="n"/>
      <c r="J983" s="120">
        <f>IF(OR(G983="",I983="",G983=0),"",I983-G983)</f>
        <v/>
      </c>
      <c r="K983" s="120">
        <f>IF(G983="","",IF(G983=0,"不適用",IF(I983="","待評核",IF(I983&gt;=G983,IF(I983&gt;G983,"超越","達標"),"待發展"))))</f>
        <v/>
      </c>
      <c r="L983" s="91" t="n"/>
      <c r="M983" s="91" t="n"/>
      <c r="N983" s="88" t="n"/>
    </row>
    <row r="984" ht="15.75" customHeight="1" s="64">
      <c r="A984" s="88" t="n"/>
      <c r="B984" s="120">
        <f t="array" ref="B984:B984">IF(A984="","",IFERROR(INDEX('3.員工名單'!$B:$B,MATCH(A984,'3.員工名單'!$A:$A,0)),"查無此員工"))</f>
        <v/>
      </c>
      <c r="C984" s="120">
        <f t="array" ref="C984:C984">IF(A984="","",IFERROR(INDEX('3.員工名單'!$C:$C,MATCH(A984,'3.員工名單'!$A:$A,0)),""))</f>
        <v/>
      </c>
      <c r="D984" s="120">
        <f t="array" ref="D984:D984">IF(A984="","",IFERROR(INDEX('3.員工名單'!$D:$D,MATCH(A984,'3.員工名單'!$A:$A,0)),""))</f>
        <v/>
      </c>
      <c r="E984" s="120">
        <f t="array" ref="E984:E984">IF(F984="","",IFERROR(INDEX('1.職能辭典'!$A:$A,MATCH(F984,'1.職能辭典'!$C:$C,0)),""))</f>
        <v/>
      </c>
      <c r="F984" s="94" t="n"/>
      <c r="G984" s="120">
        <f t="array" ref="G984:G984">IF(OR(D984="",F984=""),"",IFERROR(IF(AND(OR(INDEX('1.職能辭典'!$J:$J,MATCH(F984,'1.職能辭典'!$C:$C,0))="全部",INDEX('3.員工名單'!$H:$H,MATCH(A984,'3.員工名單'!$A:$A,0))="兩款共用",INDEX('3.員工名單'!$H:$H,MATCH(A984,'3.員工名單'!$A:$A,0))=INDEX('1.職能辭典'!$J:$J,MATCH(F984,'1.職能辭典'!$C:$C,0))),OR(INDEX('1.職能辭典'!$K:$K,MATCH(F984,'1.職能辭典'!$C:$C,0))="全部",SUMPRODUCT(ISNUMBER(SEARCH({"經營","管理","財務","企劃","營運","技術","數據","美術","測試","客服"},INDEX('3.員工名單'!$I:$I,MATCH(A984,'3.員工名單'!$A:$A,0))))*ISNUMBER(SEARCH({"經營","管理","財務","企劃","營運","技術","數據","美術","測試","客服"},INDEX('1.職能辭典'!$K:$K,MATCH(F984,'1.職能辭典'!$C:$C,0)))))&gt;0)),INDEX('2.職務職能需求'!$B$2:$F$28,MATCH(F984,'2.職務職能需求'!$A$2:$A$28,0),MATCH(D984,'2.職務職能需求'!$B$1:$F$1,0)),0),""))</f>
        <v/>
      </c>
      <c r="H984" s="94" t="n"/>
      <c r="I984" s="94" t="n"/>
      <c r="J984" s="120">
        <f>IF(OR(G984="",I984="",G984=0),"",I984-G984)</f>
        <v/>
      </c>
      <c r="K984" s="120">
        <f>IF(G984="","",IF(G984=0,"不適用",IF(I984="","待評核",IF(I984&gt;=G984,IF(I984&gt;G984,"超越","達標"),"待發展"))))</f>
        <v/>
      </c>
      <c r="L984" s="91" t="n"/>
      <c r="M984" s="91" t="n"/>
      <c r="N984" s="88" t="n"/>
    </row>
    <row r="985" ht="15.75" customHeight="1" s="64">
      <c r="A985" s="88" t="n"/>
      <c r="B985" s="120">
        <f t="array" ref="B985:B985">IF(A985="","",IFERROR(INDEX('3.員工名單'!$B:$B,MATCH(A985,'3.員工名單'!$A:$A,0)),"查無此員工"))</f>
        <v/>
      </c>
      <c r="C985" s="120">
        <f t="array" ref="C985:C985">IF(A985="","",IFERROR(INDEX('3.員工名單'!$C:$C,MATCH(A985,'3.員工名單'!$A:$A,0)),""))</f>
        <v/>
      </c>
      <c r="D985" s="120">
        <f t="array" ref="D985:D985">IF(A985="","",IFERROR(INDEX('3.員工名單'!$D:$D,MATCH(A985,'3.員工名單'!$A:$A,0)),""))</f>
        <v/>
      </c>
      <c r="E985" s="120">
        <f t="array" ref="E985:E985">IF(F985="","",IFERROR(INDEX('1.職能辭典'!$A:$A,MATCH(F985,'1.職能辭典'!$C:$C,0)),""))</f>
        <v/>
      </c>
      <c r="F985" s="94" t="n"/>
      <c r="G985" s="120">
        <f t="array" ref="G985:G985">IF(OR(D985="",F985=""),"",IFERROR(IF(AND(OR(INDEX('1.職能辭典'!$J:$J,MATCH(F985,'1.職能辭典'!$C:$C,0))="全部",INDEX('3.員工名單'!$H:$H,MATCH(A985,'3.員工名單'!$A:$A,0))="兩款共用",INDEX('3.員工名單'!$H:$H,MATCH(A985,'3.員工名單'!$A:$A,0))=INDEX('1.職能辭典'!$J:$J,MATCH(F985,'1.職能辭典'!$C:$C,0))),OR(INDEX('1.職能辭典'!$K:$K,MATCH(F985,'1.職能辭典'!$C:$C,0))="全部",SUMPRODUCT(ISNUMBER(SEARCH({"經營","管理","財務","企劃","營運","技術","數據","美術","測試","客服"},INDEX('3.員工名單'!$I:$I,MATCH(A985,'3.員工名單'!$A:$A,0))))*ISNUMBER(SEARCH({"經營","管理","財務","企劃","營運","技術","數據","美術","測試","客服"},INDEX('1.職能辭典'!$K:$K,MATCH(F985,'1.職能辭典'!$C:$C,0)))))&gt;0)),INDEX('2.職務職能需求'!$B$2:$F$28,MATCH(F985,'2.職務職能需求'!$A$2:$A$28,0),MATCH(D985,'2.職務職能需求'!$B$1:$F$1,0)),0),""))</f>
        <v/>
      </c>
      <c r="H985" s="94" t="n"/>
      <c r="I985" s="94" t="n"/>
      <c r="J985" s="120">
        <f>IF(OR(G985="",I985="",G985=0),"",I985-G985)</f>
        <v/>
      </c>
      <c r="K985" s="120">
        <f>IF(G985="","",IF(G985=0,"不適用",IF(I985="","待評核",IF(I985&gt;=G985,IF(I985&gt;G985,"超越","達標"),"待發展"))))</f>
        <v/>
      </c>
      <c r="L985" s="91" t="n"/>
      <c r="M985" s="91" t="n"/>
      <c r="N985" s="88" t="n"/>
    </row>
    <row r="986" ht="15.75" customHeight="1" s="64">
      <c r="A986" s="88" t="n"/>
      <c r="B986" s="120">
        <f t="array" ref="B986:B986">IF(A986="","",IFERROR(INDEX('3.員工名單'!$B:$B,MATCH(A986,'3.員工名單'!$A:$A,0)),"查無此員工"))</f>
        <v/>
      </c>
      <c r="C986" s="120">
        <f t="array" ref="C986:C986">IF(A986="","",IFERROR(INDEX('3.員工名單'!$C:$C,MATCH(A986,'3.員工名單'!$A:$A,0)),""))</f>
        <v/>
      </c>
      <c r="D986" s="120">
        <f t="array" ref="D986:D986">IF(A986="","",IFERROR(INDEX('3.員工名單'!$D:$D,MATCH(A986,'3.員工名單'!$A:$A,0)),""))</f>
        <v/>
      </c>
      <c r="E986" s="120">
        <f t="array" ref="E986:E986">IF(F986="","",IFERROR(INDEX('1.職能辭典'!$A:$A,MATCH(F986,'1.職能辭典'!$C:$C,0)),""))</f>
        <v/>
      </c>
      <c r="F986" s="94" t="n"/>
      <c r="G986" s="120">
        <f t="array" ref="G986:G986">IF(OR(D986="",F986=""),"",IFERROR(IF(AND(OR(INDEX('1.職能辭典'!$J:$J,MATCH(F986,'1.職能辭典'!$C:$C,0))="全部",INDEX('3.員工名單'!$H:$H,MATCH(A986,'3.員工名單'!$A:$A,0))="兩款共用",INDEX('3.員工名單'!$H:$H,MATCH(A986,'3.員工名單'!$A:$A,0))=INDEX('1.職能辭典'!$J:$J,MATCH(F986,'1.職能辭典'!$C:$C,0))),OR(INDEX('1.職能辭典'!$K:$K,MATCH(F986,'1.職能辭典'!$C:$C,0))="全部",SUMPRODUCT(ISNUMBER(SEARCH({"經營","管理","財務","企劃","營運","技術","數據","美術","測試","客服"},INDEX('3.員工名單'!$I:$I,MATCH(A986,'3.員工名單'!$A:$A,0))))*ISNUMBER(SEARCH({"經營","管理","財務","企劃","營運","技術","數據","美術","測試","客服"},INDEX('1.職能辭典'!$K:$K,MATCH(F986,'1.職能辭典'!$C:$C,0)))))&gt;0)),INDEX('2.職務職能需求'!$B$2:$F$28,MATCH(F986,'2.職務職能需求'!$A$2:$A$28,0),MATCH(D986,'2.職務職能需求'!$B$1:$F$1,0)),0),""))</f>
        <v/>
      </c>
      <c r="H986" s="94" t="n"/>
      <c r="I986" s="94" t="n"/>
      <c r="J986" s="120">
        <f>IF(OR(G986="",I986="",G986=0),"",I986-G986)</f>
        <v/>
      </c>
      <c r="K986" s="120">
        <f>IF(G986="","",IF(G986=0,"不適用",IF(I986="","待評核",IF(I986&gt;=G986,IF(I986&gt;G986,"超越","達標"),"待發展"))))</f>
        <v/>
      </c>
      <c r="L986" s="91" t="n"/>
      <c r="M986" s="91" t="n"/>
      <c r="N986" s="88" t="n"/>
    </row>
    <row r="987" ht="15.75" customHeight="1" s="64">
      <c r="A987" s="88" t="n"/>
      <c r="B987" s="120">
        <f t="array" ref="B987:B987">IF(A987="","",IFERROR(INDEX('3.員工名單'!$B:$B,MATCH(A987,'3.員工名單'!$A:$A,0)),"查無此員工"))</f>
        <v/>
      </c>
      <c r="C987" s="120">
        <f t="array" ref="C987:C987">IF(A987="","",IFERROR(INDEX('3.員工名單'!$C:$C,MATCH(A987,'3.員工名單'!$A:$A,0)),""))</f>
        <v/>
      </c>
      <c r="D987" s="120">
        <f t="array" ref="D987:D987">IF(A987="","",IFERROR(INDEX('3.員工名單'!$D:$D,MATCH(A987,'3.員工名單'!$A:$A,0)),""))</f>
        <v/>
      </c>
      <c r="E987" s="120">
        <f t="array" ref="E987:E987">IF(F987="","",IFERROR(INDEX('1.職能辭典'!$A:$A,MATCH(F987,'1.職能辭典'!$C:$C,0)),""))</f>
        <v/>
      </c>
      <c r="F987" s="94" t="n"/>
      <c r="G987" s="120">
        <f t="array" ref="G987:G987">IF(OR(D987="",F987=""),"",IFERROR(IF(AND(OR(INDEX('1.職能辭典'!$J:$J,MATCH(F987,'1.職能辭典'!$C:$C,0))="全部",INDEX('3.員工名單'!$H:$H,MATCH(A987,'3.員工名單'!$A:$A,0))="兩款共用",INDEX('3.員工名單'!$H:$H,MATCH(A987,'3.員工名單'!$A:$A,0))=INDEX('1.職能辭典'!$J:$J,MATCH(F987,'1.職能辭典'!$C:$C,0))),OR(INDEX('1.職能辭典'!$K:$K,MATCH(F987,'1.職能辭典'!$C:$C,0))="全部",SUMPRODUCT(ISNUMBER(SEARCH({"經營","管理","財務","企劃","營運","技術","數據","美術","測試","客服"},INDEX('3.員工名單'!$I:$I,MATCH(A987,'3.員工名單'!$A:$A,0))))*ISNUMBER(SEARCH({"經營","管理","財務","企劃","營運","技術","數據","美術","測試","客服"},INDEX('1.職能辭典'!$K:$K,MATCH(F987,'1.職能辭典'!$C:$C,0)))))&gt;0)),INDEX('2.職務職能需求'!$B$2:$F$28,MATCH(F987,'2.職務職能需求'!$A$2:$A$28,0),MATCH(D987,'2.職務職能需求'!$B$1:$F$1,0)),0),""))</f>
        <v/>
      </c>
      <c r="H987" s="94" t="n"/>
      <c r="I987" s="94" t="n"/>
      <c r="J987" s="120">
        <f>IF(OR(G987="",I987="",G987=0),"",I987-G987)</f>
        <v/>
      </c>
      <c r="K987" s="120">
        <f>IF(G987="","",IF(G987=0,"不適用",IF(I987="","待評核",IF(I987&gt;=G987,IF(I987&gt;G987,"超越","達標"),"待發展"))))</f>
        <v/>
      </c>
      <c r="L987" s="91" t="n"/>
      <c r="M987" s="91" t="n"/>
      <c r="N987" s="88" t="n"/>
    </row>
    <row r="988" ht="15.75" customHeight="1" s="64">
      <c r="A988" s="88" t="n"/>
      <c r="B988" s="120">
        <f t="array" ref="B988:B988">IF(A988="","",IFERROR(INDEX('3.員工名單'!$B:$B,MATCH(A988,'3.員工名單'!$A:$A,0)),"查無此員工"))</f>
        <v/>
      </c>
      <c r="C988" s="120">
        <f t="array" ref="C988:C988">IF(A988="","",IFERROR(INDEX('3.員工名單'!$C:$C,MATCH(A988,'3.員工名單'!$A:$A,0)),""))</f>
        <v/>
      </c>
      <c r="D988" s="120">
        <f t="array" ref="D988:D988">IF(A988="","",IFERROR(INDEX('3.員工名單'!$D:$D,MATCH(A988,'3.員工名單'!$A:$A,0)),""))</f>
        <v/>
      </c>
      <c r="E988" s="120">
        <f t="array" ref="E988:E988">IF(F988="","",IFERROR(INDEX('1.職能辭典'!$A:$A,MATCH(F988,'1.職能辭典'!$C:$C,0)),""))</f>
        <v/>
      </c>
      <c r="F988" s="94" t="n"/>
      <c r="G988" s="120">
        <f t="array" ref="G988:G988">IF(OR(D988="",F988=""),"",IFERROR(IF(AND(OR(INDEX('1.職能辭典'!$J:$J,MATCH(F988,'1.職能辭典'!$C:$C,0))="全部",INDEX('3.員工名單'!$H:$H,MATCH(A988,'3.員工名單'!$A:$A,0))="兩款共用",INDEX('3.員工名單'!$H:$H,MATCH(A988,'3.員工名單'!$A:$A,0))=INDEX('1.職能辭典'!$J:$J,MATCH(F988,'1.職能辭典'!$C:$C,0))),OR(INDEX('1.職能辭典'!$K:$K,MATCH(F988,'1.職能辭典'!$C:$C,0))="全部",SUMPRODUCT(ISNUMBER(SEARCH({"經營","管理","財務","企劃","營運","技術","數據","美術","測試","客服"},INDEX('3.員工名單'!$I:$I,MATCH(A988,'3.員工名單'!$A:$A,0))))*ISNUMBER(SEARCH({"經營","管理","財務","企劃","營運","技術","數據","美術","測試","客服"},INDEX('1.職能辭典'!$K:$K,MATCH(F988,'1.職能辭典'!$C:$C,0)))))&gt;0)),INDEX('2.職務職能需求'!$B$2:$F$28,MATCH(F988,'2.職務職能需求'!$A$2:$A$28,0),MATCH(D988,'2.職務職能需求'!$B$1:$F$1,0)),0),""))</f>
        <v/>
      </c>
      <c r="H988" s="94" t="n"/>
      <c r="I988" s="94" t="n"/>
      <c r="J988" s="120">
        <f>IF(OR(G988="",I988="",G988=0),"",I988-G988)</f>
        <v/>
      </c>
      <c r="K988" s="120">
        <f>IF(G988="","",IF(G988=0,"不適用",IF(I988="","待評核",IF(I988&gt;=G988,IF(I988&gt;G988,"超越","達標"),"待發展"))))</f>
        <v/>
      </c>
      <c r="L988" s="91" t="n"/>
      <c r="M988" s="91" t="n"/>
      <c r="N988" s="88" t="n"/>
    </row>
    <row r="989" ht="15.75" customHeight="1" s="64">
      <c r="A989" s="88" t="n"/>
      <c r="B989" s="120">
        <f t="array" ref="B989:B989">IF(A989="","",IFERROR(INDEX('3.員工名單'!$B:$B,MATCH(A989,'3.員工名單'!$A:$A,0)),"查無此員工"))</f>
        <v/>
      </c>
      <c r="C989" s="120">
        <f t="array" ref="C989:C989">IF(A989="","",IFERROR(INDEX('3.員工名單'!$C:$C,MATCH(A989,'3.員工名單'!$A:$A,0)),""))</f>
        <v/>
      </c>
      <c r="D989" s="120">
        <f t="array" ref="D989:D989">IF(A989="","",IFERROR(INDEX('3.員工名單'!$D:$D,MATCH(A989,'3.員工名單'!$A:$A,0)),""))</f>
        <v/>
      </c>
      <c r="E989" s="120">
        <f t="array" ref="E989:E989">IF(F989="","",IFERROR(INDEX('1.職能辭典'!$A:$A,MATCH(F989,'1.職能辭典'!$C:$C,0)),""))</f>
        <v/>
      </c>
      <c r="F989" s="94" t="n"/>
      <c r="G989" s="120">
        <f t="array" ref="G989:G989">IF(OR(D989="",F989=""),"",IFERROR(IF(AND(OR(INDEX('1.職能辭典'!$J:$J,MATCH(F989,'1.職能辭典'!$C:$C,0))="全部",INDEX('3.員工名單'!$H:$H,MATCH(A989,'3.員工名單'!$A:$A,0))="兩款共用",INDEX('3.員工名單'!$H:$H,MATCH(A989,'3.員工名單'!$A:$A,0))=INDEX('1.職能辭典'!$J:$J,MATCH(F989,'1.職能辭典'!$C:$C,0))),OR(INDEX('1.職能辭典'!$K:$K,MATCH(F989,'1.職能辭典'!$C:$C,0))="全部",SUMPRODUCT(ISNUMBER(SEARCH({"經營","管理","財務","企劃","營運","技術","數據","美術","測試","客服"},INDEX('3.員工名單'!$I:$I,MATCH(A989,'3.員工名單'!$A:$A,0))))*ISNUMBER(SEARCH({"經營","管理","財務","企劃","營運","技術","數據","美術","測試","客服"},INDEX('1.職能辭典'!$K:$K,MATCH(F989,'1.職能辭典'!$C:$C,0)))))&gt;0)),INDEX('2.職務職能需求'!$B$2:$F$28,MATCH(F989,'2.職務職能需求'!$A$2:$A$28,0),MATCH(D989,'2.職務職能需求'!$B$1:$F$1,0)),0),""))</f>
        <v/>
      </c>
      <c r="H989" s="94" t="n"/>
      <c r="I989" s="94" t="n"/>
      <c r="J989" s="120">
        <f>IF(OR(G989="",I989="",G989=0),"",I989-G989)</f>
        <v/>
      </c>
      <c r="K989" s="120">
        <f>IF(G989="","",IF(G989=0,"不適用",IF(I989="","待評核",IF(I989&gt;=G989,IF(I989&gt;G989,"超越","達標"),"待發展"))))</f>
        <v/>
      </c>
      <c r="L989" s="91" t="n"/>
      <c r="M989" s="91" t="n"/>
      <c r="N989" s="88" t="n"/>
    </row>
    <row r="990" ht="15.75" customHeight="1" s="64">
      <c r="A990" s="88" t="n"/>
      <c r="B990" s="120">
        <f t="array" ref="B990:B990">IF(A990="","",IFERROR(INDEX('3.員工名單'!$B:$B,MATCH(A990,'3.員工名單'!$A:$A,0)),"查無此員工"))</f>
        <v/>
      </c>
      <c r="C990" s="120">
        <f t="array" ref="C990:C990">IF(A990="","",IFERROR(INDEX('3.員工名單'!$C:$C,MATCH(A990,'3.員工名單'!$A:$A,0)),""))</f>
        <v/>
      </c>
      <c r="D990" s="120">
        <f t="array" ref="D990:D990">IF(A990="","",IFERROR(INDEX('3.員工名單'!$D:$D,MATCH(A990,'3.員工名單'!$A:$A,0)),""))</f>
        <v/>
      </c>
      <c r="E990" s="120">
        <f t="array" ref="E990:E990">IF(F990="","",IFERROR(INDEX('1.職能辭典'!$A:$A,MATCH(F990,'1.職能辭典'!$C:$C,0)),""))</f>
        <v/>
      </c>
      <c r="F990" s="94" t="n"/>
      <c r="G990" s="120">
        <f t="array" ref="G990:G990">IF(OR(D990="",F990=""),"",IFERROR(IF(AND(OR(INDEX('1.職能辭典'!$J:$J,MATCH(F990,'1.職能辭典'!$C:$C,0))="全部",INDEX('3.員工名單'!$H:$H,MATCH(A990,'3.員工名單'!$A:$A,0))="兩款共用",INDEX('3.員工名單'!$H:$H,MATCH(A990,'3.員工名單'!$A:$A,0))=INDEX('1.職能辭典'!$J:$J,MATCH(F990,'1.職能辭典'!$C:$C,0))),OR(INDEX('1.職能辭典'!$K:$K,MATCH(F990,'1.職能辭典'!$C:$C,0))="全部",SUMPRODUCT(ISNUMBER(SEARCH({"經營","管理","財務","企劃","營運","技術","數據","美術","測試","客服"},INDEX('3.員工名單'!$I:$I,MATCH(A990,'3.員工名單'!$A:$A,0))))*ISNUMBER(SEARCH({"經營","管理","財務","企劃","營運","技術","數據","美術","測試","客服"},INDEX('1.職能辭典'!$K:$K,MATCH(F990,'1.職能辭典'!$C:$C,0)))))&gt;0)),INDEX('2.職務職能需求'!$B$2:$F$28,MATCH(F990,'2.職務職能需求'!$A$2:$A$28,0),MATCH(D990,'2.職務職能需求'!$B$1:$F$1,0)),0),""))</f>
        <v/>
      </c>
      <c r="H990" s="94" t="n"/>
      <c r="I990" s="94" t="n"/>
      <c r="J990" s="120">
        <f>IF(OR(G990="",I990="",G990=0),"",I990-G990)</f>
        <v/>
      </c>
      <c r="K990" s="120">
        <f>IF(G990="","",IF(G990=0,"不適用",IF(I990="","待評核",IF(I990&gt;=G990,IF(I990&gt;G990,"超越","達標"),"待發展"))))</f>
        <v/>
      </c>
      <c r="L990" s="91" t="n"/>
      <c r="M990" s="91" t="n"/>
      <c r="N990" s="88" t="n"/>
    </row>
    <row r="991" ht="15.75" customHeight="1" s="64">
      <c r="A991" s="88" t="n"/>
      <c r="B991" s="120">
        <f t="array" ref="B991:B991">IF(A991="","",IFERROR(INDEX('3.員工名單'!$B:$B,MATCH(A991,'3.員工名單'!$A:$A,0)),"查無此員工"))</f>
        <v/>
      </c>
      <c r="C991" s="120">
        <f t="array" ref="C991:C991">IF(A991="","",IFERROR(INDEX('3.員工名單'!$C:$C,MATCH(A991,'3.員工名單'!$A:$A,0)),""))</f>
        <v/>
      </c>
      <c r="D991" s="120">
        <f t="array" ref="D991:D991">IF(A991="","",IFERROR(INDEX('3.員工名單'!$D:$D,MATCH(A991,'3.員工名單'!$A:$A,0)),""))</f>
        <v/>
      </c>
      <c r="E991" s="120">
        <f t="array" ref="E991:E991">IF(F991="","",IFERROR(INDEX('1.職能辭典'!$A:$A,MATCH(F991,'1.職能辭典'!$C:$C,0)),""))</f>
        <v/>
      </c>
      <c r="F991" s="94" t="n"/>
      <c r="G991" s="120">
        <f t="array" ref="G991:G991">IF(OR(D991="",F991=""),"",IFERROR(IF(AND(OR(INDEX('1.職能辭典'!$J:$J,MATCH(F991,'1.職能辭典'!$C:$C,0))="全部",INDEX('3.員工名單'!$H:$H,MATCH(A991,'3.員工名單'!$A:$A,0))="兩款共用",INDEX('3.員工名單'!$H:$H,MATCH(A991,'3.員工名單'!$A:$A,0))=INDEX('1.職能辭典'!$J:$J,MATCH(F991,'1.職能辭典'!$C:$C,0))),OR(INDEX('1.職能辭典'!$K:$K,MATCH(F991,'1.職能辭典'!$C:$C,0))="全部",SUMPRODUCT(ISNUMBER(SEARCH({"經營","管理","財務","企劃","營運","技術","數據","美術","測試","客服"},INDEX('3.員工名單'!$I:$I,MATCH(A991,'3.員工名單'!$A:$A,0))))*ISNUMBER(SEARCH({"經營","管理","財務","企劃","營運","技術","數據","美術","測試","客服"},INDEX('1.職能辭典'!$K:$K,MATCH(F991,'1.職能辭典'!$C:$C,0)))))&gt;0)),INDEX('2.職務職能需求'!$B$2:$F$28,MATCH(F991,'2.職務職能需求'!$A$2:$A$28,0),MATCH(D991,'2.職務職能需求'!$B$1:$F$1,0)),0),""))</f>
        <v/>
      </c>
      <c r="H991" s="94" t="n"/>
      <c r="I991" s="94" t="n"/>
      <c r="J991" s="120">
        <f>IF(OR(G991="",I991="",G991=0),"",I991-G991)</f>
        <v/>
      </c>
      <c r="K991" s="120">
        <f>IF(G991="","",IF(G991=0,"不適用",IF(I991="","待評核",IF(I991&gt;=G991,IF(I991&gt;G991,"超越","達標"),"待發展"))))</f>
        <v/>
      </c>
      <c r="L991" s="91" t="n"/>
      <c r="M991" s="91" t="n"/>
      <c r="N991" s="88" t="n"/>
    </row>
    <row r="992" ht="15.75" customHeight="1" s="64">
      <c r="A992" s="88" t="n"/>
      <c r="B992" s="120">
        <f t="array" ref="B992:B992">IF(A992="","",IFERROR(INDEX('3.員工名單'!$B:$B,MATCH(A992,'3.員工名單'!$A:$A,0)),"查無此員工"))</f>
        <v/>
      </c>
      <c r="C992" s="120">
        <f t="array" ref="C992:C992">IF(A992="","",IFERROR(INDEX('3.員工名單'!$C:$C,MATCH(A992,'3.員工名單'!$A:$A,0)),""))</f>
        <v/>
      </c>
      <c r="D992" s="120">
        <f t="array" ref="D992:D992">IF(A992="","",IFERROR(INDEX('3.員工名單'!$D:$D,MATCH(A992,'3.員工名單'!$A:$A,0)),""))</f>
        <v/>
      </c>
      <c r="E992" s="120">
        <f t="array" ref="E992:E992">IF(F992="","",IFERROR(INDEX('1.職能辭典'!$A:$A,MATCH(F992,'1.職能辭典'!$C:$C,0)),""))</f>
        <v/>
      </c>
      <c r="F992" s="94" t="n"/>
      <c r="G992" s="120">
        <f t="array" ref="G992:G992">IF(OR(D992="",F992=""),"",IFERROR(IF(AND(OR(INDEX('1.職能辭典'!$J:$J,MATCH(F992,'1.職能辭典'!$C:$C,0))="全部",INDEX('3.員工名單'!$H:$H,MATCH(A992,'3.員工名單'!$A:$A,0))="兩款共用",INDEX('3.員工名單'!$H:$H,MATCH(A992,'3.員工名單'!$A:$A,0))=INDEX('1.職能辭典'!$J:$J,MATCH(F992,'1.職能辭典'!$C:$C,0))),OR(INDEX('1.職能辭典'!$K:$K,MATCH(F992,'1.職能辭典'!$C:$C,0))="全部",SUMPRODUCT(ISNUMBER(SEARCH({"經營","管理","財務","企劃","營運","技術","數據","美術","測試","客服"},INDEX('3.員工名單'!$I:$I,MATCH(A992,'3.員工名單'!$A:$A,0))))*ISNUMBER(SEARCH({"經營","管理","財務","企劃","營運","技術","數據","美術","測試","客服"},INDEX('1.職能辭典'!$K:$K,MATCH(F992,'1.職能辭典'!$C:$C,0)))))&gt;0)),INDEX('2.職務職能需求'!$B$2:$F$28,MATCH(F992,'2.職務職能需求'!$A$2:$A$28,0),MATCH(D992,'2.職務職能需求'!$B$1:$F$1,0)),0),""))</f>
        <v/>
      </c>
      <c r="H992" s="94" t="n"/>
      <c r="I992" s="94" t="n"/>
      <c r="J992" s="120">
        <f>IF(OR(G992="",I992="",G992=0),"",I992-G992)</f>
        <v/>
      </c>
      <c r="K992" s="120">
        <f>IF(G992="","",IF(G992=0,"不適用",IF(I992="","待評核",IF(I992&gt;=G992,IF(I992&gt;G992,"超越","達標"),"待發展"))))</f>
        <v/>
      </c>
      <c r="L992" s="91" t="n"/>
      <c r="M992" s="91" t="n"/>
      <c r="N992" s="88" t="n"/>
    </row>
    <row r="993" ht="15.75" customHeight="1" s="64">
      <c r="A993" s="88" t="n"/>
      <c r="B993" s="120">
        <f t="array" ref="B993:B993">IF(A993="","",IFERROR(INDEX('3.員工名單'!$B:$B,MATCH(A993,'3.員工名單'!$A:$A,0)),"查無此員工"))</f>
        <v/>
      </c>
      <c r="C993" s="120">
        <f t="array" ref="C993:C993">IF(A993="","",IFERROR(INDEX('3.員工名單'!$C:$C,MATCH(A993,'3.員工名單'!$A:$A,0)),""))</f>
        <v/>
      </c>
      <c r="D993" s="120">
        <f t="array" ref="D993:D993">IF(A993="","",IFERROR(INDEX('3.員工名單'!$D:$D,MATCH(A993,'3.員工名單'!$A:$A,0)),""))</f>
        <v/>
      </c>
      <c r="E993" s="120">
        <f t="array" ref="E993:E993">IF(F993="","",IFERROR(INDEX('1.職能辭典'!$A:$A,MATCH(F993,'1.職能辭典'!$C:$C,0)),""))</f>
        <v/>
      </c>
      <c r="F993" s="94" t="n"/>
      <c r="G993" s="120">
        <f t="array" ref="G993:G993">IF(OR(D993="",F993=""),"",IFERROR(IF(AND(OR(INDEX('1.職能辭典'!$J:$J,MATCH(F993,'1.職能辭典'!$C:$C,0))="全部",INDEX('3.員工名單'!$H:$H,MATCH(A993,'3.員工名單'!$A:$A,0))="兩款共用",INDEX('3.員工名單'!$H:$H,MATCH(A993,'3.員工名單'!$A:$A,0))=INDEX('1.職能辭典'!$J:$J,MATCH(F993,'1.職能辭典'!$C:$C,0))),OR(INDEX('1.職能辭典'!$K:$K,MATCH(F993,'1.職能辭典'!$C:$C,0))="全部",SUMPRODUCT(ISNUMBER(SEARCH({"經營","管理","財務","企劃","營運","技術","數據","美術","測試","客服"},INDEX('3.員工名單'!$I:$I,MATCH(A993,'3.員工名單'!$A:$A,0))))*ISNUMBER(SEARCH({"經營","管理","財務","企劃","營運","技術","數據","美術","測試","客服"},INDEX('1.職能辭典'!$K:$K,MATCH(F993,'1.職能辭典'!$C:$C,0)))))&gt;0)),INDEX('2.職務職能需求'!$B$2:$F$28,MATCH(F993,'2.職務職能需求'!$A$2:$A$28,0),MATCH(D993,'2.職務職能需求'!$B$1:$F$1,0)),0),""))</f>
        <v/>
      </c>
      <c r="H993" s="94" t="n"/>
      <c r="I993" s="94" t="n"/>
      <c r="J993" s="120">
        <f>IF(OR(G993="",I993="",G993=0),"",I993-G993)</f>
        <v/>
      </c>
      <c r="K993" s="120">
        <f>IF(G993="","",IF(G993=0,"不適用",IF(I993="","待評核",IF(I993&gt;=G993,IF(I993&gt;G993,"超越","達標"),"待發展"))))</f>
        <v/>
      </c>
      <c r="L993" s="91" t="n"/>
      <c r="M993" s="91" t="n"/>
      <c r="N993" s="88" t="n"/>
    </row>
    <row r="994" ht="15.75" customHeight="1" s="64">
      <c r="A994" s="88" t="n"/>
      <c r="B994" s="120">
        <f t="array" ref="B994:B994">IF(A994="","",IFERROR(INDEX('3.員工名單'!$B:$B,MATCH(A994,'3.員工名單'!$A:$A,0)),"查無此員工"))</f>
        <v/>
      </c>
      <c r="C994" s="120">
        <f t="array" ref="C994:C994">IF(A994="","",IFERROR(INDEX('3.員工名單'!$C:$C,MATCH(A994,'3.員工名單'!$A:$A,0)),""))</f>
        <v/>
      </c>
      <c r="D994" s="120">
        <f t="array" ref="D994:D994">IF(A994="","",IFERROR(INDEX('3.員工名單'!$D:$D,MATCH(A994,'3.員工名單'!$A:$A,0)),""))</f>
        <v/>
      </c>
      <c r="E994" s="120">
        <f t="array" ref="E994:E994">IF(F994="","",IFERROR(INDEX('1.職能辭典'!$A:$A,MATCH(F994,'1.職能辭典'!$C:$C,0)),""))</f>
        <v/>
      </c>
      <c r="F994" s="94" t="n"/>
      <c r="G994" s="120">
        <f t="array" ref="G994:G994">IF(OR(D994="",F994=""),"",IFERROR(IF(AND(OR(INDEX('1.職能辭典'!$J:$J,MATCH(F994,'1.職能辭典'!$C:$C,0))="全部",INDEX('3.員工名單'!$H:$H,MATCH(A994,'3.員工名單'!$A:$A,0))="兩款共用",INDEX('3.員工名單'!$H:$H,MATCH(A994,'3.員工名單'!$A:$A,0))=INDEX('1.職能辭典'!$J:$J,MATCH(F994,'1.職能辭典'!$C:$C,0))),OR(INDEX('1.職能辭典'!$K:$K,MATCH(F994,'1.職能辭典'!$C:$C,0))="全部",SUMPRODUCT(ISNUMBER(SEARCH({"經營","管理","財務","企劃","營運","技術","數據","美術","測試","客服"},INDEX('3.員工名單'!$I:$I,MATCH(A994,'3.員工名單'!$A:$A,0))))*ISNUMBER(SEARCH({"經營","管理","財務","企劃","營運","技術","數據","美術","測試","客服"},INDEX('1.職能辭典'!$K:$K,MATCH(F994,'1.職能辭典'!$C:$C,0)))))&gt;0)),INDEX('2.職務職能需求'!$B$2:$F$28,MATCH(F994,'2.職務職能需求'!$A$2:$A$28,0),MATCH(D994,'2.職務職能需求'!$B$1:$F$1,0)),0),""))</f>
        <v/>
      </c>
      <c r="H994" s="94" t="n"/>
      <c r="I994" s="94" t="n"/>
      <c r="J994" s="120">
        <f>IF(OR(G994="",I994="",G994=0),"",I994-G994)</f>
        <v/>
      </c>
      <c r="K994" s="120">
        <f>IF(G994="","",IF(G994=0,"不適用",IF(I994="","待評核",IF(I994&gt;=G994,IF(I994&gt;G994,"超越","達標"),"待發展"))))</f>
        <v/>
      </c>
      <c r="L994" s="91" t="n"/>
      <c r="M994" s="91" t="n"/>
      <c r="N994" s="88" t="n"/>
    </row>
    <row r="995" ht="15.75" customHeight="1" s="64">
      <c r="A995" s="88" t="n"/>
      <c r="B995" s="120">
        <f t="array" ref="B995:B995">IF(A995="","",IFERROR(INDEX('3.員工名單'!$B:$B,MATCH(A995,'3.員工名單'!$A:$A,0)),"查無此員工"))</f>
        <v/>
      </c>
      <c r="C995" s="120">
        <f t="array" ref="C995:C995">IF(A995="","",IFERROR(INDEX('3.員工名單'!$C:$C,MATCH(A995,'3.員工名單'!$A:$A,0)),""))</f>
        <v/>
      </c>
      <c r="D995" s="120">
        <f t="array" ref="D995:D995">IF(A995="","",IFERROR(INDEX('3.員工名單'!$D:$D,MATCH(A995,'3.員工名單'!$A:$A,0)),""))</f>
        <v/>
      </c>
      <c r="E995" s="120">
        <f t="array" ref="E995:E995">IF(F995="","",IFERROR(INDEX('1.職能辭典'!$A:$A,MATCH(F995,'1.職能辭典'!$C:$C,0)),""))</f>
        <v/>
      </c>
      <c r="F995" s="94" t="n"/>
      <c r="G995" s="120">
        <f t="array" ref="G995:G995">IF(OR(D995="",F995=""),"",IFERROR(IF(AND(OR(INDEX('1.職能辭典'!$J:$J,MATCH(F995,'1.職能辭典'!$C:$C,0))="全部",INDEX('3.員工名單'!$H:$H,MATCH(A995,'3.員工名單'!$A:$A,0))="兩款共用",INDEX('3.員工名單'!$H:$H,MATCH(A995,'3.員工名單'!$A:$A,0))=INDEX('1.職能辭典'!$J:$J,MATCH(F995,'1.職能辭典'!$C:$C,0))),OR(INDEX('1.職能辭典'!$K:$K,MATCH(F995,'1.職能辭典'!$C:$C,0))="全部",SUMPRODUCT(ISNUMBER(SEARCH({"經營","管理","財務","企劃","營運","技術","數據","美術","測試","客服"},INDEX('3.員工名單'!$I:$I,MATCH(A995,'3.員工名單'!$A:$A,0))))*ISNUMBER(SEARCH({"經營","管理","財務","企劃","營運","技術","數據","美術","測試","客服"},INDEX('1.職能辭典'!$K:$K,MATCH(F995,'1.職能辭典'!$C:$C,0)))))&gt;0)),INDEX('2.職務職能需求'!$B$2:$F$28,MATCH(F995,'2.職務職能需求'!$A$2:$A$28,0),MATCH(D995,'2.職務職能需求'!$B$1:$F$1,0)),0),""))</f>
        <v/>
      </c>
      <c r="H995" s="94" t="n"/>
      <c r="I995" s="94" t="n"/>
      <c r="J995" s="120">
        <f>IF(OR(G995="",I995="",G995=0),"",I995-G995)</f>
        <v/>
      </c>
      <c r="K995" s="120">
        <f>IF(G995="","",IF(G995=0,"不適用",IF(I995="","待評核",IF(I995&gt;=G995,IF(I995&gt;G995,"超越","達標"),"待發展"))))</f>
        <v/>
      </c>
      <c r="L995" s="91" t="n"/>
      <c r="M995" s="91" t="n"/>
      <c r="N995" s="88" t="n"/>
    </row>
    <row r="996" ht="15.75" customHeight="1" s="64">
      <c r="A996" s="88" t="n"/>
      <c r="B996" s="120">
        <f t="array" ref="B996:B996">IF(A996="","",IFERROR(INDEX('3.員工名單'!$B:$B,MATCH(A996,'3.員工名單'!$A:$A,0)),"查無此員工"))</f>
        <v/>
      </c>
      <c r="C996" s="120">
        <f t="array" ref="C996:C996">IF(A996="","",IFERROR(INDEX('3.員工名單'!$C:$C,MATCH(A996,'3.員工名單'!$A:$A,0)),""))</f>
        <v/>
      </c>
      <c r="D996" s="120">
        <f t="array" ref="D996:D996">IF(A996="","",IFERROR(INDEX('3.員工名單'!$D:$D,MATCH(A996,'3.員工名單'!$A:$A,0)),""))</f>
        <v/>
      </c>
      <c r="E996" s="120">
        <f t="array" ref="E996:E996">IF(F996="","",IFERROR(INDEX('1.職能辭典'!$A:$A,MATCH(F996,'1.職能辭典'!$C:$C,0)),""))</f>
        <v/>
      </c>
      <c r="F996" s="94" t="n"/>
      <c r="G996" s="120">
        <f t="array" ref="G996:G996">IF(OR(D996="",F996=""),"",IFERROR(IF(AND(OR(INDEX('1.職能辭典'!$J:$J,MATCH(F996,'1.職能辭典'!$C:$C,0))="全部",INDEX('3.員工名單'!$H:$H,MATCH(A996,'3.員工名單'!$A:$A,0))="兩款共用",INDEX('3.員工名單'!$H:$H,MATCH(A996,'3.員工名單'!$A:$A,0))=INDEX('1.職能辭典'!$J:$J,MATCH(F996,'1.職能辭典'!$C:$C,0))),OR(INDEX('1.職能辭典'!$K:$K,MATCH(F996,'1.職能辭典'!$C:$C,0))="全部",SUMPRODUCT(ISNUMBER(SEARCH({"經營","管理","財務","企劃","營運","技術","數據","美術","測試","客服"},INDEX('3.員工名單'!$I:$I,MATCH(A996,'3.員工名單'!$A:$A,0))))*ISNUMBER(SEARCH({"經營","管理","財務","企劃","營運","技術","數據","美術","測試","客服"},INDEX('1.職能辭典'!$K:$K,MATCH(F996,'1.職能辭典'!$C:$C,0)))))&gt;0)),INDEX('2.職務職能需求'!$B$2:$F$28,MATCH(F996,'2.職務職能需求'!$A$2:$A$28,0),MATCH(D996,'2.職務職能需求'!$B$1:$F$1,0)),0),""))</f>
        <v/>
      </c>
      <c r="H996" s="94" t="n"/>
      <c r="I996" s="94" t="n"/>
      <c r="J996" s="120">
        <f>IF(OR(G996="",I996="",G996=0),"",I996-G996)</f>
        <v/>
      </c>
      <c r="K996" s="120">
        <f>IF(G996="","",IF(G996=0,"不適用",IF(I996="","待評核",IF(I996&gt;=G996,IF(I996&gt;G996,"超越","達標"),"待發展"))))</f>
        <v/>
      </c>
      <c r="L996" s="91" t="n"/>
      <c r="M996" s="91" t="n"/>
      <c r="N996" s="88" t="n"/>
    </row>
    <row r="997" ht="15.75" customHeight="1" s="64">
      <c r="A997" s="88" t="n"/>
      <c r="B997" s="120">
        <f t="array" ref="B997:B997">IF(A997="","",IFERROR(INDEX('3.員工名單'!$B:$B,MATCH(A997,'3.員工名單'!$A:$A,0)),"查無此員工"))</f>
        <v/>
      </c>
      <c r="C997" s="120">
        <f t="array" ref="C997:C997">IF(A997="","",IFERROR(INDEX('3.員工名單'!$C:$C,MATCH(A997,'3.員工名單'!$A:$A,0)),""))</f>
        <v/>
      </c>
      <c r="D997" s="120">
        <f t="array" ref="D997:D997">IF(A997="","",IFERROR(INDEX('3.員工名單'!$D:$D,MATCH(A997,'3.員工名單'!$A:$A,0)),""))</f>
        <v/>
      </c>
      <c r="E997" s="120">
        <f t="array" ref="E997:E997">IF(F997="","",IFERROR(INDEX('1.職能辭典'!$A:$A,MATCH(F997,'1.職能辭典'!$C:$C,0)),""))</f>
        <v/>
      </c>
      <c r="F997" s="94" t="n"/>
      <c r="G997" s="120">
        <f t="array" ref="G997:G997">IF(OR(D997="",F997=""),"",IFERROR(IF(AND(OR(INDEX('1.職能辭典'!$J:$J,MATCH(F997,'1.職能辭典'!$C:$C,0))="全部",INDEX('3.員工名單'!$H:$H,MATCH(A997,'3.員工名單'!$A:$A,0))="兩款共用",INDEX('3.員工名單'!$H:$H,MATCH(A997,'3.員工名單'!$A:$A,0))=INDEX('1.職能辭典'!$J:$J,MATCH(F997,'1.職能辭典'!$C:$C,0))),OR(INDEX('1.職能辭典'!$K:$K,MATCH(F997,'1.職能辭典'!$C:$C,0))="全部",SUMPRODUCT(ISNUMBER(SEARCH({"經營","管理","財務","企劃","營運","技術","數據","美術","測試","客服"},INDEX('3.員工名單'!$I:$I,MATCH(A997,'3.員工名單'!$A:$A,0))))*ISNUMBER(SEARCH({"經營","管理","財務","企劃","營運","技術","數據","美術","測試","客服"},INDEX('1.職能辭典'!$K:$K,MATCH(F997,'1.職能辭典'!$C:$C,0)))))&gt;0)),INDEX('2.職務職能需求'!$B$2:$F$28,MATCH(F997,'2.職務職能需求'!$A$2:$A$28,0),MATCH(D997,'2.職務職能需求'!$B$1:$F$1,0)),0),""))</f>
        <v/>
      </c>
      <c r="H997" s="94" t="n"/>
      <c r="I997" s="94" t="n"/>
      <c r="J997" s="120">
        <f>IF(OR(G997="",I997="",G997=0),"",I997-G997)</f>
        <v/>
      </c>
      <c r="K997" s="120">
        <f>IF(G997="","",IF(G997=0,"不適用",IF(I997="","待評核",IF(I997&gt;=G997,IF(I997&gt;G997,"超越","達標"),"待發展"))))</f>
        <v/>
      </c>
      <c r="L997" s="91" t="n"/>
      <c r="M997" s="91" t="n"/>
      <c r="N997" s="88" t="n"/>
    </row>
    <row r="998" ht="15.75" customHeight="1" s="64">
      <c r="A998" s="88" t="n"/>
      <c r="B998" s="120">
        <f t="array" ref="B998:B998">IF(A998="","",IFERROR(INDEX('3.員工名單'!$B:$B,MATCH(A998,'3.員工名單'!$A:$A,0)),"查無此員工"))</f>
        <v/>
      </c>
      <c r="C998" s="120">
        <f t="array" ref="C998:C998">IF(A998="","",IFERROR(INDEX('3.員工名單'!$C:$C,MATCH(A998,'3.員工名單'!$A:$A,0)),""))</f>
        <v/>
      </c>
      <c r="D998" s="120">
        <f t="array" ref="D998:D998">IF(A998="","",IFERROR(INDEX('3.員工名單'!$D:$D,MATCH(A998,'3.員工名單'!$A:$A,0)),""))</f>
        <v/>
      </c>
      <c r="E998" s="120">
        <f t="array" ref="E998:E998">IF(F998="","",IFERROR(INDEX('1.職能辭典'!$A:$A,MATCH(F998,'1.職能辭典'!$C:$C,0)),""))</f>
        <v/>
      </c>
      <c r="F998" s="94" t="n"/>
      <c r="G998" s="120">
        <f t="array" ref="G998:G998">IF(OR(D998="",F998=""),"",IFERROR(IF(AND(OR(INDEX('1.職能辭典'!$J:$J,MATCH(F998,'1.職能辭典'!$C:$C,0))="全部",INDEX('3.員工名單'!$H:$H,MATCH(A998,'3.員工名單'!$A:$A,0))="兩款共用",INDEX('3.員工名單'!$H:$H,MATCH(A998,'3.員工名單'!$A:$A,0))=INDEX('1.職能辭典'!$J:$J,MATCH(F998,'1.職能辭典'!$C:$C,0))),OR(INDEX('1.職能辭典'!$K:$K,MATCH(F998,'1.職能辭典'!$C:$C,0))="全部",SUMPRODUCT(ISNUMBER(SEARCH({"經營","管理","財務","企劃","營運","技術","數據","美術","測試","客服"},INDEX('3.員工名單'!$I:$I,MATCH(A998,'3.員工名單'!$A:$A,0))))*ISNUMBER(SEARCH({"經營","管理","財務","企劃","營運","技術","數據","美術","測試","客服"},INDEX('1.職能辭典'!$K:$K,MATCH(F998,'1.職能辭典'!$C:$C,0)))))&gt;0)),INDEX('2.職務職能需求'!$B$2:$F$28,MATCH(F998,'2.職務職能需求'!$A$2:$A$28,0),MATCH(D998,'2.職務職能需求'!$B$1:$F$1,0)),0),""))</f>
        <v/>
      </c>
      <c r="H998" s="94" t="n"/>
      <c r="I998" s="94" t="n"/>
      <c r="J998" s="120">
        <f>IF(OR(G998="",I998="",G998=0),"",I998-G998)</f>
        <v/>
      </c>
      <c r="K998" s="120">
        <f>IF(G998="","",IF(G998=0,"不適用",IF(I998="","待評核",IF(I998&gt;=G998,IF(I998&gt;G998,"超越","達標"),"待發展"))))</f>
        <v/>
      </c>
      <c r="L998" s="91" t="n"/>
      <c r="M998" s="91" t="n"/>
      <c r="N998" s="88" t="n"/>
    </row>
    <row r="999" ht="15.75" customHeight="1" s="64">
      <c r="A999" s="88" t="n"/>
      <c r="B999" s="120">
        <f t="array" ref="B999:B999">IF(A999="","",IFERROR(INDEX('3.員工名單'!$B:$B,MATCH(A999,'3.員工名單'!$A:$A,0)),"查無此員工"))</f>
        <v/>
      </c>
      <c r="C999" s="120">
        <f t="array" ref="C999:C999">IF(A999="","",IFERROR(INDEX('3.員工名單'!$C:$C,MATCH(A999,'3.員工名單'!$A:$A,0)),""))</f>
        <v/>
      </c>
      <c r="D999" s="120">
        <f t="array" ref="D999:D999">IF(A999="","",IFERROR(INDEX('3.員工名單'!$D:$D,MATCH(A999,'3.員工名單'!$A:$A,0)),""))</f>
        <v/>
      </c>
      <c r="E999" s="120">
        <f t="array" ref="E999:E999">IF(F999="","",IFERROR(INDEX('1.職能辭典'!$A:$A,MATCH(F999,'1.職能辭典'!$C:$C,0)),""))</f>
        <v/>
      </c>
      <c r="F999" s="94" t="n"/>
      <c r="G999" s="120">
        <f t="array" ref="G999:G999">IF(OR(D999="",F999=""),"",IFERROR(IF(AND(OR(INDEX('1.職能辭典'!$J:$J,MATCH(F999,'1.職能辭典'!$C:$C,0))="全部",INDEX('3.員工名單'!$H:$H,MATCH(A999,'3.員工名單'!$A:$A,0))="兩款共用",INDEX('3.員工名單'!$H:$H,MATCH(A999,'3.員工名單'!$A:$A,0))=INDEX('1.職能辭典'!$J:$J,MATCH(F999,'1.職能辭典'!$C:$C,0))),OR(INDEX('1.職能辭典'!$K:$K,MATCH(F999,'1.職能辭典'!$C:$C,0))="全部",SUMPRODUCT(ISNUMBER(SEARCH({"經營","管理","財務","企劃","營運","技術","數據","美術","測試","客服"},INDEX('3.員工名單'!$I:$I,MATCH(A999,'3.員工名單'!$A:$A,0))))*ISNUMBER(SEARCH({"經營","管理","財務","企劃","營運","技術","數據","美術","測試","客服"},INDEX('1.職能辭典'!$K:$K,MATCH(F999,'1.職能辭典'!$C:$C,0)))))&gt;0)),INDEX('2.職務職能需求'!$B$2:$F$28,MATCH(F999,'2.職務職能需求'!$A$2:$A$28,0),MATCH(D999,'2.職務職能需求'!$B$1:$F$1,0)),0),""))</f>
        <v/>
      </c>
      <c r="H999" s="94" t="n"/>
      <c r="I999" s="94" t="n"/>
      <c r="J999" s="120">
        <f>IF(OR(G999="",I999="",G999=0),"",I999-G999)</f>
        <v/>
      </c>
      <c r="K999" s="120">
        <f>IF(G999="","",IF(G999=0,"不適用",IF(I999="","待評核",IF(I999&gt;=G999,IF(I999&gt;G999,"超越","達標"),"待發展"))))</f>
        <v/>
      </c>
      <c r="L999" s="91" t="n"/>
      <c r="M999" s="91" t="n"/>
      <c r="N999" s="88" t="n"/>
    </row>
    <row r="1000" ht="15.75" customHeight="1" s="64">
      <c r="A1000" s="88" t="n"/>
      <c r="B1000" s="120">
        <f t="array" ref="B1000:B1000">IF(A1000="","",IFERROR(INDEX('3.員工名單'!$B:$B,MATCH(A1000,'3.員工名單'!$A:$A,0)),"查無此員工"))</f>
        <v/>
      </c>
      <c r="C1000" s="120">
        <f t="array" ref="C1000:C1000">IF(A1000="","",IFERROR(INDEX('3.員工名單'!$C:$C,MATCH(A1000,'3.員工名單'!$A:$A,0)),""))</f>
        <v/>
      </c>
      <c r="D1000" s="120">
        <f t="array" ref="D1000:D1000">IF(A1000="","",IFERROR(INDEX('3.員工名單'!$D:$D,MATCH(A1000,'3.員工名單'!$A:$A,0)),""))</f>
        <v/>
      </c>
      <c r="E1000" s="120">
        <f t="array" ref="E1000:E1000">IF(F1000="","",IFERROR(INDEX('1.職能辭典'!$A:$A,MATCH(F1000,'1.職能辭典'!$C:$C,0)),""))</f>
        <v/>
      </c>
      <c r="F1000" s="94" t="n"/>
      <c r="G1000" s="120">
        <f t="array" ref="G1000:G1000">IF(OR(D1000="",F1000=""),"",IFERROR(IF(AND(OR(INDEX('1.職能辭典'!$J:$J,MATCH(F1000,'1.職能辭典'!$C:$C,0))="全部",INDEX('3.員工名單'!$H:$H,MATCH(A1000,'3.員工名單'!$A:$A,0))="兩款共用",INDEX('3.員工名單'!$H:$H,MATCH(A1000,'3.員工名單'!$A:$A,0))=INDEX('1.職能辭典'!$J:$J,MATCH(F1000,'1.職能辭典'!$C:$C,0))),OR(INDEX('1.職能辭典'!$K:$K,MATCH(F1000,'1.職能辭典'!$C:$C,0))="全部",SUMPRODUCT(ISNUMBER(SEARCH({"經營","管理","財務","企劃","營運","技術","數據","美術","測試","客服"},INDEX('3.員工名單'!$I:$I,MATCH(A1000,'3.員工名單'!$A:$A,0))))*ISNUMBER(SEARCH({"經營","管理","財務","企劃","營運","技術","數據","美術","測試","客服"},INDEX('1.職能辭典'!$K:$K,MATCH(F1000,'1.職能辭典'!$C:$C,0)))))&gt;0)),INDEX('2.職務職能需求'!$B$2:$F$28,MATCH(F1000,'2.職務職能需求'!$A$2:$A$28,0),MATCH(D1000,'2.職務職能需求'!$B$1:$F$1,0)),0),""))</f>
        <v/>
      </c>
      <c r="H1000" s="94" t="n"/>
      <c r="I1000" s="94" t="n"/>
      <c r="J1000" s="120">
        <f>IF(OR(G1000="",I1000="",G1000=0),"",I1000-G1000)</f>
        <v/>
      </c>
      <c r="K1000" s="120">
        <f>IF(G1000="","",IF(G1000=0,"不適用",IF(I1000="","待評核",IF(I1000&gt;=G1000,IF(I1000&gt;G1000,"超越","達標"),"待發展"))))</f>
        <v/>
      </c>
      <c r="L1000" s="91" t="n"/>
      <c r="M1000" s="91" t="n"/>
      <c r="N1000" s="88" t="n"/>
    </row>
    <row r="1001" ht="15.75" customHeight="1" s="64">
      <c r="A1001" s="88" t="n"/>
      <c r="B1001" s="120">
        <f t="array" ref="B1001:B1001">IF(A1001="","",IFERROR(INDEX('3.員工名單'!$B:$B,MATCH(A1001,'3.員工名單'!$A:$A,0)),"查無此員工"))</f>
        <v/>
      </c>
      <c r="C1001" s="120">
        <f t="array" ref="C1001:C1001">IF(A1001="","",IFERROR(INDEX('3.員工名單'!$C:$C,MATCH(A1001,'3.員工名單'!$A:$A,0)),""))</f>
        <v/>
      </c>
      <c r="D1001" s="120">
        <f t="array" ref="D1001:D1001">IF(A1001="","",IFERROR(INDEX('3.員工名單'!$D:$D,MATCH(A1001,'3.員工名單'!$A:$A,0)),""))</f>
        <v/>
      </c>
      <c r="E1001" s="120">
        <f t="array" ref="E1001:E1001">IF(F1001="","",IFERROR(INDEX('1.職能辭典'!$A:$A,MATCH(F1001,'1.職能辭典'!$C:$C,0)),""))</f>
        <v/>
      </c>
      <c r="F1001" s="94" t="n"/>
      <c r="G1001" s="120">
        <f t="array" ref="G1001:G1001">IF(OR(D1001="",F1001=""),"",IFERROR(IF(AND(OR(INDEX('1.職能辭典'!$J:$J,MATCH(F1001,'1.職能辭典'!$C:$C,0))="全部",INDEX('3.員工名單'!$H:$H,MATCH(A1001,'3.員工名單'!$A:$A,0))="兩款共用",INDEX('3.員工名單'!$H:$H,MATCH(A1001,'3.員工名單'!$A:$A,0))=INDEX('1.職能辭典'!$J:$J,MATCH(F1001,'1.職能辭典'!$C:$C,0))),OR(INDEX('1.職能辭典'!$K:$K,MATCH(F1001,'1.職能辭典'!$C:$C,0))="全部",SUMPRODUCT(ISNUMBER(SEARCH({"經營","管理","財務","企劃","營運","技術","數據","美術","測試","客服"},INDEX('3.員工名單'!$I:$I,MATCH(A1001,'3.員工名單'!$A:$A,0))))*ISNUMBER(SEARCH({"經營","管理","財務","企劃","營運","技術","數據","美術","測試","客服"},INDEX('1.職能辭典'!$K:$K,MATCH(F1001,'1.職能辭典'!$C:$C,0)))))&gt;0)),INDEX('2.職務職能需求'!$B$2:$F$28,MATCH(F1001,'2.職務職能需求'!$A$2:$A$28,0),MATCH(D1001,'2.職務職能需求'!$B$1:$F$1,0)),0),""))</f>
        <v/>
      </c>
      <c r="H1001" s="94" t="n"/>
      <c r="I1001" s="94" t="n"/>
      <c r="J1001" s="120">
        <f>IF(OR(G1001="",I1001="",G1001=0),"",I1001-G1001)</f>
        <v/>
      </c>
      <c r="K1001" s="120">
        <f>IF(G1001="","",IF(G1001=0,"不適用",IF(I1001="","待評核",IF(I1001&gt;=G1001,IF(I1001&gt;G1001,"超越","達標"),"待發展"))))</f>
        <v/>
      </c>
      <c r="L1001" s="91" t="n"/>
      <c r="M1001" s="91" t="n"/>
      <c r="N1001" s="88" t="n"/>
    </row>
    <row r="1002" ht="15.75" customHeight="1" s="64">
      <c r="A1002" s="88" t="n"/>
      <c r="B1002" s="120">
        <f t="array" ref="B1002:B1002">IF(A1002="","",IFERROR(INDEX('3.員工名單'!$B:$B,MATCH(A1002,'3.員工名單'!$A:$A,0)),"查無此員工"))</f>
        <v/>
      </c>
      <c r="C1002" s="120">
        <f t="array" ref="C1002:C1002">IF(A1002="","",IFERROR(INDEX('3.員工名單'!$C:$C,MATCH(A1002,'3.員工名單'!$A:$A,0)),""))</f>
        <v/>
      </c>
      <c r="D1002" s="120">
        <f t="array" ref="D1002:D1002">IF(A1002="","",IFERROR(INDEX('3.員工名單'!$D:$D,MATCH(A1002,'3.員工名單'!$A:$A,0)),""))</f>
        <v/>
      </c>
      <c r="E1002" s="120">
        <f t="array" ref="E1002:E1002">IF(F1002="","",IFERROR(INDEX('1.職能辭典'!$A:$A,MATCH(F1002,'1.職能辭典'!$C:$C,0)),""))</f>
        <v/>
      </c>
      <c r="F1002" s="94" t="n"/>
      <c r="G1002" s="120">
        <f t="array" ref="G1002:G1002">IF(OR(D1002="",F1002=""),"",IFERROR(IF(AND(OR(INDEX('1.職能辭典'!$J:$J,MATCH(F1002,'1.職能辭典'!$C:$C,0))="全部",INDEX('3.員工名單'!$H:$H,MATCH(A1002,'3.員工名單'!$A:$A,0))="兩款共用",INDEX('3.員工名單'!$H:$H,MATCH(A1002,'3.員工名單'!$A:$A,0))=INDEX('1.職能辭典'!$J:$J,MATCH(F1002,'1.職能辭典'!$C:$C,0))),OR(INDEX('1.職能辭典'!$K:$K,MATCH(F1002,'1.職能辭典'!$C:$C,0))="全部",SUMPRODUCT(ISNUMBER(SEARCH({"經營","管理","財務","企劃","營運","技術","數據","美術","測試","客服"},INDEX('3.員工名單'!$I:$I,MATCH(A1002,'3.員工名單'!$A:$A,0))))*ISNUMBER(SEARCH({"經營","管理","財務","企劃","營運","技術","數據","美術","測試","客服"},INDEX('1.職能辭典'!$K:$K,MATCH(F1002,'1.職能辭典'!$C:$C,0)))))&gt;0)),INDEX('2.職務職能需求'!$B$2:$F$28,MATCH(F1002,'2.職務職能需求'!$A$2:$A$28,0),MATCH(D1002,'2.職務職能需求'!$B$1:$F$1,0)),0),""))</f>
        <v/>
      </c>
      <c r="H1002" s="94" t="n"/>
      <c r="I1002" s="94" t="n"/>
      <c r="J1002" s="120">
        <f>IF(OR(G1002="",I1002="",G1002=0),"",I1002-G1002)</f>
        <v/>
      </c>
      <c r="K1002" s="120">
        <f>IF(G1002="","",IF(G1002=0,"不適用",IF(I1002="","待評核",IF(I1002&gt;=G1002,IF(I1002&gt;G1002,"超越","達標"),"待發展"))))</f>
        <v/>
      </c>
      <c r="L1002" s="91" t="n"/>
      <c r="M1002" s="91" t="n"/>
      <c r="N1002" s="88" t="n"/>
    </row>
    <row r="1003" ht="15.75" customHeight="1" s="64">
      <c r="A1003" s="88" t="n"/>
      <c r="B1003" s="120">
        <f t="array" ref="B1003:B1003">IF(A1003="","",IFERROR(INDEX('3.員工名單'!$B:$B,MATCH(A1003,'3.員工名單'!$A:$A,0)),"查無此員工"))</f>
        <v/>
      </c>
      <c r="C1003" s="120">
        <f t="array" ref="C1003:C1003">IF(A1003="","",IFERROR(INDEX('3.員工名單'!$C:$C,MATCH(A1003,'3.員工名單'!$A:$A,0)),""))</f>
        <v/>
      </c>
      <c r="D1003" s="120">
        <f t="array" ref="D1003:D1003">IF(A1003="","",IFERROR(INDEX('3.員工名單'!$D:$D,MATCH(A1003,'3.員工名單'!$A:$A,0)),""))</f>
        <v/>
      </c>
      <c r="E1003" s="120">
        <f t="array" ref="E1003:E1003">IF(F1003="","",IFERROR(INDEX('1.職能辭典'!$A:$A,MATCH(F1003,'1.職能辭典'!$C:$C,0)),""))</f>
        <v/>
      </c>
      <c r="F1003" s="94" t="n"/>
      <c r="G1003" s="120">
        <f t="array" ref="G1003:G1003">IF(OR(D1003="",F1003=""),"",IFERROR(IF(AND(OR(INDEX('1.職能辭典'!$J:$J,MATCH(F1003,'1.職能辭典'!$C:$C,0))="全部",INDEX('3.員工名單'!$H:$H,MATCH(A1003,'3.員工名單'!$A:$A,0))="兩款共用",INDEX('3.員工名單'!$H:$H,MATCH(A1003,'3.員工名單'!$A:$A,0))=INDEX('1.職能辭典'!$J:$J,MATCH(F1003,'1.職能辭典'!$C:$C,0))),OR(INDEX('1.職能辭典'!$K:$K,MATCH(F1003,'1.職能辭典'!$C:$C,0))="全部",SUMPRODUCT(ISNUMBER(SEARCH({"經營","管理","財務","企劃","營運","技術","數據","美術","測試","客服"},INDEX('3.員工名單'!$I:$I,MATCH(A1003,'3.員工名單'!$A:$A,0))))*ISNUMBER(SEARCH({"經營","管理","財務","企劃","營運","技術","數據","美術","測試","客服"},INDEX('1.職能辭典'!$K:$K,MATCH(F1003,'1.職能辭典'!$C:$C,0)))))&gt;0)),INDEX('2.職務職能需求'!$B$2:$F$28,MATCH(F1003,'2.職務職能需求'!$A$2:$A$28,0),MATCH(D1003,'2.職務職能需求'!$B$1:$F$1,0)),0),""))</f>
        <v/>
      </c>
      <c r="H1003" s="94" t="n"/>
      <c r="I1003" s="94" t="n"/>
      <c r="J1003" s="120">
        <f>IF(OR(G1003="",I1003="",G1003=0),"",I1003-G1003)</f>
        <v/>
      </c>
      <c r="K1003" s="120">
        <f>IF(G1003="","",IF(G1003=0,"不適用",IF(I1003="","待評核",IF(I1003&gt;=G1003,IF(I1003&gt;G1003,"超越","達標"),"待發展"))))</f>
        <v/>
      </c>
      <c r="L1003" s="91" t="n"/>
      <c r="M1003" s="91" t="n"/>
      <c r="N1003" s="88" t="n"/>
    </row>
    <row r="1004" ht="15.75" customHeight="1" s="64">
      <c r="A1004" s="88" t="n"/>
      <c r="B1004" s="120">
        <f t="array" ref="B1004:B1004">IF(A1004="","",IFERROR(INDEX('3.員工名單'!$B:$B,MATCH(A1004,'3.員工名單'!$A:$A,0)),"查無此員工"))</f>
        <v/>
      </c>
      <c r="C1004" s="120">
        <f t="array" ref="C1004:C1004">IF(A1004="","",IFERROR(INDEX('3.員工名單'!$C:$C,MATCH(A1004,'3.員工名單'!$A:$A,0)),""))</f>
        <v/>
      </c>
      <c r="D1004" s="120">
        <f t="array" ref="D1004:D1004">IF(A1004="","",IFERROR(INDEX('3.員工名單'!$D:$D,MATCH(A1004,'3.員工名單'!$A:$A,0)),""))</f>
        <v/>
      </c>
      <c r="E1004" s="120">
        <f t="array" ref="E1004:E1004">IF(F1004="","",IFERROR(INDEX('1.職能辭典'!$A:$A,MATCH(F1004,'1.職能辭典'!$C:$C,0)),""))</f>
        <v/>
      </c>
      <c r="F1004" s="94" t="n"/>
      <c r="G1004" s="120">
        <f t="array" ref="G1004:G1004">IF(OR(D1004="",F1004=""),"",IFERROR(IF(AND(OR(INDEX('1.職能辭典'!$J:$J,MATCH(F1004,'1.職能辭典'!$C:$C,0))="全部",INDEX('3.員工名單'!$H:$H,MATCH(A1004,'3.員工名單'!$A:$A,0))="兩款共用",INDEX('3.員工名單'!$H:$H,MATCH(A1004,'3.員工名單'!$A:$A,0))=INDEX('1.職能辭典'!$J:$J,MATCH(F1004,'1.職能辭典'!$C:$C,0))),OR(INDEX('1.職能辭典'!$K:$K,MATCH(F1004,'1.職能辭典'!$C:$C,0))="全部",SUMPRODUCT(ISNUMBER(SEARCH({"經營","管理","財務","企劃","營運","技術","數據","美術","測試","客服"},INDEX('3.員工名單'!$I:$I,MATCH(A1004,'3.員工名單'!$A:$A,0))))*ISNUMBER(SEARCH({"經營","管理","財務","企劃","營運","技術","數據","美術","測試","客服"},INDEX('1.職能辭典'!$K:$K,MATCH(F1004,'1.職能辭典'!$C:$C,0)))))&gt;0)),INDEX('2.職務職能需求'!$B$2:$F$28,MATCH(F1004,'2.職務職能需求'!$A$2:$A$28,0),MATCH(D1004,'2.職務職能需求'!$B$1:$F$1,0)),0),""))</f>
        <v/>
      </c>
      <c r="H1004" s="94" t="n"/>
      <c r="I1004" s="94" t="n"/>
      <c r="J1004" s="120">
        <f>IF(OR(G1004="",I1004="",G1004=0),"",I1004-G1004)</f>
        <v/>
      </c>
      <c r="K1004" s="120">
        <f>IF(G1004="","",IF(G1004=0,"不適用",IF(I1004="","待評核",IF(I1004&gt;=G1004,IF(I1004&gt;G1004,"超越","達標"),"待發展"))))</f>
        <v/>
      </c>
      <c r="L1004" s="91" t="n"/>
      <c r="M1004" s="91" t="n"/>
      <c r="N1004" s="88" t="n"/>
    </row>
    <row r="1005" ht="15.75" customHeight="1" s="64">
      <c r="A1005" s="88" t="n"/>
      <c r="B1005" s="120">
        <f t="array" ref="B1005:B1005">IF(A1005="","",IFERROR(INDEX('3.員工名單'!$B:$B,MATCH(A1005,'3.員工名單'!$A:$A,0)),"查無此員工"))</f>
        <v/>
      </c>
      <c r="C1005" s="120">
        <f t="array" ref="C1005:C1005">IF(A1005="","",IFERROR(INDEX('3.員工名單'!$C:$C,MATCH(A1005,'3.員工名單'!$A:$A,0)),""))</f>
        <v/>
      </c>
      <c r="D1005" s="120">
        <f t="array" ref="D1005:D1005">IF(A1005="","",IFERROR(INDEX('3.員工名單'!$D:$D,MATCH(A1005,'3.員工名單'!$A:$A,0)),""))</f>
        <v/>
      </c>
      <c r="E1005" s="120">
        <f t="array" ref="E1005:E1005">IF(F1005="","",IFERROR(INDEX('1.職能辭典'!$A:$A,MATCH(F1005,'1.職能辭典'!$C:$C,0)),""))</f>
        <v/>
      </c>
      <c r="F1005" s="94" t="n"/>
      <c r="G1005" s="120">
        <f t="array" ref="G1005:G1005">IF(OR(D1005="",F1005=""),"",IFERROR(IF(AND(OR(INDEX('1.職能辭典'!$J:$J,MATCH(F1005,'1.職能辭典'!$C:$C,0))="全部",INDEX('3.員工名單'!$H:$H,MATCH(A1005,'3.員工名單'!$A:$A,0))="兩款共用",INDEX('3.員工名單'!$H:$H,MATCH(A1005,'3.員工名單'!$A:$A,0))=INDEX('1.職能辭典'!$J:$J,MATCH(F1005,'1.職能辭典'!$C:$C,0))),OR(INDEX('1.職能辭典'!$K:$K,MATCH(F1005,'1.職能辭典'!$C:$C,0))="全部",SUMPRODUCT(ISNUMBER(SEARCH({"經營","管理","財務","企劃","營運","技術","數據","美術","測試","客服"},INDEX('3.員工名單'!$I:$I,MATCH(A1005,'3.員工名單'!$A:$A,0))))*ISNUMBER(SEARCH({"經營","管理","財務","企劃","營運","技術","數據","美術","測試","客服"},INDEX('1.職能辭典'!$K:$K,MATCH(F1005,'1.職能辭典'!$C:$C,0)))))&gt;0)),INDEX('2.職務職能需求'!$B$2:$F$28,MATCH(F1005,'2.職務職能需求'!$A$2:$A$28,0),MATCH(D1005,'2.職務職能需求'!$B$1:$F$1,0)),0),""))</f>
        <v/>
      </c>
      <c r="H1005" s="94" t="n"/>
      <c r="I1005" s="94" t="n"/>
      <c r="J1005" s="120">
        <f>IF(OR(G1005="",I1005="",G1005=0),"",I1005-G1005)</f>
        <v/>
      </c>
      <c r="K1005" s="120">
        <f>IF(G1005="","",IF(G1005=0,"不適用",IF(I1005="","待評核",IF(I1005&gt;=G1005,IF(I1005&gt;G1005,"超越","達標"),"待發展"))))</f>
        <v/>
      </c>
      <c r="L1005" s="91" t="n"/>
      <c r="M1005" s="91" t="n"/>
      <c r="N1005" s="88" t="n"/>
    </row>
    <row r="1006" ht="15.75" customHeight="1" s="64">
      <c r="A1006" s="88" t="n"/>
      <c r="B1006" s="120">
        <f t="array" ref="B1006:B1006">IF(A1006="","",IFERROR(INDEX('3.員工名單'!$B:$B,MATCH(A1006,'3.員工名單'!$A:$A,0)),"查無此員工"))</f>
        <v/>
      </c>
      <c r="C1006" s="120">
        <f t="array" ref="C1006:C1006">IF(A1006="","",IFERROR(INDEX('3.員工名單'!$C:$C,MATCH(A1006,'3.員工名單'!$A:$A,0)),""))</f>
        <v/>
      </c>
      <c r="D1006" s="120">
        <f t="array" ref="D1006:D1006">IF(A1006="","",IFERROR(INDEX('3.員工名單'!$D:$D,MATCH(A1006,'3.員工名單'!$A:$A,0)),""))</f>
        <v/>
      </c>
      <c r="E1006" s="120">
        <f t="array" ref="E1006:E1006">IF(F1006="","",IFERROR(INDEX('1.職能辭典'!$A:$A,MATCH(F1006,'1.職能辭典'!$C:$C,0)),""))</f>
        <v/>
      </c>
      <c r="F1006" s="94" t="n"/>
      <c r="G1006" s="120">
        <f t="array" ref="G1006:G1006">IF(OR(D1006="",F1006=""),"",IFERROR(IF(AND(OR(INDEX('1.職能辭典'!$J:$J,MATCH(F1006,'1.職能辭典'!$C:$C,0))="全部",INDEX('3.員工名單'!$H:$H,MATCH(A1006,'3.員工名單'!$A:$A,0))="兩款共用",INDEX('3.員工名單'!$H:$H,MATCH(A1006,'3.員工名單'!$A:$A,0))=INDEX('1.職能辭典'!$J:$J,MATCH(F1006,'1.職能辭典'!$C:$C,0))),OR(INDEX('1.職能辭典'!$K:$K,MATCH(F1006,'1.職能辭典'!$C:$C,0))="全部",SUMPRODUCT(ISNUMBER(SEARCH({"經營","管理","財務","企劃","營運","技術","數據","美術","測試","客服"},INDEX('3.員工名單'!$I:$I,MATCH(A1006,'3.員工名單'!$A:$A,0))))*ISNUMBER(SEARCH({"經營","管理","財務","企劃","營運","技術","數據","美術","測試","客服"},INDEX('1.職能辭典'!$K:$K,MATCH(F1006,'1.職能辭典'!$C:$C,0)))))&gt;0)),INDEX('2.職務職能需求'!$B$2:$F$28,MATCH(F1006,'2.職務職能需求'!$A$2:$A$28,0),MATCH(D1006,'2.職務職能需求'!$B$1:$F$1,0)),0),""))</f>
        <v/>
      </c>
      <c r="H1006" s="94" t="n"/>
      <c r="I1006" s="94" t="n"/>
      <c r="J1006" s="120">
        <f>IF(OR(G1006="",I1006="",G1006=0),"",I1006-G1006)</f>
        <v/>
      </c>
      <c r="K1006" s="120">
        <f>IF(G1006="","",IF(G1006=0,"不適用",IF(I1006="","待評核",IF(I1006&gt;=G1006,IF(I1006&gt;G1006,"超越","達標"),"待發展"))))</f>
        <v/>
      </c>
      <c r="L1006" s="91" t="n"/>
      <c r="M1006" s="91" t="n"/>
      <c r="N1006" s="88" t="n"/>
    </row>
    <row r="1007" ht="15.75" customHeight="1" s="64">
      <c r="A1007" s="88" t="n"/>
      <c r="B1007" s="120">
        <f t="array" ref="B1007:B1007">IF(A1007="","",IFERROR(INDEX('3.員工名單'!$B:$B,MATCH(A1007,'3.員工名單'!$A:$A,0)),"查無此員工"))</f>
        <v/>
      </c>
      <c r="C1007" s="120">
        <f t="array" ref="C1007:C1007">IF(A1007="","",IFERROR(INDEX('3.員工名單'!$C:$C,MATCH(A1007,'3.員工名單'!$A:$A,0)),""))</f>
        <v/>
      </c>
      <c r="D1007" s="120">
        <f t="array" ref="D1007:D1007">IF(A1007="","",IFERROR(INDEX('3.員工名單'!$D:$D,MATCH(A1007,'3.員工名單'!$A:$A,0)),""))</f>
        <v/>
      </c>
      <c r="E1007" s="120">
        <f t="array" ref="E1007:E1007">IF(F1007="","",IFERROR(INDEX('1.職能辭典'!$A:$A,MATCH(F1007,'1.職能辭典'!$C:$C,0)),""))</f>
        <v/>
      </c>
      <c r="F1007" s="94" t="n"/>
      <c r="G1007" s="120">
        <f t="array" ref="G1007:G1007">IF(OR(D1007="",F1007=""),"",IFERROR(IF(AND(OR(INDEX('1.職能辭典'!$J:$J,MATCH(F1007,'1.職能辭典'!$C:$C,0))="全部",INDEX('3.員工名單'!$H:$H,MATCH(A1007,'3.員工名單'!$A:$A,0))="兩款共用",INDEX('3.員工名單'!$H:$H,MATCH(A1007,'3.員工名單'!$A:$A,0))=INDEX('1.職能辭典'!$J:$J,MATCH(F1007,'1.職能辭典'!$C:$C,0))),OR(INDEX('1.職能辭典'!$K:$K,MATCH(F1007,'1.職能辭典'!$C:$C,0))="全部",SUMPRODUCT(ISNUMBER(SEARCH({"經營","管理","財務","企劃","營運","技術","數據","美術","測試","客服"},INDEX('3.員工名單'!$I:$I,MATCH(A1007,'3.員工名單'!$A:$A,0))))*ISNUMBER(SEARCH({"經營","管理","財務","企劃","營運","技術","數據","美術","測試","客服"},INDEX('1.職能辭典'!$K:$K,MATCH(F1007,'1.職能辭典'!$C:$C,0)))))&gt;0)),INDEX('2.職務職能需求'!$B$2:$F$28,MATCH(F1007,'2.職務職能需求'!$A$2:$A$28,0),MATCH(D1007,'2.職務職能需求'!$B$1:$F$1,0)),0),""))</f>
        <v/>
      </c>
      <c r="H1007" s="94" t="n"/>
      <c r="I1007" s="94" t="n"/>
      <c r="J1007" s="120">
        <f>IF(OR(G1007="",I1007="",G1007=0),"",I1007-G1007)</f>
        <v/>
      </c>
      <c r="K1007" s="120">
        <f>IF(G1007="","",IF(G1007=0,"不適用",IF(I1007="","待評核",IF(I1007&gt;=G1007,IF(I1007&gt;G1007,"超越","達標"),"待發展"))))</f>
        <v/>
      </c>
      <c r="L1007" s="91" t="n"/>
      <c r="M1007" s="91" t="n"/>
      <c r="N1007" s="88" t="n"/>
    </row>
    <row r="1008" ht="15.75" customHeight="1" s="64">
      <c r="A1008" s="88" t="n"/>
      <c r="B1008" s="120">
        <f t="array" ref="B1008:B1008">IF(A1008="","",IFERROR(INDEX('3.員工名單'!$B:$B,MATCH(A1008,'3.員工名單'!$A:$A,0)),"查無此員工"))</f>
        <v/>
      </c>
      <c r="C1008" s="120">
        <f t="array" ref="C1008:C1008">IF(A1008="","",IFERROR(INDEX('3.員工名單'!$C:$C,MATCH(A1008,'3.員工名單'!$A:$A,0)),""))</f>
        <v/>
      </c>
      <c r="D1008" s="120">
        <f t="array" ref="D1008:D1008">IF(A1008="","",IFERROR(INDEX('3.員工名單'!$D:$D,MATCH(A1008,'3.員工名單'!$A:$A,0)),""))</f>
        <v/>
      </c>
      <c r="E1008" s="120">
        <f t="array" ref="E1008:E1008">IF(F1008="","",IFERROR(INDEX('1.職能辭典'!$A:$A,MATCH(F1008,'1.職能辭典'!$C:$C,0)),""))</f>
        <v/>
      </c>
      <c r="F1008" s="94" t="n"/>
      <c r="G1008" s="120">
        <f t="array" ref="G1008:G1008">IF(OR(D1008="",F1008=""),"",IFERROR(IF(AND(OR(INDEX('1.職能辭典'!$J:$J,MATCH(F1008,'1.職能辭典'!$C:$C,0))="全部",INDEX('3.員工名單'!$H:$H,MATCH(A1008,'3.員工名單'!$A:$A,0))="兩款共用",INDEX('3.員工名單'!$H:$H,MATCH(A1008,'3.員工名單'!$A:$A,0))=INDEX('1.職能辭典'!$J:$J,MATCH(F1008,'1.職能辭典'!$C:$C,0))),OR(INDEX('1.職能辭典'!$K:$K,MATCH(F1008,'1.職能辭典'!$C:$C,0))="全部",SUMPRODUCT(ISNUMBER(SEARCH({"經營","管理","財務","企劃","營運","技術","數據","美術","測試","客服"},INDEX('3.員工名單'!$I:$I,MATCH(A1008,'3.員工名單'!$A:$A,0))))*ISNUMBER(SEARCH({"經營","管理","財務","企劃","營運","技術","數據","美術","測試","客服"},INDEX('1.職能辭典'!$K:$K,MATCH(F1008,'1.職能辭典'!$C:$C,0)))))&gt;0)),INDEX('2.職務職能需求'!$B$2:$F$28,MATCH(F1008,'2.職務職能需求'!$A$2:$A$28,0),MATCH(D1008,'2.職務職能需求'!$B$1:$F$1,0)),0),""))</f>
        <v/>
      </c>
      <c r="H1008" s="94" t="n"/>
      <c r="I1008" s="94" t="n"/>
      <c r="J1008" s="120">
        <f>IF(OR(G1008="",I1008="",G1008=0),"",I1008-G1008)</f>
        <v/>
      </c>
      <c r="K1008" s="120">
        <f>IF(G1008="","",IF(G1008=0,"不適用",IF(I1008="","待評核",IF(I1008&gt;=G1008,IF(I1008&gt;G1008,"超越","達標"),"待發展"))))</f>
        <v/>
      </c>
      <c r="L1008" s="91" t="n"/>
      <c r="M1008" s="91" t="n"/>
      <c r="N1008" s="88" t="n"/>
    </row>
    <row r="1009" ht="15.75" customHeight="1" s="64">
      <c r="A1009" s="88" t="n"/>
      <c r="B1009" s="120">
        <f t="array" ref="B1009:B1009">IF(A1009="","",IFERROR(INDEX('3.員工名單'!$B:$B,MATCH(A1009,'3.員工名單'!$A:$A,0)),"查無此員工"))</f>
        <v/>
      </c>
      <c r="C1009" s="120">
        <f t="array" ref="C1009:C1009">IF(A1009="","",IFERROR(INDEX('3.員工名單'!$C:$C,MATCH(A1009,'3.員工名單'!$A:$A,0)),""))</f>
        <v/>
      </c>
      <c r="D1009" s="120">
        <f t="array" ref="D1009:D1009">IF(A1009="","",IFERROR(INDEX('3.員工名單'!$D:$D,MATCH(A1009,'3.員工名單'!$A:$A,0)),""))</f>
        <v/>
      </c>
      <c r="E1009" s="120">
        <f t="array" ref="E1009:E1009">IF(F1009="","",IFERROR(INDEX('1.職能辭典'!$A:$A,MATCH(F1009,'1.職能辭典'!$C:$C,0)),""))</f>
        <v/>
      </c>
      <c r="F1009" s="94" t="n"/>
      <c r="G1009" s="120">
        <f t="array" ref="G1009:G1009">IF(OR(D1009="",F1009=""),"",IFERROR(IF(AND(OR(INDEX('1.職能辭典'!$J:$J,MATCH(F1009,'1.職能辭典'!$C:$C,0))="全部",INDEX('3.員工名單'!$H:$H,MATCH(A1009,'3.員工名單'!$A:$A,0))="兩款共用",INDEX('3.員工名單'!$H:$H,MATCH(A1009,'3.員工名單'!$A:$A,0))=INDEX('1.職能辭典'!$J:$J,MATCH(F1009,'1.職能辭典'!$C:$C,0))),OR(INDEX('1.職能辭典'!$K:$K,MATCH(F1009,'1.職能辭典'!$C:$C,0))="全部",SUMPRODUCT(ISNUMBER(SEARCH({"經營","管理","財務","企劃","營運","技術","數據","美術","測試","客服"},INDEX('3.員工名單'!$I:$I,MATCH(A1009,'3.員工名單'!$A:$A,0))))*ISNUMBER(SEARCH({"經營","管理","財務","企劃","營運","技術","數據","美術","測試","客服"},INDEX('1.職能辭典'!$K:$K,MATCH(F1009,'1.職能辭典'!$C:$C,0)))))&gt;0)),INDEX('2.職務職能需求'!$B$2:$F$28,MATCH(F1009,'2.職務職能需求'!$A$2:$A$28,0),MATCH(D1009,'2.職務職能需求'!$B$1:$F$1,0)),0),""))</f>
        <v/>
      </c>
      <c r="H1009" s="94" t="n"/>
      <c r="I1009" s="94" t="n"/>
      <c r="J1009" s="120">
        <f>IF(OR(G1009="",I1009="",G1009=0),"",I1009-G1009)</f>
        <v/>
      </c>
      <c r="K1009" s="120">
        <f>IF(G1009="","",IF(G1009=0,"不適用",IF(I1009="","待評核",IF(I1009&gt;=G1009,IF(I1009&gt;G1009,"超越","達標"),"待發展"))))</f>
        <v/>
      </c>
      <c r="L1009" s="91" t="n"/>
      <c r="M1009" s="91" t="n"/>
      <c r="N1009" s="88" t="n"/>
    </row>
    <row r="1010" ht="15.75" customHeight="1" s="64">
      <c r="A1010" s="88" t="n"/>
      <c r="B1010" s="120">
        <f t="array" ref="B1010:B1010">IF(A1010="","",IFERROR(INDEX('3.員工名單'!$B:$B,MATCH(A1010,'3.員工名單'!$A:$A,0)),"查無此員工"))</f>
        <v/>
      </c>
      <c r="C1010" s="120">
        <f t="array" ref="C1010:C1010">IF(A1010="","",IFERROR(INDEX('3.員工名單'!$C:$C,MATCH(A1010,'3.員工名單'!$A:$A,0)),""))</f>
        <v/>
      </c>
      <c r="D1010" s="120">
        <f t="array" ref="D1010:D1010">IF(A1010="","",IFERROR(INDEX('3.員工名單'!$D:$D,MATCH(A1010,'3.員工名單'!$A:$A,0)),""))</f>
        <v/>
      </c>
      <c r="E1010" s="120">
        <f t="array" ref="E1010:E1010">IF(F1010="","",IFERROR(INDEX('1.職能辭典'!$A:$A,MATCH(F1010,'1.職能辭典'!$C:$C,0)),""))</f>
        <v/>
      </c>
      <c r="F1010" s="94" t="n"/>
      <c r="G1010" s="120">
        <f t="array" ref="G1010:G1010">IF(OR(D1010="",F1010=""),"",IFERROR(IF(AND(OR(INDEX('1.職能辭典'!$J:$J,MATCH(F1010,'1.職能辭典'!$C:$C,0))="全部",INDEX('3.員工名單'!$H:$H,MATCH(A1010,'3.員工名單'!$A:$A,0))="兩款共用",INDEX('3.員工名單'!$H:$H,MATCH(A1010,'3.員工名單'!$A:$A,0))=INDEX('1.職能辭典'!$J:$J,MATCH(F1010,'1.職能辭典'!$C:$C,0))),OR(INDEX('1.職能辭典'!$K:$K,MATCH(F1010,'1.職能辭典'!$C:$C,0))="全部",SUMPRODUCT(ISNUMBER(SEARCH({"經營","管理","財務","企劃","營運","技術","數據","美術","測試","客服"},INDEX('3.員工名單'!$I:$I,MATCH(A1010,'3.員工名單'!$A:$A,0))))*ISNUMBER(SEARCH({"經營","管理","財務","企劃","營運","技術","數據","美術","測試","客服"},INDEX('1.職能辭典'!$K:$K,MATCH(F1010,'1.職能辭典'!$C:$C,0)))))&gt;0)),INDEX('2.職務職能需求'!$B$2:$F$28,MATCH(F1010,'2.職務職能需求'!$A$2:$A$28,0),MATCH(D1010,'2.職務職能需求'!$B$1:$F$1,0)),0),""))</f>
        <v/>
      </c>
      <c r="H1010" s="94" t="n"/>
      <c r="I1010" s="94" t="n"/>
      <c r="J1010" s="120">
        <f>IF(OR(G1010="",I1010="",G1010=0),"",I1010-G1010)</f>
        <v/>
      </c>
      <c r="K1010" s="120">
        <f>IF(G1010="","",IF(G1010=0,"不適用",IF(I1010="","待評核",IF(I1010&gt;=G1010,IF(I1010&gt;G1010,"超越","達標"),"待發展"))))</f>
        <v/>
      </c>
      <c r="L1010" s="91" t="n"/>
      <c r="M1010" s="91" t="n"/>
      <c r="N1010" s="88" t="n"/>
    </row>
    <row r="1011" ht="15.75" customHeight="1" s="64">
      <c r="A1011" s="88" t="n"/>
      <c r="B1011" s="120">
        <f t="array" ref="B1011:B1011">IF(A1011="","",IFERROR(INDEX('3.員工名單'!$B:$B,MATCH(A1011,'3.員工名單'!$A:$A,0)),"查無此員工"))</f>
        <v/>
      </c>
      <c r="C1011" s="120">
        <f t="array" ref="C1011:C1011">IF(A1011="","",IFERROR(INDEX('3.員工名單'!$C:$C,MATCH(A1011,'3.員工名單'!$A:$A,0)),""))</f>
        <v/>
      </c>
      <c r="D1011" s="120">
        <f t="array" ref="D1011:D1011">IF(A1011="","",IFERROR(INDEX('3.員工名單'!$D:$D,MATCH(A1011,'3.員工名單'!$A:$A,0)),""))</f>
        <v/>
      </c>
      <c r="E1011" s="120">
        <f t="array" ref="E1011:E1011">IF(F1011="","",IFERROR(INDEX('1.職能辭典'!$A:$A,MATCH(F1011,'1.職能辭典'!$C:$C,0)),""))</f>
        <v/>
      </c>
      <c r="F1011" s="94" t="n"/>
      <c r="G1011" s="120">
        <f t="array" ref="G1011:G1011">IF(OR(D1011="",F1011=""),"",IFERROR(IF(AND(OR(INDEX('1.職能辭典'!$J:$J,MATCH(F1011,'1.職能辭典'!$C:$C,0))="全部",INDEX('3.員工名單'!$H:$H,MATCH(A1011,'3.員工名單'!$A:$A,0))="兩款共用",INDEX('3.員工名單'!$H:$H,MATCH(A1011,'3.員工名單'!$A:$A,0))=INDEX('1.職能辭典'!$J:$J,MATCH(F1011,'1.職能辭典'!$C:$C,0))),OR(INDEX('1.職能辭典'!$K:$K,MATCH(F1011,'1.職能辭典'!$C:$C,0))="全部",SUMPRODUCT(ISNUMBER(SEARCH({"經營","管理","財務","企劃","營運","技術","數據","美術","測試","客服"},INDEX('3.員工名單'!$I:$I,MATCH(A1011,'3.員工名單'!$A:$A,0))))*ISNUMBER(SEARCH({"經營","管理","財務","企劃","營運","技術","數據","美術","測試","客服"},INDEX('1.職能辭典'!$K:$K,MATCH(F1011,'1.職能辭典'!$C:$C,0)))))&gt;0)),INDEX('2.職務職能需求'!$B$2:$F$28,MATCH(F1011,'2.職務職能需求'!$A$2:$A$28,0),MATCH(D1011,'2.職務職能需求'!$B$1:$F$1,0)),0),""))</f>
        <v/>
      </c>
      <c r="H1011" s="94" t="n"/>
      <c r="I1011" s="94" t="n"/>
      <c r="J1011" s="120">
        <f>IF(OR(G1011="",I1011="",G1011=0),"",I1011-G1011)</f>
        <v/>
      </c>
      <c r="K1011" s="120">
        <f>IF(G1011="","",IF(G1011=0,"不適用",IF(I1011="","待評核",IF(I1011&gt;=G1011,IF(I1011&gt;G1011,"超越","達標"),"待發展"))))</f>
        <v/>
      </c>
      <c r="L1011" s="91" t="n"/>
      <c r="M1011" s="91" t="n"/>
      <c r="N1011" s="88" t="n"/>
    </row>
    <row r="1012" ht="15.75" customHeight="1" s="64">
      <c r="A1012" s="88" t="n"/>
      <c r="B1012" s="120">
        <f t="array" ref="B1012:B1012">IF(A1012="","",IFERROR(INDEX('3.員工名單'!$B:$B,MATCH(A1012,'3.員工名單'!$A:$A,0)),"查無此員工"))</f>
        <v/>
      </c>
      <c r="C1012" s="120">
        <f t="array" ref="C1012:C1012">IF(A1012="","",IFERROR(INDEX('3.員工名單'!$C:$C,MATCH(A1012,'3.員工名單'!$A:$A,0)),""))</f>
        <v/>
      </c>
      <c r="D1012" s="120">
        <f t="array" ref="D1012:D1012">IF(A1012="","",IFERROR(INDEX('3.員工名單'!$D:$D,MATCH(A1012,'3.員工名單'!$A:$A,0)),""))</f>
        <v/>
      </c>
      <c r="E1012" s="120">
        <f t="array" ref="E1012:E1012">IF(F1012="","",IFERROR(INDEX('1.職能辭典'!$A:$A,MATCH(F1012,'1.職能辭典'!$C:$C,0)),""))</f>
        <v/>
      </c>
      <c r="F1012" s="94" t="n"/>
      <c r="G1012" s="120">
        <f t="array" ref="G1012:G1012">IF(OR(D1012="",F1012=""),"",IFERROR(IF(AND(OR(INDEX('1.職能辭典'!$J:$J,MATCH(F1012,'1.職能辭典'!$C:$C,0))="全部",INDEX('3.員工名單'!$H:$H,MATCH(A1012,'3.員工名單'!$A:$A,0))="兩款共用",INDEX('3.員工名單'!$H:$H,MATCH(A1012,'3.員工名單'!$A:$A,0))=INDEX('1.職能辭典'!$J:$J,MATCH(F1012,'1.職能辭典'!$C:$C,0))),OR(INDEX('1.職能辭典'!$K:$K,MATCH(F1012,'1.職能辭典'!$C:$C,0))="全部",SUMPRODUCT(ISNUMBER(SEARCH({"經營","管理","財務","企劃","營運","技術","數據","美術","測試","客服"},INDEX('3.員工名單'!$I:$I,MATCH(A1012,'3.員工名單'!$A:$A,0))))*ISNUMBER(SEARCH({"經營","管理","財務","企劃","營運","技術","數據","美術","測試","客服"},INDEX('1.職能辭典'!$K:$K,MATCH(F1012,'1.職能辭典'!$C:$C,0)))))&gt;0)),INDEX('2.職務職能需求'!$B$2:$F$28,MATCH(F1012,'2.職務職能需求'!$A$2:$A$28,0),MATCH(D1012,'2.職務職能需求'!$B$1:$F$1,0)),0),""))</f>
        <v/>
      </c>
      <c r="H1012" s="94" t="n"/>
      <c r="I1012" s="94" t="n"/>
      <c r="J1012" s="120">
        <f>IF(OR(G1012="",I1012="",G1012=0),"",I1012-G1012)</f>
        <v/>
      </c>
      <c r="K1012" s="120">
        <f>IF(G1012="","",IF(G1012=0,"不適用",IF(I1012="","待評核",IF(I1012&gt;=G1012,IF(I1012&gt;G1012,"超越","達標"),"待發展"))))</f>
        <v/>
      </c>
      <c r="L1012" s="91" t="n"/>
      <c r="M1012" s="91" t="n"/>
      <c r="N1012" s="88" t="n"/>
    </row>
    <row r="1013" ht="15.75" customHeight="1" s="64">
      <c r="A1013" s="88" t="n"/>
      <c r="B1013" s="120">
        <f t="array" ref="B1013:B1013">IF(A1013="","",IFERROR(INDEX('3.員工名單'!$B:$B,MATCH(A1013,'3.員工名單'!$A:$A,0)),"查無此員工"))</f>
        <v/>
      </c>
      <c r="C1013" s="120">
        <f t="array" ref="C1013:C1013">IF(A1013="","",IFERROR(INDEX('3.員工名單'!$C:$C,MATCH(A1013,'3.員工名單'!$A:$A,0)),""))</f>
        <v/>
      </c>
      <c r="D1013" s="120">
        <f t="array" ref="D1013:D1013">IF(A1013="","",IFERROR(INDEX('3.員工名單'!$D:$D,MATCH(A1013,'3.員工名單'!$A:$A,0)),""))</f>
        <v/>
      </c>
      <c r="E1013" s="120">
        <f t="array" ref="E1013:E1013">IF(F1013="","",IFERROR(INDEX('1.職能辭典'!$A:$A,MATCH(F1013,'1.職能辭典'!$C:$C,0)),""))</f>
        <v/>
      </c>
      <c r="F1013" s="94" t="n"/>
      <c r="G1013" s="120">
        <f t="array" ref="G1013:G1013">IF(OR(D1013="",F1013=""),"",IFERROR(IF(AND(OR(INDEX('1.職能辭典'!$J:$J,MATCH(F1013,'1.職能辭典'!$C:$C,0))="全部",INDEX('3.員工名單'!$H:$H,MATCH(A1013,'3.員工名單'!$A:$A,0))="兩款共用",INDEX('3.員工名單'!$H:$H,MATCH(A1013,'3.員工名單'!$A:$A,0))=INDEX('1.職能辭典'!$J:$J,MATCH(F1013,'1.職能辭典'!$C:$C,0))),OR(INDEX('1.職能辭典'!$K:$K,MATCH(F1013,'1.職能辭典'!$C:$C,0))="全部",SUMPRODUCT(ISNUMBER(SEARCH({"經營","管理","財務","企劃","營運","技術","數據","美術","測試","客服"},INDEX('3.員工名單'!$I:$I,MATCH(A1013,'3.員工名單'!$A:$A,0))))*ISNUMBER(SEARCH({"經營","管理","財務","企劃","營運","技術","數據","美術","測試","客服"},INDEX('1.職能辭典'!$K:$K,MATCH(F1013,'1.職能辭典'!$C:$C,0)))))&gt;0)),INDEX('2.職務職能需求'!$B$2:$F$28,MATCH(F1013,'2.職務職能需求'!$A$2:$A$28,0),MATCH(D1013,'2.職務職能需求'!$B$1:$F$1,0)),0),""))</f>
        <v/>
      </c>
      <c r="H1013" s="94" t="n"/>
      <c r="I1013" s="94" t="n"/>
      <c r="J1013" s="120">
        <f>IF(OR(G1013="",I1013="",G1013=0),"",I1013-G1013)</f>
        <v/>
      </c>
      <c r="K1013" s="120">
        <f>IF(G1013="","",IF(G1013=0,"不適用",IF(I1013="","待評核",IF(I1013&gt;=G1013,IF(I1013&gt;G1013,"超越","達標"),"待發展"))))</f>
        <v/>
      </c>
      <c r="L1013" s="91" t="n"/>
      <c r="M1013" s="91" t="n"/>
      <c r="N1013" s="88" t="n"/>
    </row>
    <row r="1014" ht="15.75" customHeight="1" s="64">
      <c r="A1014" s="88" t="n"/>
      <c r="B1014" s="120">
        <f t="array" ref="B1014:B1014">IF(A1014="","",IFERROR(INDEX('3.員工名單'!$B:$B,MATCH(A1014,'3.員工名單'!$A:$A,0)),"查無此員工"))</f>
        <v/>
      </c>
      <c r="C1014" s="120">
        <f t="array" ref="C1014:C1014">IF(A1014="","",IFERROR(INDEX('3.員工名單'!$C:$C,MATCH(A1014,'3.員工名單'!$A:$A,0)),""))</f>
        <v/>
      </c>
      <c r="D1014" s="120">
        <f t="array" ref="D1014:D1014">IF(A1014="","",IFERROR(INDEX('3.員工名單'!$D:$D,MATCH(A1014,'3.員工名單'!$A:$A,0)),""))</f>
        <v/>
      </c>
      <c r="E1014" s="120">
        <f t="array" ref="E1014:E1014">IF(F1014="","",IFERROR(INDEX('1.職能辭典'!$A:$A,MATCH(F1014,'1.職能辭典'!$C:$C,0)),""))</f>
        <v/>
      </c>
      <c r="F1014" s="94" t="n"/>
      <c r="G1014" s="120">
        <f t="array" ref="G1014:G1014">IF(OR(D1014="",F1014=""),"",IFERROR(IF(AND(OR(INDEX('1.職能辭典'!$J:$J,MATCH(F1014,'1.職能辭典'!$C:$C,0))="全部",INDEX('3.員工名單'!$H:$H,MATCH(A1014,'3.員工名單'!$A:$A,0))="兩款共用",INDEX('3.員工名單'!$H:$H,MATCH(A1014,'3.員工名單'!$A:$A,0))=INDEX('1.職能辭典'!$J:$J,MATCH(F1014,'1.職能辭典'!$C:$C,0))),OR(INDEX('1.職能辭典'!$K:$K,MATCH(F1014,'1.職能辭典'!$C:$C,0))="全部",SUMPRODUCT(ISNUMBER(SEARCH({"經營","管理","財務","企劃","營運","技術","數據","美術","測試","客服"},INDEX('3.員工名單'!$I:$I,MATCH(A1014,'3.員工名單'!$A:$A,0))))*ISNUMBER(SEARCH({"經營","管理","財務","企劃","營運","技術","數據","美術","測試","客服"},INDEX('1.職能辭典'!$K:$K,MATCH(F1014,'1.職能辭典'!$C:$C,0)))))&gt;0)),INDEX('2.職務職能需求'!$B$2:$F$28,MATCH(F1014,'2.職務職能需求'!$A$2:$A$28,0),MATCH(D1014,'2.職務職能需求'!$B$1:$F$1,0)),0),""))</f>
        <v/>
      </c>
      <c r="H1014" s="94" t="n"/>
      <c r="I1014" s="94" t="n"/>
      <c r="J1014" s="120">
        <f>IF(OR(G1014="",I1014="",G1014=0),"",I1014-G1014)</f>
        <v/>
      </c>
      <c r="K1014" s="120">
        <f>IF(G1014="","",IF(G1014=0,"不適用",IF(I1014="","待評核",IF(I1014&gt;=G1014,IF(I1014&gt;G1014,"超越","達標"),"待發展"))))</f>
        <v/>
      </c>
      <c r="L1014" s="91" t="n"/>
      <c r="M1014" s="91" t="n"/>
      <c r="N1014" s="88" t="n"/>
    </row>
    <row r="1015" ht="15.75" customHeight="1" s="64">
      <c r="A1015" s="88" t="n"/>
      <c r="B1015" s="120">
        <f t="array" ref="B1015:B1015">IF(A1015="","",IFERROR(INDEX('3.員工名單'!$B:$B,MATCH(A1015,'3.員工名單'!$A:$A,0)),"查無此員工"))</f>
        <v/>
      </c>
      <c r="C1015" s="120">
        <f t="array" ref="C1015:C1015">IF(A1015="","",IFERROR(INDEX('3.員工名單'!$C:$C,MATCH(A1015,'3.員工名單'!$A:$A,0)),""))</f>
        <v/>
      </c>
      <c r="D1015" s="120">
        <f t="array" ref="D1015:D1015">IF(A1015="","",IFERROR(INDEX('3.員工名單'!$D:$D,MATCH(A1015,'3.員工名單'!$A:$A,0)),""))</f>
        <v/>
      </c>
      <c r="E1015" s="120">
        <f t="array" ref="E1015:E1015">IF(F1015="","",IFERROR(INDEX('1.職能辭典'!$A:$A,MATCH(F1015,'1.職能辭典'!$C:$C,0)),""))</f>
        <v/>
      </c>
      <c r="F1015" s="94" t="n"/>
      <c r="G1015" s="120">
        <f t="array" ref="G1015:G1015">IF(OR(D1015="",F1015=""),"",IFERROR(IF(AND(OR(INDEX('1.職能辭典'!$J:$J,MATCH(F1015,'1.職能辭典'!$C:$C,0))="全部",INDEX('3.員工名單'!$H:$H,MATCH(A1015,'3.員工名單'!$A:$A,0))="兩款共用",INDEX('3.員工名單'!$H:$H,MATCH(A1015,'3.員工名單'!$A:$A,0))=INDEX('1.職能辭典'!$J:$J,MATCH(F1015,'1.職能辭典'!$C:$C,0))),OR(INDEX('1.職能辭典'!$K:$K,MATCH(F1015,'1.職能辭典'!$C:$C,0))="全部",SUMPRODUCT(ISNUMBER(SEARCH({"經營","管理","財務","企劃","營運","技術","數據","美術","測試","客服"},INDEX('3.員工名單'!$I:$I,MATCH(A1015,'3.員工名單'!$A:$A,0))))*ISNUMBER(SEARCH({"經營","管理","財務","企劃","營運","技術","數據","美術","測試","客服"},INDEX('1.職能辭典'!$K:$K,MATCH(F1015,'1.職能辭典'!$C:$C,0)))))&gt;0)),INDEX('2.職務職能需求'!$B$2:$F$28,MATCH(F1015,'2.職務職能需求'!$A$2:$A$28,0),MATCH(D1015,'2.職務職能需求'!$B$1:$F$1,0)),0),""))</f>
        <v/>
      </c>
      <c r="H1015" s="94" t="n"/>
      <c r="I1015" s="94" t="n"/>
      <c r="J1015" s="120">
        <f>IF(OR(G1015="",I1015="",G1015=0),"",I1015-G1015)</f>
        <v/>
      </c>
      <c r="K1015" s="120">
        <f>IF(G1015="","",IF(G1015=0,"不適用",IF(I1015="","待評核",IF(I1015&gt;=G1015,IF(I1015&gt;G1015,"超越","達標"),"待發展"))))</f>
        <v/>
      </c>
      <c r="L1015" s="91" t="n"/>
      <c r="M1015" s="91" t="n"/>
      <c r="N1015" s="88" t="n"/>
    </row>
    <row r="1016" ht="15.75" customHeight="1" s="64">
      <c r="A1016" s="88" t="n"/>
      <c r="B1016" s="120">
        <f t="array" ref="B1016:B1016">IF(A1016="","",IFERROR(INDEX('3.員工名單'!$B:$B,MATCH(A1016,'3.員工名單'!$A:$A,0)),"查無此員工"))</f>
        <v/>
      </c>
      <c r="C1016" s="120">
        <f t="array" ref="C1016:C1016">IF(A1016="","",IFERROR(INDEX('3.員工名單'!$C:$C,MATCH(A1016,'3.員工名單'!$A:$A,0)),""))</f>
        <v/>
      </c>
      <c r="D1016" s="120">
        <f t="array" ref="D1016:D1016">IF(A1016="","",IFERROR(INDEX('3.員工名單'!$D:$D,MATCH(A1016,'3.員工名單'!$A:$A,0)),""))</f>
        <v/>
      </c>
      <c r="E1016" s="120">
        <f t="array" ref="E1016:E1016">IF(F1016="","",IFERROR(INDEX('1.職能辭典'!$A:$A,MATCH(F1016,'1.職能辭典'!$C:$C,0)),""))</f>
        <v/>
      </c>
      <c r="F1016" s="94" t="n"/>
      <c r="G1016" s="120">
        <f t="array" ref="G1016:G1016">IF(OR(D1016="",F1016=""),"",IFERROR(IF(AND(OR(INDEX('1.職能辭典'!$J:$J,MATCH(F1016,'1.職能辭典'!$C:$C,0))="全部",INDEX('3.員工名單'!$H:$H,MATCH(A1016,'3.員工名單'!$A:$A,0))="兩款共用",INDEX('3.員工名單'!$H:$H,MATCH(A1016,'3.員工名單'!$A:$A,0))=INDEX('1.職能辭典'!$J:$J,MATCH(F1016,'1.職能辭典'!$C:$C,0))),OR(INDEX('1.職能辭典'!$K:$K,MATCH(F1016,'1.職能辭典'!$C:$C,0))="全部",SUMPRODUCT(ISNUMBER(SEARCH({"經營","管理","財務","企劃","營運","技術","數據","美術","測試","客服"},INDEX('3.員工名單'!$I:$I,MATCH(A1016,'3.員工名單'!$A:$A,0))))*ISNUMBER(SEARCH({"經營","管理","財務","企劃","營運","技術","數據","美術","測試","客服"},INDEX('1.職能辭典'!$K:$K,MATCH(F1016,'1.職能辭典'!$C:$C,0)))))&gt;0)),INDEX('2.職務職能需求'!$B$2:$F$28,MATCH(F1016,'2.職務職能需求'!$A$2:$A$28,0),MATCH(D1016,'2.職務職能需求'!$B$1:$F$1,0)),0),""))</f>
        <v/>
      </c>
      <c r="H1016" s="94" t="n"/>
      <c r="I1016" s="94" t="n"/>
      <c r="J1016" s="120">
        <f>IF(OR(G1016="",I1016="",G1016=0),"",I1016-G1016)</f>
        <v/>
      </c>
      <c r="K1016" s="120">
        <f>IF(G1016="","",IF(G1016=0,"不適用",IF(I1016="","待評核",IF(I1016&gt;=G1016,IF(I1016&gt;G1016,"超越","達標"),"待發展"))))</f>
        <v/>
      </c>
      <c r="L1016" s="91" t="n"/>
      <c r="M1016" s="91" t="n"/>
      <c r="N1016" s="88" t="n"/>
    </row>
    <row r="1017" ht="15.75" customHeight="1" s="64">
      <c r="A1017" s="88" t="n"/>
      <c r="B1017" s="120">
        <f t="array" ref="B1017:B1017">IF(A1017="","",IFERROR(INDEX('3.員工名單'!$B:$B,MATCH(A1017,'3.員工名單'!$A:$A,0)),"查無此員工"))</f>
        <v/>
      </c>
      <c r="C1017" s="120">
        <f t="array" ref="C1017:C1017">IF(A1017="","",IFERROR(INDEX('3.員工名單'!$C:$C,MATCH(A1017,'3.員工名單'!$A:$A,0)),""))</f>
        <v/>
      </c>
      <c r="D1017" s="120">
        <f t="array" ref="D1017:D1017">IF(A1017="","",IFERROR(INDEX('3.員工名單'!$D:$D,MATCH(A1017,'3.員工名單'!$A:$A,0)),""))</f>
        <v/>
      </c>
      <c r="E1017" s="120">
        <f t="array" ref="E1017:E1017">IF(F1017="","",IFERROR(INDEX('1.職能辭典'!$A:$A,MATCH(F1017,'1.職能辭典'!$C:$C,0)),""))</f>
        <v/>
      </c>
      <c r="F1017" s="94" t="n"/>
      <c r="G1017" s="120">
        <f t="array" ref="G1017:G1017">IF(OR(D1017="",F1017=""),"",IFERROR(IF(AND(OR(INDEX('1.職能辭典'!$J:$J,MATCH(F1017,'1.職能辭典'!$C:$C,0))="全部",INDEX('3.員工名單'!$H:$H,MATCH(A1017,'3.員工名單'!$A:$A,0))="兩款共用",INDEX('3.員工名單'!$H:$H,MATCH(A1017,'3.員工名單'!$A:$A,0))=INDEX('1.職能辭典'!$J:$J,MATCH(F1017,'1.職能辭典'!$C:$C,0))),OR(INDEX('1.職能辭典'!$K:$K,MATCH(F1017,'1.職能辭典'!$C:$C,0))="全部",SUMPRODUCT(ISNUMBER(SEARCH({"經營","管理","財務","企劃","營運","技術","數據","美術","測試","客服"},INDEX('3.員工名單'!$I:$I,MATCH(A1017,'3.員工名單'!$A:$A,0))))*ISNUMBER(SEARCH({"經營","管理","財務","企劃","營運","技術","數據","美術","測試","客服"},INDEX('1.職能辭典'!$K:$K,MATCH(F1017,'1.職能辭典'!$C:$C,0)))))&gt;0)),INDEX('2.職務職能需求'!$B$2:$F$28,MATCH(F1017,'2.職務職能需求'!$A$2:$A$28,0),MATCH(D1017,'2.職務職能需求'!$B$1:$F$1,0)),0),""))</f>
        <v/>
      </c>
      <c r="H1017" s="94" t="n"/>
      <c r="I1017" s="94" t="n"/>
      <c r="J1017" s="120">
        <f>IF(OR(G1017="",I1017="",G1017=0),"",I1017-G1017)</f>
        <v/>
      </c>
      <c r="K1017" s="120">
        <f>IF(G1017="","",IF(G1017=0,"不適用",IF(I1017="","待評核",IF(I1017&gt;=G1017,IF(I1017&gt;G1017,"超越","達標"),"待發展"))))</f>
        <v/>
      </c>
      <c r="L1017" s="91" t="n"/>
      <c r="M1017" s="91" t="n"/>
      <c r="N1017" s="88" t="n"/>
    </row>
    <row r="1018" ht="15.75" customHeight="1" s="64">
      <c r="A1018" s="88" t="n"/>
      <c r="B1018" s="120">
        <f t="array" ref="B1018:B1018">IF(A1018="","",IFERROR(INDEX('3.員工名單'!$B:$B,MATCH(A1018,'3.員工名單'!$A:$A,0)),"查無此員工"))</f>
        <v/>
      </c>
      <c r="C1018" s="120">
        <f t="array" ref="C1018:C1018">IF(A1018="","",IFERROR(INDEX('3.員工名單'!$C:$C,MATCH(A1018,'3.員工名單'!$A:$A,0)),""))</f>
        <v/>
      </c>
      <c r="D1018" s="120">
        <f t="array" ref="D1018:D1018">IF(A1018="","",IFERROR(INDEX('3.員工名單'!$D:$D,MATCH(A1018,'3.員工名單'!$A:$A,0)),""))</f>
        <v/>
      </c>
      <c r="E1018" s="120">
        <f t="array" ref="E1018:E1018">IF(F1018="","",IFERROR(INDEX('1.職能辭典'!$A:$A,MATCH(F1018,'1.職能辭典'!$C:$C,0)),""))</f>
        <v/>
      </c>
      <c r="F1018" s="94" t="n"/>
      <c r="G1018" s="120">
        <f t="array" ref="G1018:G1018">IF(OR(D1018="",F1018=""),"",IFERROR(IF(AND(OR(INDEX('1.職能辭典'!$J:$J,MATCH(F1018,'1.職能辭典'!$C:$C,0))="全部",INDEX('3.員工名單'!$H:$H,MATCH(A1018,'3.員工名單'!$A:$A,0))="兩款共用",INDEX('3.員工名單'!$H:$H,MATCH(A1018,'3.員工名單'!$A:$A,0))=INDEX('1.職能辭典'!$J:$J,MATCH(F1018,'1.職能辭典'!$C:$C,0))),OR(INDEX('1.職能辭典'!$K:$K,MATCH(F1018,'1.職能辭典'!$C:$C,0))="全部",SUMPRODUCT(ISNUMBER(SEARCH({"經營","管理","財務","企劃","營運","技術","數據","美術","測試","客服"},INDEX('3.員工名單'!$I:$I,MATCH(A1018,'3.員工名單'!$A:$A,0))))*ISNUMBER(SEARCH({"經營","管理","財務","企劃","營運","技術","數據","美術","測試","客服"},INDEX('1.職能辭典'!$K:$K,MATCH(F1018,'1.職能辭典'!$C:$C,0)))))&gt;0)),INDEX('2.職務職能需求'!$B$2:$F$28,MATCH(F1018,'2.職務職能需求'!$A$2:$A$28,0),MATCH(D1018,'2.職務職能需求'!$B$1:$F$1,0)),0),""))</f>
        <v/>
      </c>
      <c r="H1018" s="94" t="n"/>
      <c r="I1018" s="94" t="n"/>
      <c r="J1018" s="120">
        <f>IF(OR(G1018="",I1018="",G1018=0),"",I1018-G1018)</f>
        <v/>
      </c>
      <c r="K1018" s="120">
        <f>IF(G1018="","",IF(G1018=0,"不適用",IF(I1018="","待評核",IF(I1018&gt;=G1018,IF(I1018&gt;G1018,"超越","達標"),"待發展"))))</f>
        <v/>
      </c>
      <c r="L1018" s="91" t="n"/>
      <c r="M1018" s="91" t="n"/>
      <c r="N1018" s="88" t="n"/>
    </row>
    <row r="1019" ht="15.75" customHeight="1" s="64">
      <c r="A1019" s="88" t="n"/>
      <c r="B1019" s="120">
        <f t="array" ref="B1019:B1019">IF(A1019="","",IFERROR(INDEX('3.員工名單'!$B:$B,MATCH(A1019,'3.員工名單'!$A:$A,0)),"查無此員工"))</f>
        <v/>
      </c>
      <c r="C1019" s="120">
        <f t="array" ref="C1019:C1019">IF(A1019="","",IFERROR(INDEX('3.員工名單'!$C:$C,MATCH(A1019,'3.員工名單'!$A:$A,0)),""))</f>
        <v/>
      </c>
      <c r="D1019" s="120">
        <f t="array" ref="D1019:D1019">IF(A1019="","",IFERROR(INDEX('3.員工名單'!$D:$D,MATCH(A1019,'3.員工名單'!$A:$A,0)),""))</f>
        <v/>
      </c>
      <c r="E1019" s="120">
        <f t="array" ref="E1019:E1019">IF(F1019="","",IFERROR(INDEX('1.職能辭典'!$A:$A,MATCH(F1019,'1.職能辭典'!$C:$C,0)),""))</f>
        <v/>
      </c>
      <c r="F1019" s="94" t="n"/>
      <c r="G1019" s="120">
        <f t="array" ref="G1019:G1019">IF(OR(D1019="",F1019=""),"",IFERROR(IF(AND(OR(INDEX('1.職能辭典'!$J:$J,MATCH(F1019,'1.職能辭典'!$C:$C,0))="全部",INDEX('3.員工名單'!$H:$H,MATCH(A1019,'3.員工名單'!$A:$A,0))="兩款共用",INDEX('3.員工名單'!$H:$H,MATCH(A1019,'3.員工名單'!$A:$A,0))=INDEX('1.職能辭典'!$J:$J,MATCH(F1019,'1.職能辭典'!$C:$C,0))),OR(INDEX('1.職能辭典'!$K:$K,MATCH(F1019,'1.職能辭典'!$C:$C,0))="全部",SUMPRODUCT(ISNUMBER(SEARCH({"經營","管理","財務","企劃","營運","技術","數據","美術","測試","客服"},INDEX('3.員工名單'!$I:$I,MATCH(A1019,'3.員工名單'!$A:$A,0))))*ISNUMBER(SEARCH({"經營","管理","財務","企劃","營運","技術","數據","美術","測試","客服"},INDEX('1.職能辭典'!$K:$K,MATCH(F1019,'1.職能辭典'!$C:$C,0)))))&gt;0)),INDEX('2.職務職能需求'!$B$2:$F$28,MATCH(F1019,'2.職務職能需求'!$A$2:$A$28,0),MATCH(D1019,'2.職務職能需求'!$B$1:$F$1,0)),0),""))</f>
        <v/>
      </c>
      <c r="H1019" s="94" t="n"/>
      <c r="I1019" s="94" t="n"/>
      <c r="J1019" s="120">
        <f>IF(OR(G1019="",I1019="",G1019=0),"",I1019-G1019)</f>
        <v/>
      </c>
      <c r="K1019" s="120">
        <f>IF(G1019="","",IF(G1019=0,"不適用",IF(I1019="","待評核",IF(I1019&gt;=G1019,IF(I1019&gt;G1019,"超越","達標"),"待發展"))))</f>
        <v/>
      </c>
      <c r="L1019" s="91" t="n"/>
      <c r="M1019" s="91" t="n"/>
      <c r="N1019" s="88" t="n"/>
    </row>
    <row r="1020" ht="15.75" customHeight="1" s="64">
      <c r="A1020" s="88" t="n"/>
      <c r="B1020" s="120">
        <f t="array" ref="B1020:B1020">IF(A1020="","",IFERROR(INDEX('3.員工名單'!$B:$B,MATCH(A1020,'3.員工名單'!$A:$A,0)),"查無此員工"))</f>
        <v/>
      </c>
      <c r="C1020" s="120">
        <f t="array" ref="C1020:C1020">IF(A1020="","",IFERROR(INDEX('3.員工名單'!$C:$C,MATCH(A1020,'3.員工名單'!$A:$A,0)),""))</f>
        <v/>
      </c>
      <c r="D1020" s="120">
        <f t="array" ref="D1020:D1020">IF(A1020="","",IFERROR(INDEX('3.員工名單'!$D:$D,MATCH(A1020,'3.員工名單'!$A:$A,0)),""))</f>
        <v/>
      </c>
      <c r="E1020" s="120">
        <f t="array" ref="E1020:E1020">IF(F1020="","",IFERROR(INDEX('1.職能辭典'!$A:$A,MATCH(F1020,'1.職能辭典'!$C:$C,0)),""))</f>
        <v/>
      </c>
      <c r="F1020" s="94" t="n"/>
      <c r="G1020" s="120">
        <f t="array" ref="G1020:G1020">IF(OR(D1020="",F1020=""),"",IFERROR(IF(AND(OR(INDEX('1.職能辭典'!$J:$J,MATCH(F1020,'1.職能辭典'!$C:$C,0))="全部",INDEX('3.員工名單'!$H:$H,MATCH(A1020,'3.員工名單'!$A:$A,0))="兩款共用",INDEX('3.員工名單'!$H:$H,MATCH(A1020,'3.員工名單'!$A:$A,0))=INDEX('1.職能辭典'!$J:$J,MATCH(F1020,'1.職能辭典'!$C:$C,0))),OR(INDEX('1.職能辭典'!$K:$K,MATCH(F1020,'1.職能辭典'!$C:$C,0))="全部",SUMPRODUCT(ISNUMBER(SEARCH({"經營","管理","財務","企劃","營運","技術","數據","美術","測試","客服"},INDEX('3.員工名單'!$I:$I,MATCH(A1020,'3.員工名單'!$A:$A,0))))*ISNUMBER(SEARCH({"經營","管理","財務","企劃","營運","技術","數據","美術","測試","客服"},INDEX('1.職能辭典'!$K:$K,MATCH(F1020,'1.職能辭典'!$C:$C,0)))))&gt;0)),INDEX('2.職務職能需求'!$B$2:$F$28,MATCH(F1020,'2.職務職能需求'!$A$2:$A$28,0),MATCH(D1020,'2.職務職能需求'!$B$1:$F$1,0)),0),""))</f>
        <v/>
      </c>
      <c r="H1020" s="94" t="n"/>
      <c r="I1020" s="94" t="n"/>
      <c r="J1020" s="120">
        <f>IF(OR(G1020="",I1020="",G1020=0),"",I1020-G1020)</f>
        <v/>
      </c>
      <c r="K1020" s="120">
        <f>IF(G1020="","",IF(G1020=0,"不適用",IF(I1020="","待評核",IF(I1020&gt;=G1020,IF(I1020&gt;G1020,"超越","達標"),"待發展"))))</f>
        <v/>
      </c>
      <c r="L1020" s="91" t="n"/>
      <c r="M1020" s="91" t="n"/>
      <c r="N1020" s="88" t="n"/>
    </row>
    <row r="1021" ht="15.75" customHeight="1" s="64">
      <c r="A1021" s="88" t="n"/>
      <c r="B1021" s="120">
        <f t="array" ref="B1021:B1021">IF(A1021="","",IFERROR(INDEX('3.員工名單'!$B:$B,MATCH(A1021,'3.員工名單'!$A:$A,0)),"查無此員工"))</f>
        <v/>
      </c>
      <c r="C1021" s="120">
        <f t="array" ref="C1021:C1021">IF(A1021="","",IFERROR(INDEX('3.員工名單'!$C:$C,MATCH(A1021,'3.員工名單'!$A:$A,0)),""))</f>
        <v/>
      </c>
      <c r="D1021" s="120">
        <f t="array" ref="D1021:D1021">IF(A1021="","",IFERROR(INDEX('3.員工名單'!$D:$D,MATCH(A1021,'3.員工名單'!$A:$A,0)),""))</f>
        <v/>
      </c>
      <c r="E1021" s="120">
        <f t="array" ref="E1021:E1021">IF(F1021="","",IFERROR(INDEX('1.職能辭典'!$A:$A,MATCH(F1021,'1.職能辭典'!$C:$C,0)),""))</f>
        <v/>
      </c>
      <c r="F1021" s="94" t="n"/>
      <c r="G1021" s="120">
        <f t="array" ref="G1021:G1021">IF(OR(D1021="",F1021=""),"",IFERROR(IF(AND(OR(INDEX('1.職能辭典'!$J:$J,MATCH(F1021,'1.職能辭典'!$C:$C,0))="全部",INDEX('3.員工名單'!$H:$H,MATCH(A1021,'3.員工名單'!$A:$A,0))="兩款共用",INDEX('3.員工名單'!$H:$H,MATCH(A1021,'3.員工名單'!$A:$A,0))=INDEX('1.職能辭典'!$J:$J,MATCH(F1021,'1.職能辭典'!$C:$C,0))),OR(INDEX('1.職能辭典'!$K:$K,MATCH(F1021,'1.職能辭典'!$C:$C,0))="全部",SUMPRODUCT(ISNUMBER(SEARCH({"經營","管理","財務","企劃","營運","技術","數據","美術","測試","客服"},INDEX('3.員工名單'!$I:$I,MATCH(A1021,'3.員工名單'!$A:$A,0))))*ISNUMBER(SEARCH({"經營","管理","財務","企劃","營運","技術","數據","美術","測試","客服"},INDEX('1.職能辭典'!$K:$K,MATCH(F1021,'1.職能辭典'!$C:$C,0)))))&gt;0)),INDEX('2.職務職能需求'!$B$2:$F$28,MATCH(F1021,'2.職務職能需求'!$A$2:$A$28,0),MATCH(D1021,'2.職務職能需求'!$B$1:$F$1,0)),0),""))</f>
        <v/>
      </c>
      <c r="H1021" s="94" t="n"/>
      <c r="I1021" s="94" t="n"/>
      <c r="J1021" s="120">
        <f>IF(OR(G1021="",I1021="",G1021=0),"",I1021-G1021)</f>
        <v/>
      </c>
      <c r="K1021" s="120">
        <f>IF(G1021="","",IF(G1021=0,"不適用",IF(I1021="","待評核",IF(I1021&gt;=G1021,IF(I1021&gt;G1021,"超越","達標"),"待發展"))))</f>
        <v/>
      </c>
      <c r="L1021" s="91" t="n"/>
      <c r="M1021" s="91" t="n"/>
      <c r="N1021" s="88" t="n"/>
    </row>
    <row r="1022" ht="15.75" customHeight="1" s="64">
      <c r="A1022" s="88" t="n"/>
      <c r="B1022" s="120">
        <f t="array" ref="B1022:B1022">IF(A1022="","",IFERROR(INDEX('3.員工名單'!$B:$B,MATCH(A1022,'3.員工名單'!$A:$A,0)),"查無此員工"))</f>
        <v/>
      </c>
      <c r="C1022" s="120">
        <f t="array" ref="C1022:C1022">IF(A1022="","",IFERROR(INDEX('3.員工名單'!$C:$C,MATCH(A1022,'3.員工名單'!$A:$A,0)),""))</f>
        <v/>
      </c>
      <c r="D1022" s="120">
        <f t="array" ref="D1022:D1022">IF(A1022="","",IFERROR(INDEX('3.員工名單'!$D:$D,MATCH(A1022,'3.員工名單'!$A:$A,0)),""))</f>
        <v/>
      </c>
      <c r="E1022" s="120">
        <f t="array" ref="E1022:E1022">IF(F1022="","",IFERROR(INDEX('1.職能辭典'!$A:$A,MATCH(F1022,'1.職能辭典'!$C:$C,0)),""))</f>
        <v/>
      </c>
      <c r="F1022" s="94" t="n"/>
      <c r="G1022" s="120">
        <f t="array" ref="G1022:G1022">IF(OR(D1022="",F1022=""),"",IFERROR(IF(AND(OR(INDEX('1.職能辭典'!$J:$J,MATCH(F1022,'1.職能辭典'!$C:$C,0))="全部",INDEX('3.員工名單'!$H:$H,MATCH(A1022,'3.員工名單'!$A:$A,0))="兩款共用",INDEX('3.員工名單'!$H:$H,MATCH(A1022,'3.員工名單'!$A:$A,0))=INDEX('1.職能辭典'!$J:$J,MATCH(F1022,'1.職能辭典'!$C:$C,0))),OR(INDEX('1.職能辭典'!$K:$K,MATCH(F1022,'1.職能辭典'!$C:$C,0))="全部",SUMPRODUCT(ISNUMBER(SEARCH({"經營","管理","財務","企劃","營運","技術","數據","美術","測試","客服"},INDEX('3.員工名單'!$I:$I,MATCH(A1022,'3.員工名單'!$A:$A,0))))*ISNUMBER(SEARCH({"經營","管理","財務","企劃","營運","技術","數據","美術","測試","客服"},INDEX('1.職能辭典'!$K:$K,MATCH(F1022,'1.職能辭典'!$C:$C,0)))))&gt;0)),INDEX('2.職務職能需求'!$B$2:$F$28,MATCH(F1022,'2.職務職能需求'!$A$2:$A$28,0),MATCH(D1022,'2.職務職能需求'!$B$1:$F$1,0)),0),""))</f>
        <v/>
      </c>
      <c r="H1022" s="94" t="n"/>
      <c r="I1022" s="94" t="n"/>
      <c r="J1022" s="120">
        <f>IF(OR(G1022="",I1022="",G1022=0),"",I1022-G1022)</f>
        <v/>
      </c>
      <c r="K1022" s="120">
        <f>IF(G1022="","",IF(G1022=0,"不適用",IF(I1022="","待評核",IF(I1022&gt;=G1022,IF(I1022&gt;G1022,"超越","達標"),"待發展"))))</f>
        <v/>
      </c>
      <c r="L1022" s="91" t="n"/>
      <c r="M1022" s="91" t="n"/>
      <c r="N1022" s="88" t="n"/>
    </row>
    <row r="1023" ht="15.75" customHeight="1" s="64">
      <c r="A1023" s="88" t="n"/>
      <c r="B1023" s="120">
        <f t="array" ref="B1023:B1023">IF(A1023="","",IFERROR(INDEX('3.員工名單'!$B:$B,MATCH(A1023,'3.員工名單'!$A:$A,0)),"查無此員工"))</f>
        <v/>
      </c>
      <c r="C1023" s="120">
        <f t="array" ref="C1023:C1023">IF(A1023="","",IFERROR(INDEX('3.員工名單'!$C:$C,MATCH(A1023,'3.員工名單'!$A:$A,0)),""))</f>
        <v/>
      </c>
      <c r="D1023" s="120">
        <f t="array" ref="D1023:D1023">IF(A1023="","",IFERROR(INDEX('3.員工名單'!$D:$D,MATCH(A1023,'3.員工名單'!$A:$A,0)),""))</f>
        <v/>
      </c>
      <c r="E1023" s="120">
        <f t="array" ref="E1023:E1023">IF(F1023="","",IFERROR(INDEX('1.職能辭典'!$A:$A,MATCH(F1023,'1.職能辭典'!$C:$C,0)),""))</f>
        <v/>
      </c>
      <c r="F1023" s="94" t="n"/>
      <c r="G1023" s="120">
        <f t="array" ref="G1023:G1023">IF(OR(D1023="",F1023=""),"",IFERROR(IF(AND(OR(INDEX('1.職能辭典'!$J:$J,MATCH(F1023,'1.職能辭典'!$C:$C,0))="全部",INDEX('3.員工名單'!$H:$H,MATCH(A1023,'3.員工名單'!$A:$A,0))="兩款共用",INDEX('3.員工名單'!$H:$H,MATCH(A1023,'3.員工名單'!$A:$A,0))=INDEX('1.職能辭典'!$J:$J,MATCH(F1023,'1.職能辭典'!$C:$C,0))),OR(INDEX('1.職能辭典'!$K:$K,MATCH(F1023,'1.職能辭典'!$C:$C,0))="全部",SUMPRODUCT(ISNUMBER(SEARCH({"經營","管理","財務","企劃","營運","技術","數據","美術","測試","客服"},INDEX('3.員工名單'!$I:$I,MATCH(A1023,'3.員工名單'!$A:$A,0))))*ISNUMBER(SEARCH({"經營","管理","財務","企劃","營運","技術","數據","美術","測試","客服"},INDEX('1.職能辭典'!$K:$K,MATCH(F1023,'1.職能辭典'!$C:$C,0)))))&gt;0)),INDEX('2.職務職能需求'!$B$2:$F$28,MATCH(F1023,'2.職務職能需求'!$A$2:$A$28,0),MATCH(D1023,'2.職務職能需求'!$B$1:$F$1,0)),0),""))</f>
        <v/>
      </c>
      <c r="H1023" s="94" t="n"/>
      <c r="I1023" s="94" t="n"/>
      <c r="J1023" s="120">
        <f>IF(OR(G1023="",I1023="",G1023=0),"",I1023-G1023)</f>
        <v/>
      </c>
      <c r="K1023" s="120">
        <f>IF(G1023="","",IF(G1023=0,"不適用",IF(I1023="","待評核",IF(I1023&gt;=G1023,IF(I1023&gt;G1023,"超越","達標"),"待發展"))))</f>
        <v/>
      </c>
      <c r="L1023" s="91" t="n"/>
      <c r="M1023" s="91" t="n"/>
      <c r="N1023" s="88" t="n"/>
    </row>
    <row r="1024" ht="15.75" customHeight="1" s="64">
      <c r="A1024" s="88" t="n"/>
      <c r="B1024" s="120">
        <f t="array" ref="B1024:B1024">IF(A1024="","",IFERROR(INDEX('3.員工名單'!$B:$B,MATCH(A1024,'3.員工名單'!$A:$A,0)),"查無此員工"))</f>
        <v/>
      </c>
      <c r="C1024" s="120">
        <f t="array" ref="C1024:C1024">IF(A1024="","",IFERROR(INDEX('3.員工名單'!$C:$C,MATCH(A1024,'3.員工名單'!$A:$A,0)),""))</f>
        <v/>
      </c>
      <c r="D1024" s="120">
        <f t="array" ref="D1024:D1024">IF(A1024="","",IFERROR(INDEX('3.員工名單'!$D:$D,MATCH(A1024,'3.員工名單'!$A:$A,0)),""))</f>
        <v/>
      </c>
      <c r="E1024" s="120">
        <f t="array" ref="E1024:E1024">IF(F1024="","",IFERROR(INDEX('1.職能辭典'!$A:$A,MATCH(F1024,'1.職能辭典'!$C:$C,0)),""))</f>
        <v/>
      </c>
      <c r="F1024" s="94" t="n"/>
      <c r="G1024" s="120">
        <f t="array" ref="G1024:G1024">IF(OR(D1024="",F1024=""),"",IFERROR(IF(AND(OR(INDEX('1.職能辭典'!$J:$J,MATCH(F1024,'1.職能辭典'!$C:$C,0))="全部",INDEX('3.員工名單'!$H:$H,MATCH(A1024,'3.員工名單'!$A:$A,0))="兩款共用",INDEX('3.員工名單'!$H:$H,MATCH(A1024,'3.員工名單'!$A:$A,0))=INDEX('1.職能辭典'!$J:$J,MATCH(F1024,'1.職能辭典'!$C:$C,0))),OR(INDEX('1.職能辭典'!$K:$K,MATCH(F1024,'1.職能辭典'!$C:$C,0))="全部",SUMPRODUCT(ISNUMBER(SEARCH({"經營","管理","財務","企劃","營運","技術","數據","美術","測試","客服"},INDEX('3.員工名單'!$I:$I,MATCH(A1024,'3.員工名單'!$A:$A,0))))*ISNUMBER(SEARCH({"經營","管理","財務","企劃","營運","技術","數據","美術","測試","客服"},INDEX('1.職能辭典'!$K:$K,MATCH(F1024,'1.職能辭典'!$C:$C,0)))))&gt;0)),INDEX('2.職務職能需求'!$B$2:$F$28,MATCH(F1024,'2.職務職能需求'!$A$2:$A$28,0),MATCH(D1024,'2.職務職能需求'!$B$1:$F$1,0)),0),""))</f>
        <v/>
      </c>
      <c r="H1024" s="94" t="n"/>
      <c r="I1024" s="94" t="n"/>
      <c r="J1024" s="120">
        <f>IF(OR(G1024="",I1024="",G1024=0),"",I1024-G1024)</f>
        <v/>
      </c>
      <c r="K1024" s="120">
        <f>IF(G1024="","",IF(G1024=0,"不適用",IF(I1024="","待評核",IF(I1024&gt;=G1024,IF(I1024&gt;G1024,"超越","達標"),"待發展"))))</f>
        <v/>
      </c>
      <c r="L1024" s="91" t="n"/>
      <c r="M1024" s="91" t="n"/>
      <c r="N1024" s="88" t="n"/>
    </row>
    <row r="1025" ht="15.75" customHeight="1" s="64">
      <c r="A1025" s="88" t="n"/>
      <c r="B1025" s="120">
        <f t="array" ref="B1025:B1025">IF(A1025="","",IFERROR(INDEX('3.員工名單'!$B:$B,MATCH(A1025,'3.員工名單'!$A:$A,0)),"查無此員工"))</f>
        <v/>
      </c>
      <c r="C1025" s="120">
        <f t="array" ref="C1025:C1025">IF(A1025="","",IFERROR(INDEX('3.員工名單'!$C:$C,MATCH(A1025,'3.員工名單'!$A:$A,0)),""))</f>
        <v/>
      </c>
      <c r="D1025" s="120">
        <f t="array" ref="D1025:D1025">IF(A1025="","",IFERROR(INDEX('3.員工名單'!$D:$D,MATCH(A1025,'3.員工名單'!$A:$A,0)),""))</f>
        <v/>
      </c>
      <c r="E1025" s="120">
        <f t="array" ref="E1025:E1025">IF(F1025="","",IFERROR(INDEX('1.職能辭典'!$A:$A,MATCH(F1025,'1.職能辭典'!$C:$C,0)),""))</f>
        <v/>
      </c>
      <c r="F1025" s="94" t="n"/>
      <c r="G1025" s="120">
        <f t="array" ref="G1025:G1025">IF(OR(D1025="",F1025=""),"",IFERROR(IF(AND(OR(INDEX('1.職能辭典'!$J:$J,MATCH(F1025,'1.職能辭典'!$C:$C,0))="全部",INDEX('3.員工名單'!$H:$H,MATCH(A1025,'3.員工名單'!$A:$A,0))="兩款共用",INDEX('3.員工名單'!$H:$H,MATCH(A1025,'3.員工名單'!$A:$A,0))=INDEX('1.職能辭典'!$J:$J,MATCH(F1025,'1.職能辭典'!$C:$C,0))),OR(INDEX('1.職能辭典'!$K:$K,MATCH(F1025,'1.職能辭典'!$C:$C,0))="全部",SUMPRODUCT(ISNUMBER(SEARCH({"經營","管理","財務","企劃","營運","技術","數據","美術","測試","客服"},INDEX('3.員工名單'!$I:$I,MATCH(A1025,'3.員工名單'!$A:$A,0))))*ISNUMBER(SEARCH({"經營","管理","財務","企劃","營運","技術","數據","美術","測試","客服"},INDEX('1.職能辭典'!$K:$K,MATCH(F1025,'1.職能辭典'!$C:$C,0)))))&gt;0)),INDEX('2.職務職能需求'!$B$2:$F$28,MATCH(F1025,'2.職務職能需求'!$A$2:$A$28,0),MATCH(D1025,'2.職務職能需求'!$B$1:$F$1,0)),0),""))</f>
        <v/>
      </c>
      <c r="H1025" s="94" t="n"/>
      <c r="I1025" s="94" t="n"/>
      <c r="J1025" s="120">
        <f>IF(OR(G1025="",I1025="",G1025=0),"",I1025-G1025)</f>
        <v/>
      </c>
      <c r="K1025" s="120">
        <f>IF(G1025="","",IF(G1025=0,"不適用",IF(I1025="","待評核",IF(I1025&gt;=G1025,IF(I1025&gt;G1025,"超越","達標"),"待發展"))))</f>
        <v/>
      </c>
      <c r="L1025" s="91" t="n"/>
      <c r="M1025" s="91" t="n"/>
      <c r="N1025" s="88" t="n"/>
    </row>
    <row r="1026" ht="15.75" customHeight="1" s="64">
      <c r="A1026" s="88" t="n"/>
      <c r="B1026" s="120">
        <f t="array" ref="B1026:B1026">IF(A1026="","",IFERROR(INDEX('3.員工名單'!$B:$B,MATCH(A1026,'3.員工名單'!$A:$A,0)),"查無此員工"))</f>
        <v/>
      </c>
      <c r="C1026" s="120">
        <f t="array" ref="C1026:C1026">IF(A1026="","",IFERROR(INDEX('3.員工名單'!$C:$C,MATCH(A1026,'3.員工名單'!$A:$A,0)),""))</f>
        <v/>
      </c>
      <c r="D1026" s="120">
        <f t="array" ref="D1026:D1026">IF(A1026="","",IFERROR(INDEX('3.員工名單'!$D:$D,MATCH(A1026,'3.員工名單'!$A:$A,0)),""))</f>
        <v/>
      </c>
      <c r="E1026" s="120">
        <f t="array" ref="E1026:E1026">IF(F1026="","",IFERROR(INDEX('1.職能辭典'!$A:$A,MATCH(F1026,'1.職能辭典'!$C:$C,0)),""))</f>
        <v/>
      </c>
      <c r="F1026" s="94" t="n"/>
      <c r="G1026" s="120">
        <f t="array" ref="G1026:G1026">IF(OR(D1026="",F1026=""),"",IFERROR(IF(AND(OR(INDEX('1.職能辭典'!$J:$J,MATCH(F1026,'1.職能辭典'!$C:$C,0))="全部",INDEX('3.員工名單'!$H:$H,MATCH(A1026,'3.員工名單'!$A:$A,0))="兩款共用",INDEX('3.員工名單'!$H:$H,MATCH(A1026,'3.員工名單'!$A:$A,0))=INDEX('1.職能辭典'!$J:$J,MATCH(F1026,'1.職能辭典'!$C:$C,0))),OR(INDEX('1.職能辭典'!$K:$K,MATCH(F1026,'1.職能辭典'!$C:$C,0))="全部",SUMPRODUCT(ISNUMBER(SEARCH({"經營","管理","財務","企劃","營運","技術","數據","美術","測試","客服"},INDEX('3.員工名單'!$I:$I,MATCH(A1026,'3.員工名單'!$A:$A,0))))*ISNUMBER(SEARCH({"經營","管理","財務","企劃","營運","技術","數據","美術","測試","客服"},INDEX('1.職能辭典'!$K:$K,MATCH(F1026,'1.職能辭典'!$C:$C,0)))))&gt;0)),INDEX('2.職務職能需求'!$B$2:$F$28,MATCH(F1026,'2.職務職能需求'!$A$2:$A$28,0),MATCH(D1026,'2.職務職能需求'!$B$1:$F$1,0)),0),""))</f>
        <v/>
      </c>
      <c r="H1026" s="94" t="n"/>
      <c r="I1026" s="94" t="n"/>
      <c r="J1026" s="120">
        <f>IF(OR(G1026="",I1026="",G1026=0),"",I1026-G1026)</f>
        <v/>
      </c>
      <c r="K1026" s="120">
        <f>IF(G1026="","",IF(G1026=0,"不適用",IF(I1026="","待評核",IF(I1026&gt;=G1026,IF(I1026&gt;G1026,"超越","達標"),"待發展"))))</f>
        <v/>
      </c>
      <c r="L1026" s="91" t="n"/>
      <c r="M1026" s="91" t="n"/>
      <c r="N1026" s="88" t="n"/>
    </row>
    <row r="1027" ht="15.75" customHeight="1" s="64">
      <c r="A1027" s="88" t="n"/>
      <c r="B1027" s="120">
        <f t="array" ref="B1027:B1027">IF(A1027="","",IFERROR(INDEX('3.員工名單'!$B:$B,MATCH(A1027,'3.員工名單'!$A:$A,0)),"查無此員工"))</f>
        <v/>
      </c>
      <c r="C1027" s="120">
        <f t="array" ref="C1027:C1027">IF(A1027="","",IFERROR(INDEX('3.員工名單'!$C:$C,MATCH(A1027,'3.員工名單'!$A:$A,0)),""))</f>
        <v/>
      </c>
      <c r="D1027" s="120">
        <f t="array" ref="D1027:D1027">IF(A1027="","",IFERROR(INDEX('3.員工名單'!$D:$D,MATCH(A1027,'3.員工名單'!$A:$A,0)),""))</f>
        <v/>
      </c>
      <c r="E1027" s="120">
        <f t="array" ref="E1027:E1027">IF(F1027="","",IFERROR(INDEX('1.職能辭典'!$A:$A,MATCH(F1027,'1.職能辭典'!$C:$C,0)),""))</f>
        <v/>
      </c>
      <c r="F1027" s="94" t="n"/>
      <c r="G1027" s="120">
        <f t="array" ref="G1027:G1027">IF(OR(D1027="",F1027=""),"",IFERROR(IF(AND(OR(INDEX('1.職能辭典'!$J:$J,MATCH(F1027,'1.職能辭典'!$C:$C,0))="全部",INDEX('3.員工名單'!$H:$H,MATCH(A1027,'3.員工名單'!$A:$A,0))="兩款共用",INDEX('3.員工名單'!$H:$H,MATCH(A1027,'3.員工名單'!$A:$A,0))=INDEX('1.職能辭典'!$J:$J,MATCH(F1027,'1.職能辭典'!$C:$C,0))),OR(INDEX('1.職能辭典'!$K:$K,MATCH(F1027,'1.職能辭典'!$C:$C,0))="全部",SUMPRODUCT(ISNUMBER(SEARCH({"經營","管理","財務","企劃","營運","技術","數據","美術","測試","客服"},INDEX('3.員工名單'!$I:$I,MATCH(A1027,'3.員工名單'!$A:$A,0))))*ISNUMBER(SEARCH({"經營","管理","財務","企劃","營運","技術","數據","美術","測試","客服"},INDEX('1.職能辭典'!$K:$K,MATCH(F1027,'1.職能辭典'!$C:$C,0)))))&gt;0)),INDEX('2.職務職能需求'!$B$2:$F$28,MATCH(F1027,'2.職務職能需求'!$A$2:$A$28,0),MATCH(D1027,'2.職務職能需求'!$B$1:$F$1,0)),0),""))</f>
        <v/>
      </c>
      <c r="H1027" s="94" t="n"/>
      <c r="I1027" s="94" t="n"/>
      <c r="J1027" s="120">
        <f>IF(OR(G1027="",I1027="",G1027=0),"",I1027-G1027)</f>
        <v/>
      </c>
      <c r="K1027" s="120">
        <f>IF(G1027="","",IF(G1027=0,"不適用",IF(I1027="","待評核",IF(I1027&gt;=G1027,IF(I1027&gt;G1027,"超越","達標"),"待發展"))))</f>
        <v/>
      </c>
      <c r="L1027" s="91" t="n"/>
      <c r="M1027" s="91" t="n"/>
      <c r="N1027" s="88" t="n"/>
    </row>
    <row r="1028" ht="15.75" customHeight="1" s="64">
      <c r="A1028" s="88" t="n"/>
      <c r="B1028" s="120">
        <f t="array" ref="B1028:B1028">IF(A1028="","",IFERROR(INDEX('3.員工名單'!$B:$B,MATCH(A1028,'3.員工名單'!$A:$A,0)),"查無此員工"))</f>
        <v/>
      </c>
      <c r="C1028" s="120">
        <f t="array" ref="C1028:C1028">IF(A1028="","",IFERROR(INDEX('3.員工名單'!$C:$C,MATCH(A1028,'3.員工名單'!$A:$A,0)),""))</f>
        <v/>
      </c>
      <c r="D1028" s="120">
        <f t="array" ref="D1028:D1028">IF(A1028="","",IFERROR(INDEX('3.員工名單'!$D:$D,MATCH(A1028,'3.員工名單'!$A:$A,0)),""))</f>
        <v/>
      </c>
      <c r="E1028" s="120">
        <f t="array" ref="E1028:E1028">IF(F1028="","",IFERROR(INDEX('1.職能辭典'!$A:$A,MATCH(F1028,'1.職能辭典'!$C:$C,0)),""))</f>
        <v/>
      </c>
      <c r="F1028" s="94" t="n"/>
      <c r="G1028" s="120">
        <f t="array" ref="G1028:G1028">IF(OR(D1028="",F1028=""),"",IFERROR(IF(AND(OR(INDEX('1.職能辭典'!$J:$J,MATCH(F1028,'1.職能辭典'!$C:$C,0))="全部",INDEX('3.員工名單'!$H:$H,MATCH(A1028,'3.員工名單'!$A:$A,0))="兩款共用",INDEX('3.員工名單'!$H:$H,MATCH(A1028,'3.員工名單'!$A:$A,0))=INDEX('1.職能辭典'!$J:$J,MATCH(F1028,'1.職能辭典'!$C:$C,0))),OR(INDEX('1.職能辭典'!$K:$K,MATCH(F1028,'1.職能辭典'!$C:$C,0))="全部",SUMPRODUCT(ISNUMBER(SEARCH({"經營","管理","財務","企劃","營運","技術","數據","美術","測試","客服"},INDEX('3.員工名單'!$I:$I,MATCH(A1028,'3.員工名單'!$A:$A,0))))*ISNUMBER(SEARCH({"經營","管理","財務","企劃","營運","技術","數據","美術","測試","客服"},INDEX('1.職能辭典'!$K:$K,MATCH(F1028,'1.職能辭典'!$C:$C,0)))))&gt;0)),INDEX('2.職務職能需求'!$B$2:$F$28,MATCH(F1028,'2.職務職能需求'!$A$2:$A$28,0),MATCH(D1028,'2.職務職能需求'!$B$1:$F$1,0)),0),""))</f>
        <v/>
      </c>
      <c r="H1028" s="94" t="n"/>
      <c r="I1028" s="94" t="n"/>
      <c r="J1028" s="120">
        <f>IF(OR(G1028="",I1028="",G1028=0),"",I1028-G1028)</f>
        <v/>
      </c>
      <c r="K1028" s="120">
        <f>IF(G1028="","",IF(G1028=0,"不適用",IF(I1028="","待評核",IF(I1028&gt;=G1028,IF(I1028&gt;G1028,"超越","達標"),"待發展"))))</f>
        <v/>
      </c>
      <c r="L1028" s="91" t="n"/>
      <c r="M1028" s="91" t="n"/>
      <c r="N1028" s="88" t="n"/>
    </row>
    <row r="1029" ht="15.75" customHeight="1" s="64">
      <c r="A1029" s="88" t="n"/>
      <c r="B1029" s="120">
        <f t="array" ref="B1029:B1029">IF(A1029="","",IFERROR(INDEX('3.員工名單'!$B:$B,MATCH(A1029,'3.員工名單'!$A:$A,0)),"查無此員工"))</f>
        <v/>
      </c>
      <c r="C1029" s="120">
        <f t="array" ref="C1029:C1029">IF(A1029="","",IFERROR(INDEX('3.員工名單'!$C:$C,MATCH(A1029,'3.員工名單'!$A:$A,0)),""))</f>
        <v/>
      </c>
      <c r="D1029" s="120">
        <f t="array" ref="D1029:D1029">IF(A1029="","",IFERROR(INDEX('3.員工名單'!$D:$D,MATCH(A1029,'3.員工名單'!$A:$A,0)),""))</f>
        <v/>
      </c>
      <c r="E1029" s="120">
        <f t="array" ref="E1029:E1029">IF(F1029="","",IFERROR(INDEX('1.職能辭典'!$A:$A,MATCH(F1029,'1.職能辭典'!$C:$C,0)),""))</f>
        <v/>
      </c>
      <c r="F1029" s="94" t="n"/>
      <c r="G1029" s="120">
        <f t="array" ref="G1029:G1029">IF(OR(D1029="",F1029=""),"",IFERROR(IF(AND(OR(INDEX('1.職能辭典'!$J:$J,MATCH(F1029,'1.職能辭典'!$C:$C,0))="全部",INDEX('3.員工名單'!$H:$H,MATCH(A1029,'3.員工名單'!$A:$A,0))="兩款共用",INDEX('3.員工名單'!$H:$H,MATCH(A1029,'3.員工名單'!$A:$A,0))=INDEX('1.職能辭典'!$J:$J,MATCH(F1029,'1.職能辭典'!$C:$C,0))),OR(INDEX('1.職能辭典'!$K:$K,MATCH(F1029,'1.職能辭典'!$C:$C,0))="全部",SUMPRODUCT(ISNUMBER(SEARCH({"經營","管理","財務","企劃","營運","技術","數據","美術","測試","客服"},INDEX('3.員工名單'!$I:$I,MATCH(A1029,'3.員工名單'!$A:$A,0))))*ISNUMBER(SEARCH({"經營","管理","財務","企劃","營運","技術","數據","美術","測試","客服"},INDEX('1.職能辭典'!$K:$K,MATCH(F1029,'1.職能辭典'!$C:$C,0)))))&gt;0)),INDEX('2.職務職能需求'!$B$2:$F$28,MATCH(F1029,'2.職務職能需求'!$A$2:$A$28,0),MATCH(D1029,'2.職務職能需求'!$B$1:$F$1,0)),0),""))</f>
        <v/>
      </c>
      <c r="H1029" s="94" t="n"/>
      <c r="I1029" s="94" t="n"/>
      <c r="J1029" s="120">
        <f>IF(OR(G1029="",I1029="",G1029=0),"",I1029-G1029)</f>
        <v/>
      </c>
      <c r="K1029" s="120">
        <f>IF(G1029="","",IF(G1029=0,"不適用",IF(I1029="","待評核",IF(I1029&gt;=G1029,IF(I1029&gt;G1029,"超越","達標"),"待發展"))))</f>
        <v/>
      </c>
      <c r="L1029" s="91" t="n"/>
      <c r="M1029" s="91" t="n"/>
      <c r="N1029" s="88" t="n"/>
    </row>
    <row r="1030" ht="15.75" customHeight="1" s="64">
      <c r="A1030" s="88" t="n"/>
      <c r="B1030" s="120">
        <f t="array" ref="B1030:B1030">IF(A1030="","",IFERROR(INDEX('3.員工名單'!$B:$B,MATCH(A1030,'3.員工名單'!$A:$A,0)),"查無此員工"))</f>
        <v/>
      </c>
      <c r="C1030" s="120">
        <f t="array" ref="C1030:C1030">IF(A1030="","",IFERROR(INDEX('3.員工名單'!$C:$C,MATCH(A1030,'3.員工名單'!$A:$A,0)),""))</f>
        <v/>
      </c>
      <c r="D1030" s="120">
        <f t="array" ref="D1030:D1030">IF(A1030="","",IFERROR(INDEX('3.員工名單'!$D:$D,MATCH(A1030,'3.員工名單'!$A:$A,0)),""))</f>
        <v/>
      </c>
      <c r="E1030" s="120">
        <f t="array" ref="E1030:E1030">IF(F1030="","",IFERROR(INDEX('1.職能辭典'!$A:$A,MATCH(F1030,'1.職能辭典'!$C:$C,0)),""))</f>
        <v/>
      </c>
      <c r="F1030" s="94" t="n"/>
      <c r="G1030" s="120">
        <f t="array" ref="G1030:G1030">IF(OR(D1030="",F1030=""),"",IFERROR(IF(AND(OR(INDEX('1.職能辭典'!$J:$J,MATCH(F1030,'1.職能辭典'!$C:$C,0))="全部",INDEX('3.員工名單'!$H:$H,MATCH(A1030,'3.員工名單'!$A:$A,0))="兩款共用",INDEX('3.員工名單'!$H:$H,MATCH(A1030,'3.員工名單'!$A:$A,0))=INDEX('1.職能辭典'!$J:$J,MATCH(F1030,'1.職能辭典'!$C:$C,0))),OR(INDEX('1.職能辭典'!$K:$K,MATCH(F1030,'1.職能辭典'!$C:$C,0))="全部",SUMPRODUCT(ISNUMBER(SEARCH({"經營","管理","財務","企劃","營運","技術","數據","美術","測試","客服"},INDEX('3.員工名單'!$I:$I,MATCH(A1030,'3.員工名單'!$A:$A,0))))*ISNUMBER(SEARCH({"經營","管理","財務","企劃","營運","技術","數據","美術","測試","客服"},INDEX('1.職能辭典'!$K:$K,MATCH(F1030,'1.職能辭典'!$C:$C,0)))))&gt;0)),INDEX('2.職務職能需求'!$B$2:$F$28,MATCH(F1030,'2.職務職能需求'!$A$2:$A$28,0),MATCH(D1030,'2.職務職能需求'!$B$1:$F$1,0)),0),""))</f>
        <v/>
      </c>
      <c r="H1030" s="94" t="n"/>
      <c r="I1030" s="94" t="n"/>
      <c r="J1030" s="120">
        <f>IF(OR(G1030="",I1030="",G1030=0),"",I1030-G1030)</f>
        <v/>
      </c>
      <c r="K1030" s="120">
        <f>IF(G1030="","",IF(G1030=0,"不適用",IF(I1030="","待評核",IF(I1030&gt;=G1030,IF(I1030&gt;G1030,"超越","達標"),"待發展"))))</f>
        <v/>
      </c>
      <c r="L1030" s="91" t="n"/>
      <c r="M1030" s="91" t="n"/>
      <c r="N1030" s="88" t="n"/>
    </row>
    <row r="1031" ht="15.75" customHeight="1" s="64">
      <c r="A1031" s="88" t="n"/>
      <c r="B1031" s="120">
        <f t="array" ref="B1031:B1031">IF(A1031="","",IFERROR(INDEX('3.員工名單'!$B:$B,MATCH(A1031,'3.員工名單'!$A:$A,0)),"查無此員工"))</f>
        <v/>
      </c>
      <c r="C1031" s="120">
        <f t="array" ref="C1031:C1031">IF(A1031="","",IFERROR(INDEX('3.員工名單'!$C:$C,MATCH(A1031,'3.員工名單'!$A:$A,0)),""))</f>
        <v/>
      </c>
      <c r="D1031" s="120">
        <f t="array" ref="D1031:D1031">IF(A1031="","",IFERROR(INDEX('3.員工名單'!$D:$D,MATCH(A1031,'3.員工名單'!$A:$A,0)),""))</f>
        <v/>
      </c>
      <c r="E1031" s="120">
        <f t="array" ref="E1031:E1031">IF(F1031="","",IFERROR(INDEX('1.職能辭典'!$A:$A,MATCH(F1031,'1.職能辭典'!$C:$C,0)),""))</f>
        <v/>
      </c>
      <c r="F1031" s="94" t="n"/>
      <c r="G1031" s="120">
        <f t="array" ref="G1031:G1031">IF(OR(D1031="",F1031=""),"",IFERROR(IF(AND(OR(INDEX('1.職能辭典'!$J:$J,MATCH(F1031,'1.職能辭典'!$C:$C,0))="全部",INDEX('3.員工名單'!$H:$H,MATCH(A1031,'3.員工名單'!$A:$A,0))="兩款共用",INDEX('3.員工名單'!$H:$H,MATCH(A1031,'3.員工名單'!$A:$A,0))=INDEX('1.職能辭典'!$J:$J,MATCH(F1031,'1.職能辭典'!$C:$C,0))),OR(INDEX('1.職能辭典'!$K:$K,MATCH(F1031,'1.職能辭典'!$C:$C,0))="全部",SUMPRODUCT(ISNUMBER(SEARCH({"經營","管理","財務","企劃","營運","技術","數據","美術","測試","客服"},INDEX('3.員工名單'!$I:$I,MATCH(A1031,'3.員工名單'!$A:$A,0))))*ISNUMBER(SEARCH({"經營","管理","財務","企劃","營運","技術","數據","美術","測試","客服"},INDEX('1.職能辭典'!$K:$K,MATCH(F1031,'1.職能辭典'!$C:$C,0)))))&gt;0)),INDEX('2.職務職能需求'!$B$2:$F$28,MATCH(F1031,'2.職務職能需求'!$A$2:$A$28,0),MATCH(D1031,'2.職務職能需求'!$B$1:$F$1,0)),0),""))</f>
        <v/>
      </c>
      <c r="H1031" s="94" t="n"/>
      <c r="I1031" s="94" t="n"/>
      <c r="J1031" s="120">
        <f>IF(OR(G1031="",I1031="",G1031=0),"",I1031-G1031)</f>
        <v/>
      </c>
      <c r="K1031" s="120">
        <f>IF(G1031="","",IF(G1031=0,"不適用",IF(I1031="","待評核",IF(I1031&gt;=G1031,IF(I1031&gt;G1031,"超越","達標"),"待發展"))))</f>
        <v/>
      </c>
      <c r="L1031" s="91" t="n"/>
      <c r="M1031" s="91" t="n"/>
      <c r="N1031" s="88" t="n"/>
    </row>
    <row r="1032" ht="15.75" customHeight="1" s="64">
      <c r="A1032" s="88" t="n"/>
      <c r="B1032" s="120">
        <f t="array" ref="B1032:B1032">IF(A1032="","",IFERROR(INDEX('3.員工名單'!$B:$B,MATCH(A1032,'3.員工名單'!$A:$A,0)),"查無此員工"))</f>
        <v/>
      </c>
      <c r="C1032" s="120">
        <f t="array" ref="C1032:C1032">IF(A1032="","",IFERROR(INDEX('3.員工名單'!$C:$C,MATCH(A1032,'3.員工名單'!$A:$A,0)),""))</f>
        <v/>
      </c>
      <c r="D1032" s="120">
        <f t="array" ref="D1032:D1032">IF(A1032="","",IFERROR(INDEX('3.員工名單'!$D:$D,MATCH(A1032,'3.員工名單'!$A:$A,0)),""))</f>
        <v/>
      </c>
      <c r="E1032" s="120">
        <f t="array" ref="E1032:E1032">IF(F1032="","",IFERROR(INDEX('1.職能辭典'!$A:$A,MATCH(F1032,'1.職能辭典'!$C:$C,0)),""))</f>
        <v/>
      </c>
      <c r="F1032" s="94" t="n"/>
      <c r="G1032" s="120">
        <f t="array" ref="G1032:G1032">IF(OR(D1032="",F1032=""),"",IFERROR(IF(AND(OR(INDEX('1.職能辭典'!$J:$J,MATCH(F1032,'1.職能辭典'!$C:$C,0))="全部",INDEX('3.員工名單'!$H:$H,MATCH(A1032,'3.員工名單'!$A:$A,0))="兩款共用",INDEX('3.員工名單'!$H:$H,MATCH(A1032,'3.員工名單'!$A:$A,0))=INDEX('1.職能辭典'!$J:$J,MATCH(F1032,'1.職能辭典'!$C:$C,0))),OR(INDEX('1.職能辭典'!$K:$K,MATCH(F1032,'1.職能辭典'!$C:$C,0))="全部",SUMPRODUCT(ISNUMBER(SEARCH({"經營","管理","財務","企劃","營運","技術","數據","美術","測試","客服"},INDEX('3.員工名單'!$I:$I,MATCH(A1032,'3.員工名單'!$A:$A,0))))*ISNUMBER(SEARCH({"經營","管理","財務","企劃","營運","技術","數據","美術","測試","客服"},INDEX('1.職能辭典'!$K:$K,MATCH(F1032,'1.職能辭典'!$C:$C,0)))))&gt;0)),INDEX('2.職務職能需求'!$B$2:$F$28,MATCH(F1032,'2.職務職能需求'!$A$2:$A$28,0),MATCH(D1032,'2.職務職能需求'!$B$1:$F$1,0)),0),""))</f>
        <v/>
      </c>
      <c r="H1032" s="94" t="n"/>
      <c r="I1032" s="94" t="n"/>
      <c r="J1032" s="120">
        <f>IF(OR(G1032="",I1032="",G1032=0),"",I1032-G1032)</f>
        <v/>
      </c>
      <c r="K1032" s="120">
        <f>IF(G1032="","",IF(G1032=0,"不適用",IF(I1032="","待評核",IF(I1032&gt;=G1032,IF(I1032&gt;G1032,"超越","達標"),"待發展"))))</f>
        <v/>
      </c>
      <c r="L1032" s="91" t="n"/>
      <c r="M1032" s="91" t="n"/>
      <c r="N1032" s="88" t="n"/>
    </row>
    <row r="1033" ht="15.75" customHeight="1" s="64">
      <c r="A1033" s="88" t="n"/>
      <c r="B1033" s="120">
        <f t="array" ref="B1033:B1033">IF(A1033="","",IFERROR(INDEX('3.員工名單'!$B:$B,MATCH(A1033,'3.員工名單'!$A:$A,0)),"查無此員工"))</f>
        <v/>
      </c>
      <c r="C1033" s="120">
        <f t="array" ref="C1033:C1033">IF(A1033="","",IFERROR(INDEX('3.員工名單'!$C:$C,MATCH(A1033,'3.員工名單'!$A:$A,0)),""))</f>
        <v/>
      </c>
      <c r="D1033" s="120">
        <f t="array" ref="D1033:D1033">IF(A1033="","",IFERROR(INDEX('3.員工名單'!$D:$D,MATCH(A1033,'3.員工名單'!$A:$A,0)),""))</f>
        <v/>
      </c>
      <c r="E1033" s="120">
        <f t="array" ref="E1033:E1033">IF(F1033="","",IFERROR(INDEX('1.職能辭典'!$A:$A,MATCH(F1033,'1.職能辭典'!$C:$C,0)),""))</f>
        <v/>
      </c>
      <c r="F1033" s="94" t="n"/>
      <c r="G1033" s="120">
        <f t="array" ref="G1033:G1033">IF(OR(D1033="",F1033=""),"",IFERROR(IF(AND(OR(INDEX('1.職能辭典'!$J:$J,MATCH(F1033,'1.職能辭典'!$C:$C,0))="全部",INDEX('3.員工名單'!$H:$H,MATCH(A1033,'3.員工名單'!$A:$A,0))="兩款共用",INDEX('3.員工名單'!$H:$H,MATCH(A1033,'3.員工名單'!$A:$A,0))=INDEX('1.職能辭典'!$J:$J,MATCH(F1033,'1.職能辭典'!$C:$C,0))),OR(INDEX('1.職能辭典'!$K:$K,MATCH(F1033,'1.職能辭典'!$C:$C,0))="全部",SUMPRODUCT(ISNUMBER(SEARCH({"經營","管理","財務","企劃","營運","技術","數據","美術","測試","客服"},INDEX('3.員工名單'!$I:$I,MATCH(A1033,'3.員工名單'!$A:$A,0))))*ISNUMBER(SEARCH({"經營","管理","財務","企劃","營運","技術","數據","美術","測試","客服"},INDEX('1.職能辭典'!$K:$K,MATCH(F1033,'1.職能辭典'!$C:$C,0)))))&gt;0)),INDEX('2.職務職能需求'!$B$2:$F$28,MATCH(F1033,'2.職務職能需求'!$A$2:$A$28,0),MATCH(D1033,'2.職務職能需求'!$B$1:$F$1,0)),0),""))</f>
        <v/>
      </c>
      <c r="H1033" s="94" t="n"/>
      <c r="I1033" s="94" t="n"/>
      <c r="J1033" s="120">
        <f>IF(OR(G1033="",I1033="",G1033=0),"",I1033-G1033)</f>
        <v/>
      </c>
      <c r="K1033" s="120">
        <f>IF(G1033="","",IF(G1033=0,"不適用",IF(I1033="","待評核",IF(I1033&gt;=G1033,IF(I1033&gt;G1033,"超越","達標"),"待發展"))))</f>
        <v/>
      </c>
      <c r="L1033" s="91" t="n"/>
      <c r="M1033" s="91" t="n"/>
      <c r="N1033" s="88" t="n"/>
    </row>
    <row r="1034" ht="15.75" customHeight="1" s="64">
      <c r="A1034" s="88" t="n"/>
      <c r="B1034" s="120">
        <f t="array" ref="B1034:B1034">IF(A1034="","",IFERROR(INDEX('3.員工名單'!$B:$B,MATCH(A1034,'3.員工名單'!$A:$A,0)),"查無此員工"))</f>
        <v/>
      </c>
      <c r="C1034" s="120">
        <f t="array" ref="C1034:C1034">IF(A1034="","",IFERROR(INDEX('3.員工名單'!$C:$C,MATCH(A1034,'3.員工名單'!$A:$A,0)),""))</f>
        <v/>
      </c>
      <c r="D1034" s="120">
        <f t="array" ref="D1034:D1034">IF(A1034="","",IFERROR(INDEX('3.員工名單'!$D:$D,MATCH(A1034,'3.員工名單'!$A:$A,0)),""))</f>
        <v/>
      </c>
      <c r="E1034" s="120">
        <f t="array" ref="E1034:E1034">IF(F1034="","",IFERROR(INDEX('1.職能辭典'!$A:$A,MATCH(F1034,'1.職能辭典'!$C:$C,0)),""))</f>
        <v/>
      </c>
      <c r="F1034" s="94" t="n"/>
      <c r="G1034" s="120">
        <f t="array" ref="G1034:G1034">IF(OR(D1034="",F1034=""),"",IFERROR(IF(AND(OR(INDEX('1.職能辭典'!$J:$J,MATCH(F1034,'1.職能辭典'!$C:$C,0))="全部",INDEX('3.員工名單'!$H:$H,MATCH(A1034,'3.員工名單'!$A:$A,0))="兩款共用",INDEX('3.員工名單'!$H:$H,MATCH(A1034,'3.員工名單'!$A:$A,0))=INDEX('1.職能辭典'!$J:$J,MATCH(F1034,'1.職能辭典'!$C:$C,0))),OR(INDEX('1.職能辭典'!$K:$K,MATCH(F1034,'1.職能辭典'!$C:$C,0))="全部",SUMPRODUCT(ISNUMBER(SEARCH({"經營","管理","財務","企劃","營運","技術","數據","美術","測試","客服"},INDEX('3.員工名單'!$I:$I,MATCH(A1034,'3.員工名單'!$A:$A,0))))*ISNUMBER(SEARCH({"經營","管理","財務","企劃","營運","技術","數據","美術","測試","客服"},INDEX('1.職能辭典'!$K:$K,MATCH(F1034,'1.職能辭典'!$C:$C,0)))))&gt;0)),INDEX('2.職務職能需求'!$B$2:$F$28,MATCH(F1034,'2.職務職能需求'!$A$2:$A$28,0),MATCH(D1034,'2.職務職能需求'!$B$1:$F$1,0)),0),""))</f>
        <v/>
      </c>
      <c r="H1034" s="94" t="n"/>
      <c r="I1034" s="94" t="n"/>
      <c r="J1034" s="120">
        <f>IF(OR(G1034="",I1034="",G1034=0),"",I1034-G1034)</f>
        <v/>
      </c>
      <c r="K1034" s="120">
        <f>IF(G1034="","",IF(G1034=0,"不適用",IF(I1034="","待評核",IF(I1034&gt;=G1034,IF(I1034&gt;G1034,"超越","達標"),"待發展"))))</f>
        <v/>
      </c>
      <c r="L1034" s="91" t="n"/>
      <c r="M1034" s="91" t="n"/>
      <c r="N1034" s="88" t="n"/>
    </row>
    <row r="1035" ht="15.75" customHeight="1" s="64">
      <c r="A1035" s="88" t="n"/>
      <c r="B1035" s="120">
        <f t="array" ref="B1035:B1035">IF(A1035="","",IFERROR(INDEX('3.員工名單'!$B:$B,MATCH(A1035,'3.員工名單'!$A:$A,0)),"查無此員工"))</f>
        <v/>
      </c>
      <c r="C1035" s="120">
        <f t="array" ref="C1035:C1035">IF(A1035="","",IFERROR(INDEX('3.員工名單'!$C:$C,MATCH(A1035,'3.員工名單'!$A:$A,0)),""))</f>
        <v/>
      </c>
      <c r="D1035" s="120">
        <f t="array" ref="D1035:D1035">IF(A1035="","",IFERROR(INDEX('3.員工名單'!$D:$D,MATCH(A1035,'3.員工名單'!$A:$A,0)),""))</f>
        <v/>
      </c>
      <c r="E1035" s="120">
        <f t="array" ref="E1035:E1035">IF(F1035="","",IFERROR(INDEX('1.職能辭典'!$A:$A,MATCH(F1035,'1.職能辭典'!$C:$C,0)),""))</f>
        <v/>
      </c>
      <c r="F1035" s="94" t="n"/>
      <c r="G1035" s="120">
        <f t="array" ref="G1035:G1035">IF(OR(D1035="",F1035=""),"",IFERROR(IF(AND(OR(INDEX('1.職能辭典'!$J:$J,MATCH(F1035,'1.職能辭典'!$C:$C,0))="全部",INDEX('3.員工名單'!$H:$H,MATCH(A1035,'3.員工名單'!$A:$A,0))="兩款共用",INDEX('3.員工名單'!$H:$H,MATCH(A1035,'3.員工名單'!$A:$A,0))=INDEX('1.職能辭典'!$J:$J,MATCH(F1035,'1.職能辭典'!$C:$C,0))),OR(INDEX('1.職能辭典'!$K:$K,MATCH(F1035,'1.職能辭典'!$C:$C,0))="全部",SUMPRODUCT(ISNUMBER(SEARCH({"經營","管理","財務","企劃","營運","技術","數據","美術","測試","客服"},INDEX('3.員工名單'!$I:$I,MATCH(A1035,'3.員工名單'!$A:$A,0))))*ISNUMBER(SEARCH({"經營","管理","財務","企劃","營運","技術","數據","美術","測試","客服"},INDEX('1.職能辭典'!$K:$K,MATCH(F1035,'1.職能辭典'!$C:$C,0)))))&gt;0)),INDEX('2.職務職能需求'!$B$2:$F$28,MATCH(F1035,'2.職務職能需求'!$A$2:$A$28,0),MATCH(D1035,'2.職務職能需求'!$B$1:$F$1,0)),0),""))</f>
        <v/>
      </c>
      <c r="H1035" s="94" t="n"/>
      <c r="I1035" s="94" t="n"/>
      <c r="J1035" s="120">
        <f>IF(OR(G1035="",I1035="",G1035=0),"",I1035-G1035)</f>
        <v/>
      </c>
      <c r="K1035" s="120">
        <f>IF(G1035="","",IF(G1035=0,"不適用",IF(I1035="","待評核",IF(I1035&gt;=G1035,IF(I1035&gt;G1035,"超越","達標"),"待發展"))))</f>
        <v/>
      </c>
      <c r="L1035" s="91" t="n"/>
      <c r="M1035" s="91" t="n"/>
      <c r="N1035" s="88" t="n"/>
    </row>
    <row r="1036" ht="15.75" customHeight="1" s="64">
      <c r="A1036" s="88" t="n"/>
      <c r="B1036" s="120">
        <f t="array" ref="B1036:B1036">IF(A1036="","",IFERROR(INDEX('3.員工名單'!$B:$B,MATCH(A1036,'3.員工名單'!$A:$A,0)),"查無此員工"))</f>
        <v/>
      </c>
      <c r="C1036" s="120">
        <f t="array" ref="C1036:C1036">IF(A1036="","",IFERROR(INDEX('3.員工名單'!$C:$C,MATCH(A1036,'3.員工名單'!$A:$A,0)),""))</f>
        <v/>
      </c>
      <c r="D1036" s="120">
        <f t="array" ref="D1036:D1036">IF(A1036="","",IFERROR(INDEX('3.員工名單'!$D:$D,MATCH(A1036,'3.員工名單'!$A:$A,0)),""))</f>
        <v/>
      </c>
      <c r="E1036" s="120">
        <f t="array" ref="E1036:E1036">IF(F1036="","",IFERROR(INDEX('1.職能辭典'!$A:$A,MATCH(F1036,'1.職能辭典'!$C:$C,0)),""))</f>
        <v/>
      </c>
      <c r="F1036" s="94" t="n"/>
      <c r="G1036" s="120">
        <f t="array" ref="G1036:G1036">IF(OR(D1036="",F1036=""),"",IFERROR(IF(AND(OR(INDEX('1.職能辭典'!$J:$J,MATCH(F1036,'1.職能辭典'!$C:$C,0))="全部",INDEX('3.員工名單'!$H:$H,MATCH(A1036,'3.員工名單'!$A:$A,0))="兩款共用",INDEX('3.員工名單'!$H:$H,MATCH(A1036,'3.員工名單'!$A:$A,0))=INDEX('1.職能辭典'!$J:$J,MATCH(F1036,'1.職能辭典'!$C:$C,0))),OR(INDEX('1.職能辭典'!$K:$K,MATCH(F1036,'1.職能辭典'!$C:$C,0))="全部",SUMPRODUCT(ISNUMBER(SEARCH({"經營","管理","財務","企劃","營運","技術","數據","美術","測試","客服"},INDEX('3.員工名單'!$I:$I,MATCH(A1036,'3.員工名單'!$A:$A,0))))*ISNUMBER(SEARCH({"經營","管理","財務","企劃","營運","技術","數據","美術","測試","客服"},INDEX('1.職能辭典'!$K:$K,MATCH(F1036,'1.職能辭典'!$C:$C,0)))))&gt;0)),INDEX('2.職務職能需求'!$B$2:$F$28,MATCH(F1036,'2.職務職能需求'!$A$2:$A$28,0),MATCH(D1036,'2.職務職能需求'!$B$1:$F$1,0)),0),""))</f>
        <v/>
      </c>
      <c r="H1036" s="94" t="n"/>
      <c r="I1036" s="94" t="n"/>
      <c r="J1036" s="120">
        <f>IF(OR(G1036="",I1036="",G1036=0),"",I1036-G1036)</f>
        <v/>
      </c>
      <c r="K1036" s="120">
        <f>IF(G1036="","",IF(G1036=0,"不適用",IF(I1036="","待評核",IF(I1036&gt;=G1036,IF(I1036&gt;G1036,"超越","達標"),"待發展"))))</f>
        <v/>
      </c>
      <c r="L1036" s="91" t="n"/>
      <c r="M1036" s="91" t="n"/>
      <c r="N1036" s="88" t="n"/>
    </row>
    <row r="1037" ht="15.75" customHeight="1" s="64">
      <c r="A1037" s="88" t="n"/>
      <c r="B1037" s="120">
        <f t="array" ref="B1037:B1037">IF(A1037="","",IFERROR(INDEX('3.員工名單'!$B:$B,MATCH(A1037,'3.員工名單'!$A:$A,0)),"查無此員工"))</f>
        <v/>
      </c>
      <c r="C1037" s="120">
        <f t="array" ref="C1037:C1037">IF(A1037="","",IFERROR(INDEX('3.員工名單'!$C:$C,MATCH(A1037,'3.員工名單'!$A:$A,0)),""))</f>
        <v/>
      </c>
      <c r="D1037" s="120">
        <f t="array" ref="D1037:D1037">IF(A1037="","",IFERROR(INDEX('3.員工名單'!$D:$D,MATCH(A1037,'3.員工名單'!$A:$A,0)),""))</f>
        <v/>
      </c>
      <c r="E1037" s="120">
        <f t="array" ref="E1037:E1037">IF(F1037="","",IFERROR(INDEX('1.職能辭典'!$A:$A,MATCH(F1037,'1.職能辭典'!$C:$C,0)),""))</f>
        <v/>
      </c>
      <c r="F1037" s="94" t="n"/>
      <c r="G1037" s="120">
        <f t="array" ref="G1037:G1037">IF(OR(D1037="",F1037=""),"",IFERROR(IF(AND(OR(INDEX('1.職能辭典'!$J:$J,MATCH(F1037,'1.職能辭典'!$C:$C,0))="全部",INDEX('3.員工名單'!$H:$H,MATCH(A1037,'3.員工名單'!$A:$A,0))="兩款共用",INDEX('3.員工名單'!$H:$H,MATCH(A1037,'3.員工名單'!$A:$A,0))=INDEX('1.職能辭典'!$J:$J,MATCH(F1037,'1.職能辭典'!$C:$C,0))),OR(INDEX('1.職能辭典'!$K:$K,MATCH(F1037,'1.職能辭典'!$C:$C,0))="全部",SUMPRODUCT(ISNUMBER(SEARCH({"經營","管理","財務","企劃","營運","技術","數據","美術","測試","客服"},INDEX('3.員工名單'!$I:$I,MATCH(A1037,'3.員工名單'!$A:$A,0))))*ISNUMBER(SEARCH({"經營","管理","財務","企劃","營運","技術","數據","美術","測試","客服"},INDEX('1.職能辭典'!$K:$K,MATCH(F1037,'1.職能辭典'!$C:$C,0)))))&gt;0)),INDEX('2.職務職能需求'!$B$2:$F$28,MATCH(F1037,'2.職務職能需求'!$A$2:$A$28,0),MATCH(D1037,'2.職務職能需求'!$B$1:$F$1,0)),0),""))</f>
        <v/>
      </c>
      <c r="H1037" s="94" t="n"/>
      <c r="I1037" s="94" t="n"/>
      <c r="J1037" s="120">
        <f>IF(OR(G1037="",I1037="",G1037=0),"",I1037-G1037)</f>
        <v/>
      </c>
      <c r="K1037" s="120">
        <f>IF(G1037="","",IF(G1037=0,"不適用",IF(I1037="","待評核",IF(I1037&gt;=G1037,IF(I1037&gt;G1037,"超越","達標"),"待發展"))))</f>
        <v/>
      </c>
      <c r="L1037" s="91" t="n"/>
      <c r="M1037" s="91" t="n"/>
      <c r="N1037" s="88" t="n"/>
    </row>
    <row r="1038" ht="15.75" customHeight="1" s="64">
      <c r="A1038" s="88" t="n"/>
      <c r="B1038" s="120">
        <f t="array" ref="B1038:B1038">IF(A1038="","",IFERROR(INDEX('3.員工名單'!$B:$B,MATCH(A1038,'3.員工名單'!$A:$A,0)),"查無此員工"))</f>
        <v/>
      </c>
      <c r="C1038" s="120">
        <f t="array" ref="C1038:C1038">IF(A1038="","",IFERROR(INDEX('3.員工名單'!$C:$C,MATCH(A1038,'3.員工名單'!$A:$A,0)),""))</f>
        <v/>
      </c>
      <c r="D1038" s="120">
        <f t="array" ref="D1038:D1038">IF(A1038="","",IFERROR(INDEX('3.員工名單'!$D:$D,MATCH(A1038,'3.員工名單'!$A:$A,0)),""))</f>
        <v/>
      </c>
      <c r="E1038" s="120">
        <f t="array" ref="E1038:E1038">IF(F1038="","",IFERROR(INDEX('1.職能辭典'!$A:$A,MATCH(F1038,'1.職能辭典'!$C:$C,0)),""))</f>
        <v/>
      </c>
      <c r="F1038" s="94" t="n"/>
      <c r="G1038" s="120">
        <f t="array" ref="G1038:G1038">IF(OR(D1038="",F1038=""),"",IFERROR(IF(AND(OR(INDEX('1.職能辭典'!$J:$J,MATCH(F1038,'1.職能辭典'!$C:$C,0))="全部",INDEX('3.員工名單'!$H:$H,MATCH(A1038,'3.員工名單'!$A:$A,0))="兩款共用",INDEX('3.員工名單'!$H:$H,MATCH(A1038,'3.員工名單'!$A:$A,0))=INDEX('1.職能辭典'!$J:$J,MATCH(F1038,'1.職能辭典'!$C:$C,0))),OR(INDEX('1.職能辭典'!$K:$K,MATCH(F1038,'1.職能辭典'!$C:$C,0))="全部",SUMPRODUCT(ISNUMBER(SEARCH({"經營","管理","財務","企劃","營運","技術","數據","美術","測試","客服"},INDEX('3.員工名單'!$I:$I,MATCH(A1038,'3.員工名單'!$A:$A,0))))*ISNUMBER(SEARCH({"經營","管理","財務","企劃","營運","技術","數據","美術","測試","客服"},INDEX('1.職能辭典'!$K:$K,MATCH(F1038,'1.職能辭典'!$C:$C,0)))))&gt;0)),INDEX('2.職務職能需求'!$B$2:$F$28,MATCH(F1038,'2.職務職能需求'!$A$2:$A$28,0),MATCH(D1038,'2.職務職能需求'!$B$1:$F$1,0)),0),""))</f>
        <v/>
      </c>
      <c r="H1038" s="94" t="n"/>
      <c r="I1038" s="94" t="n"/>
      <c r="J1038" s="120">
        <f>IF(OR(G1038="",I1038="",G1038=0),"",I1038-G1038)</f>
        <v/>
      </c>
      <c r="K1038" s="120">
        <f>IF(G1038="","",IF(G1038=0,"不適用",IF(I1038="","待評核",IF(I1038&gt;=G1038,IF(I1038&gt;G1038,"超越","達標"),"待發展"))))</f>
        <v/>
      </c>
      <c r="L1038" s="91" t="n"/>
      <c r="M1038" s="91" t="n"/>
      <c r="N1038" s="88" t="n"/>
    </row>
    <row r="1039" ht="15.75" customHeight="1" s="64">
      <c r="A1039" s="88" t="n"/>
      <c r="B1039" s="120">
        <f t="array" ref="B1039:B1039">IF(A1039="","",IFERROR(INDEX('3.員工名單'!$B:$B,MATCH(A1039,'3.員工名單'!$A:$A,0)),"查無此員工"))</f>
        <v/>
      </c>
      <c r="C1039" s="120">
        <f t="array" ref="C1039:C1039">IF(A1039="","",IFERROR(INDEX('3.員工名單'!$C:$C,MATCH(A1039,'3.員工名單'!$A:$A,0)),""))</f>
        <v/>
      </c>
      <c r="D1039" s="120">
        <f t="array" ref="D1039:D1039">IF(A1039="","",IFERROR(INDEX('3.員工名單'!$D:$D,MATCH(A1039,'3.員工名單'!$A:$A,0)),""))</f>
        <v/>
      </c>
      <c r="E1039" s="120">
        <f t="array" ref="E1039:E1039">IF(F1039="","",IFERROR(INDEX('1.職能辭典'!$A:$A,MATCH(F1039,'1.職能辭典'!$C:$C,0)),""))</f>
        <v/>
      </c>
      <c r="F1039" s="94" t="n"/>
      <c r="G1039" s="120">
        <f t="array" ref="G1039:G1039">IF(OR(D1039="",F1039=""),"",IFERROR(IF(AND(OR(INDEX('1.職能辭典'!$J:$J,MATCH(F1039,'1.職能辭典'!$C:$C,0))="全部",INDEX('3.員工名單'!$H:$H,MATCH(A1039,'3.員工名單'!$A:$A,0))="兩款共用",INDEX('3.員工名單'!$H:$H,MATCH(A1039,'3.員工名單'!$A:$A,0))=INDEX('1.職能辭典'!$J:$J,MATCH(F1039,'1.職能辭典'!$C:$C,0))),OR(INDEX('1.職能辭典'!$K:$K,MATCH(F1039,'1.職能辭典'!$C:$C,0))="全部",SUMPRODUCT(ISNUMBER(SEARCH({"經營","管理","財務","企劃","營運","技術","數據","美術","測試","客服"},INDEX('3.員工名單'!$I:$I,MATCH(A1039,'3.員工名單'!$A:$A,0))))*ISNUMBER(SEARCH({"經營","管理","財務","企劃","營運","技術","數據","美術","測試","客服"},INDEX('1.職能辭典'!$K:$K,MATCH(F1039,'1.職能辭典'!$C:$C,0)))))&gt;0)),INDEX('2.職務職能需求'!$B$2:$F$28,MATCH(F1039,'2.職務職能需求'!$A$2:$A$28,0),MATCH(D1039,'2.職務職能需求'!$B$1:$F$1,0)),0),""))</f>
        <v/>
      </c>
      <c r="H1039" s="94" t="n"/>
      <c r="I1039" s="94" t="n"/>
      <c r="J1039" s="120">
        <f>IF(OR(G1039="",I1039="",G1039=0),"",I1039-G1039)</f>
        <v/>
      </c>
      <c r="K1039" s="120">
        <f>IF(G1039="","",IF(G1039=0,"不適用",IF(I1039="","待評核",IF(I1039&gt;=G1039,IF(I1039&gt;G1039,"超越","達標"),"待發展"))))</f>
        <v/>
      </c>
      <c r="L1039" s="91" t="n"/>
      <c r="M1039" s="91" t="n"/>
      <c r="N1039" s="88" t="n"/>
    </row>
    <row r="1040" ht="15.75" customHeight="1" s="64">
      <c r="A1040" s="88" t="n"/>
      <c r="B1040" s="120">
        <f t="array" ref="B1040:B1040">IF(A1040="","",IFERROR(INDEX('3.員工名單'!$B:$B,MATCH(A1040,'3.員工名單'!$A:$A,0)),"查無此員工"))</f>
        <v/>
      </c>
      <c r="C1040" s="120">
        <f t="array" ref="C1040:C1040">IF(A1040="","",IFERROR(INDEX('3.員工名單'!$C:$C,MATCH(A1040,'3.員工名單'!$A:$A,0)),""))</f>
        <v/>
      </c>
      <c r="D1040" s="120">
        <f t="array" ref="D1040:D1040">IF(A1040="","",IFERROR(INDEX('3.員工名單'!$D:$D,MATCH(A1040,'3.員工名單'!$A:$A,0)),""))</f>
        <v/>
      </c>
      <c r="E1040" s="120">
        <f t="array" ref="E1040:E1040">IF(F1040="","",IFERROR(INDEX('1.職能辭典'!$A:$A,MATCH(F1040,'1.職能辭典'!$C:$C,0)),""))</f>
        <v/>
      </c>
      <c r="F1040" s="94" t="n"/>
      <c r="G1040" s="120">
        <f t="array" ref="G1040:G1040">IF(OR(D1040="",F1040=""),"",IFERROR(IF(AND(OR(INDEX('1.職能辭典'!$J:$J,MATCH(F1040,'1.職能辭典'!$C:$C,0))="全部",INDEX('3.員工名單'!$H:$H,MATCH(A1040,'3.員工名單'!$A:$A,0))="兩款共用",INDEX('3.員工名單'!$H:$H,MATCH(A1040,'3.員工名單'!$A:$A,0))=INDEX('1.職能辭典'!$J:$J,MATCH(F1040,'1.職能辭典'!$C:$C,0))),OR(INDEX('1.職能辭典'!$K:$K,MATCH(F1040,'1.職能辭典'!$C:$C,0))="全部",SUMPRODUCT(ISNUMBER(SEARCH({"經營","管理","財務","企劃","營運","技術","數據","美術","測試","客服"},INDEX('3.員工名單'!$I:$I,MATCH(A1040,'3.員工名單'!$A:$A,0))))*ISNUMBER(SEARCH({"經營","管理","財務","企劃","營運","技術","數據","美術","測試","客服"},INDEX('1.職能辭典'!$K:$K,MATCH(F1040,'1.職能辭典'!$C:$C,0)))))&gt;0)),INDEX('2.職務職能需求'!$B$2:$F$28,MATCH(F1040,'2.職務職能需求'!$A$2:$A$28,0),MATCH(D1040,'2.職務職能需求'!$B$1:$F$1,0)),0),""))</f>
        <v/>
      </c>
      <c r="H1040" s="94" t="n"/>
      <c r="I1040" s="94" t="n"/>
      <c r="J1040" s="120">
        <f>IF(OR(G1040="",I1040="",G1040=0),"",I1040-G1040)</f>
        <v/>
      </c>
      <c r="K1040" s="120">
        <f>IF(G1040="","",IF(G1040=0,"不適用",IF(I1040="","待評核",IF(I1040&gt;=G1040,IF(I1040&gt;G1040,"超越","達標"),"待發展"))))</f>
        <v/>
      </c>
      <c r="L1040" s="91" t="n"/>
      <c r="M1040" s="91" t="n"/>
      <c r="N1040" s="88" t="n"/>
    </row>
    <row r="1041" ht="15.75" customHeight="1" s="64">
      <c r="A1041" s="88" t="n"/>
      <c r="B1041" s="120">
        <f t="array" ref="B1041:B1041">IF(A1041="","",IFERROR(INDEX('3.員工名單'!$B:$B,MATCH(A1041,'3.員工名單'!$A:$A,0)),"查無此員工"))</f>
        <v/>
      </c>
      <c r="C1041" s="120">
        <f t="array" ref="C1041:C1041">IF(A1041="","",IFERROR(INDEX('3.員工名單'!$C:$C,MATCH(A1041,'3.員工名單'!$A:$A,0)),""))</f>
        <v/>
      </c>
      <c r="D1041" s="120">
        <f t="array" ref="D1041:D1041">IF(A1041="","",IFERROR(INDEX('3.員工名單'!$D:$D,MATCH(A1041,'3.員工名單'!$A:$A,0)),""))</f>
        <v/>
      </c>
      <c r="E1041" s="120">
        <f t="array" ref="E1041:E1041">IF(F1041="","",IFERROR(INDEX('1.職能辭典'!$A:$A,MATCH(F1041,'1.職能辭典'!$C:$C,0)),""))</f>
        <v/>
      </c>
      <c r="F1041" s="94" t="n"/>
      <c r="G1041" s="120">
        <f t="array" ref="G1041:G1041">IF(OR(D1041="",F1041=""),"",IFERROR(IF(AND(OR(INDEX('1.職能辭典'!$J:$J,MATCH(F1041,'1.職能辭典'!$C:$C,0))="全部",INDEX('3.員工名單'!$H:$H,MATCH(A1041,'3.員工名單'!$A:$A,0))="兩款共用",INDEX('3.員工名單'!$H:$H,MATCH(A1041,'3.員工名單'!$A:$A,0))=INDEX('1.職能辭典'!$J:$J,MATCH(F1041,'1.職能辭典'!$C:$C,0))),OR(INDEX('1.職能辭典'!$K:$K,MATCH(F1041,'1.職能辭典'!$C:$C,0))="全部",SUMPRODUCT(ISNUMBER(SEARCH({"經營","管理","財務","企劃","營運","技術","數據","美術","測試","客服"},INDEX('3.員工名單'!$I:$I,MATCH(A1041,'3.員工名單'!$A:$A,0))))*ISNUMBER(SEARCH({"經營","管理","財務","企劃","營運","技術","數據","美術","測試","客服"},INDEX('1.職能辭典'!$K:$K,MATCH(F1041,'1.職能辭典'!$C:$C,0)))))&gt;0)),INDEX('2.職務職能需求'!$B$2:$F$28,MATCH(F1041,'2.職務職能需求'!$A$2:$A$28,0),MATCH(D1041,'2.職務職能需求'!$B$1:$F$1,0)),0),""))</f>
        <v/>
      </c>
      <c r="H1041" s="94" t="n"/>
      <c r="I1041" s="94" t="n"/>
      <c r="J1041" s="120">
        <f>IF(OR(G1041="",I1041="",G1041=0),"",I1041-G1041)</f>
        <v/>
      </c>
      <c r="K1041" s="120">
        <f>IF(G1041="","",IF(G1041=0,"不適用",IF(I1041="","待評核",IF(I1041&gt;=G1041,IF(I1041&gt;G1041,"超越","達標"),"待發展"))))</f>
        <v/>
      </c>
      <c r="L1041" s="91" t="n"/>
      <c r="M1041" s="91" t="n"/>
      <c r="N1041" s="88" t="n"/>
    </row>
    <row r="1042" ht="15.75" customHeight="1" s="64">
      <c r="A1042" s="88" t="n"/>
      <c r="B1042" s="120">
        <f t="array" ref="B1042:B1042">IF(A1042="","",IFERROR(INDEX('3.員工名單'!$B:$B,MATCH(A1042,'3.員工名單'!$A:$A,0)),"查無此員工"))</f>
        <v/>
      </c>
      <c r="C1042" s="120">
        <f t="array" ref="C1042:C1042">IF(A1042="","",IFERROR(INDEX('3.員工名單'!$C:$C,MATCH(A1042,'3.員工名單'!$A:$A,0)),""))</f>
        <v/>
      </c>
      <c r="D1042" s="120">
        <f t="array" ref="D1042:D1042">IF(A1042="","",IFERROR(INDEX('3.員工名單'!$D:$D,MATCH(A1042,'3.員工名單'!$A:$A,0)),""))</f>
        <v/>
      </c>
      <c r="E1042" s="120">
        <f t="array" ref="E1042:E1042">IF(F1042="","",IFERROR(INDEX('1.職能辭典'!$A:$A,MATCH(F1042,'1.職能辭典'!$C:$C,0)),""))</f>
        <v/>
      </c>
      <c r="F1042" s="94" t="n"/>
      <c r="G1042" s="120">
        <f t="array" ref="G1042:G1042">IF(OR(D1042="",F1042=""),"",IFERROR(IF(AND(OR(INDEX('1.職能辭典'!$J:$J,MATCH(F1042,'1.職能辭典'!$C:$C,0))="全部",INDEX('3.員工名單'!$H:$H,MATCH(A1042,'3.員工名單'!$A:$A,0))="兩款共用",INDEX('3.員工名單'!$H:$H,MATCH(A1042,'3.員工名單'!$A:$A,0))=INDEX('1.職能辭典'!$J:$J,MATCH(F1042,'1.職能辭典'!$C:$C,0))),OR(INDEX('1.職能辭典'!$K:$K,MATCH(F1042,'1.職能辭典'!$C:$C,0))="全部",SUMPRODUCT(ISNUMBER(SEARCH({"經營","管理","財務","企劃","營運","技術","數據","美術","測試","客服"},INDEX('3.員工名單'!$I:$I,MATCH(A1042,'3.員工名單'!$A:$A,0))))*ISNUMBER(SEARCH({"經營","管理","財務","企劃","營運","技術","數據","美術","測試","客服"},INDEX('1.職能辭典'!$K:$K,MATCH(F1042,'1.職能辭典'!$C:$C,0)))))&gt;0)),INDEX('2.職務職能需求'!$B$2:$F$28,MATCH(F1042,'2.職務職能需求'!$A$2:$A$28,0),MATCH(D1042,'2.職務職能需求'!$B$1:$F$1,0)),0),""))</f>
        <v/>
      </c>
      <c r="H1042" s="94" t="n"/>
      <c r="I1042" s="94" t="n"/>
      <c r="J1042" s="120">
        <f>IF(OR(G1042="",I1042="",G1042=0),"",I1042-G1042)</f>
        <v/>
      </c>
      <c r="K1042" s="120">
        <f>IF(G1042="","",IF(G1042=0,"不適用",IF(I1042="","待評核",IF(I1042&gt;=G1042,IF(I1042&gt;G1042,"超越","達標"),"待發展"))))</f>
        <v/>
      </c>
      <c r="L1042" s="91" t="n"/>
      <c r="M1042" s="91" t="n"/>
      <c r="N1042" s="88" t="n"/>
    </row>
    <row r="1043" ht="15.75" customHeight="1" s="64">
      <c r="A1043" s="88" t="n"/>
      <c r="B1043" s="120">
        <f t="array" ref="B1043:B1043">IF(A1043="","",IFERROR(INDEX('3.員工名單'!$B:$B,MATCH(A1043,'3.員工名單'!$A:$A,0)),"查無此員工"))</f>
        <v/>
      </c>
      <c r="C1043" s="120">
        <f t="array" ref="C1043:C1043">IF(A1043="","",IFERROR(INDEX('3.員工名單'!$C:$C,MATCH(A1043,'3.員工名單'!$A:$A,0)),""))</f>
        <v/>
      </c>
      <c r="D1043" s="120">
        <f t="array" ref="D1043:D1043">IF(A1043="","",IFERROR(INDEX('3.員工名單'!$D:$D,MATCH(A1043,'3.員工名單'!$A:$A,0)),""))</f>
        <v/>
      </c>
      <c r="E1043" s="120">
        <f t="array" ref="E1043:E1043">IF(F1043="","",IFERROR(INDEX('1.職能辭典'!$A:$A,MATCH(F1043,'1.職能辭典'!$C:$C,0)),""))</f>
        <v/>
      </c>
      <c r="F1043" s="94" t="n"/>
      <c r="G1043" s="120">
        <f t="array" ref="G1043:G1043">IF(OR(D1043="",F1043=""),"",IFERROR(IF(AND(OR(INDEX('1.職能辭典'!$J:$J,MATCH(F1043,'1.職能辭典'!$C:$C,0))="全部",INDEX('3.員工名單'!$H:$H,MATCH(A1043,'3.員工名單'!$A:$A,0))="兩款共用",INDEX('3.員工名單'!$H:$H,MATCH(A1043,'3.員工名單'!$A:$A,0))=INDEX('1.職能辭典'!$J:$J,MATCH(F1043,'1.職能辭典'!$C:$C,0))),OR(INDEX('1.職能辭典'!$K:$K,MATCH(F1043,'1.職能辭典'!$C:$C,0))="全部",SUMPRODUCT(ISNUMBER(SEARCH({"經營","管理","財務","企劃","營運","技術","數據","美術","測試","客服"},INDEX('3.員工名單'!$I:$I,MATCH(A1043,'3.員工名單'!$A:$A,0))))*ISNUMBER(SEARCH({"經營","管理","財務","企劃","營運","技術","數據","美術","測試","客服"},INDEX('1.職能辭典'!$K:$K,MATCH(F1043,'1.職能辭典'!$C:$C,0)))))&gt;0)),INDEX('2.職務職能需求'!$B$2:$F$28,MATCH(F1043,'2.職務職能需求'!$A$2:$A$28,0),MATCH(D1043,'2.職務職能需求'!$B$1:$F$1,0)),0),""))</f>
        <v/>
      </c>
      <c r="H1043" s="94" t="n"/>
      <c r="I1043" s="94" t="n"/>
      <c r="J1043" s="120">
        <f>IF(OR(G1043="",I1043="",G1043=0),"",I1043-G1043)</f>
        <v/>
      </c>
      <c r="K1043" s="120">
        <f>IF(G1043="","",IF(G1043=0,"不適用",IF(I1043="","待評核",IF(I1043&gt;=G1043,IF(I1043&gt;G1043,"超越","達標"),"待發展"))))</f>
        <v/>
      </c>
      <c r="L1043" s="91" t="n"/>
      <c r="M1043" s="91" t="n"/>
      <c r="N1043" s="88" t="n"/>
    </row>
    <row r="1044" ht="15.75" customHeight="1" s="64">
      <c r="A1044" s="88" t="n"/>
      <c r="B1044" s="120">
        <f t="array" ref="B1044:B1044">IF(A1044="","",IFERROR(INDEX('3.員工名單'!$B:$B,MATCH(A1044,'3.員工名單'!$A:$A,0)),"查無此員工"))</f>
        <v/>
      </c>
      <c r="C1044" s="120">
        <f t="array" ref="C1044:C1044">IF(A1044="","",IFERROR(INDEX('3.員工名單'!$C:$C,MATCH(A1044,'3.員工名單'!$A:$A,0)),""))</f>
        <v/>
      </c>
      <c r="D1044" s="120">
        <f t="array" ref="D1044:D1044">IF(A1044="","",IFERROR(INDEX('3.員工名單'!$D:$D,MATCH(A1044,'3.員工名單'!$A:$A,0)),""))</f>
        <v/>
      </c>
      <c r="E1044" s="120">
        <f t="array" ref="E1044:E1044">IF(F1044="","",IFERROR(INDEX('1.職能辭典'!$A:$A,MATCH(F1044,'1.職能辭典'!$C:$C,0)),""))</f>
        <v/>
      </c>
      <c r="F1044" s="94" t="n"/>
      <c r="G1044" s="120">
        <f t="array" ref="G1044:G1044">IF(OR(D1044="",F1044=""),"",IFERROR(IF(AND(OR(INDEX('1.職能辭典'!$J:$J,MATCH(F1044,'1.職能辭典'!$C:$C,0))="全部",INDEX('3.員工名單'!$H:$H,MATCH(A1044,'3.員工名單'!$A:$A,0))="兩款共用",INDEX('3.員工名單'!$H:$H,MATCH(A1044,'3.員工名單'!$A:$A,0))=INDEX('1.職能辭典'!$J:$J,MATCH(F1044,'1.職能辭典'!$C:$C,0))),OR(INDEX('1.職能辭典'!$K:$K,MATCH(F1044,'1.職能辭典'!$C:$C,0))="全部",SUMPRODUCT(ISNUMBER(SEARCH({"經營","管理","財務","企劃","營運","技術","數據","美術","測試","客服"},INDEX('3.員工名單'!$I:$I,MATCH(A1044,'3.員工名單'!$A:$A,0))))*ISNUMBER(SEARCH({"經營","管理","財務","企劃","營運","技術","數據","美術","測試","客服"},INDEX('1.職能辭典'!$K:$K,MATCH(F1044,'1.職能辭典'!$C:$C,0)))))&gt;0)),INDEX('2.職務職能需求'!$B$2:$F$28,MATCH(F1044,'2.職務職能需求'!$A$2:$A$28,0),MATCH(D1044,'2.職務職能需求'!$B$1:$F$1,0)),0),""))</f>
        <v/>
      </c>
      <c r="H1044" s="94" t="n"/>
      <c r="I1044" s="94" t="n"/>
      <c r="J1044" s="120">
        <f>IF(OR(G1044="",I1044="",G1044=0),"",I1044-G1044)</f>
        <v/>
      </c>
      <c r="K1044" s="120">
        <f>IF(G1044="","",IF(G1044=0,"不適用",IF(I1044="","待評核",IF(I1044&gt;=G1044,IF(I1044&gt;G1044,"超越","達標"),"待發展"))))</f>
        <v/>
      </c>
      <c r="L1044" s="91" t="n"/>
      <c r="M1044" s="91" t="n"/>
      <c r="N1044" s="88" t="n"/>
    </row>
    <row r="1045" ht="15.75" customHeight="1" s="64">
      <c r="A1045" s="88" t="n"/>
      <c r="B1045" s="120">
        <f t="array" ref="B1045:B1045">IF(A1045="","",IFERROR(INDEX('3.員工名單'!$B:$B,MATCH(A1045,'3.員工名單'!$A:$A,0)),"查無此員工"))</f>
        <v/>
      </c>
      <c r="C1045" s="120">
        <f t="array" ref="C1045:C1045">IF(A1045="","",IFERROR(INDEX('3.員工名單'!$C:$C,MATCH(A1045,'3.員工名單'!$A:$A,0)),""))</f>
        <v/>
      </c>
      <c r="D1045" s="120">
        <f t="array" ref="D1045:D1045">IF(A1045="","",IFERROR(INDEX('3.員工名單'!$D:$D,MATCH(A1045,'3.員工名單'!$A:$A,0)),""))</f>
        <v/>
      </c>
      <c r="E1045" s="120">
        <f t="array" ref="E1045:E1045">IF(F1045="","",IFERROR(INDEX('1.職能辭典'!$A:$A,MATCH(F1045,'1.職能辭典'!$C:$C,0)),""))</f>
        <v/>
      </c>
      <c r="F1045" s="94" t="n"/>
      <c r="G1045" s="120">
        <f t="array" ref="G1045:G1045">IF(OR(D1045="",F1045=""),"",IFERROR(IF(AND(OR(INDEX('1.職能辭典'!$J:$J,MATCH(F1045,'1.職能辭典'!$C:$C,0))="全部",INDEX('3.員工名單'!$H:$H,MATCH(A1045,'3.員工名單'!$A:$A,0))="兩款共用",INDEX('3.員工名單'!$H:$H,MATCH(A1045,'3.員工名單'!$A:$A,0))=INDEX('1.職能辭典'!$J:$J,MATCH(F1045,'1.職能辭典'!$C:$C,0))),OR(INDEX('1.職能辭典'!$K:$K,MATCH(F1045,'1.職能辭典'!$C:$C,0))="全部",SUMPRODUCT(ISNUMBER(SEARCH({"經營","管理","財務","企劃","營運","技術","數據","美術","測試","客服"},INDEX('3.員工名單'!$I:$I,MATCH(A1045,'3.員工名單'!$A:$A,0))))*ISNUMBER(SEARCH({"經營","管理","財務","企劃","營運","技術","數據","美術","測試","客服"},INDEX('1.職能辭典'!$K:$K,MATCH(F1045,'1.職能辭典'!$C:$C,0)))))&gt;0)),INDEX('2.職務職能需求'!$B$2:$F$28,MATCH(F1045,'2.職務職能需求'!$A$2:$A$28,0),MATCH(D1045,'2.職務職能需求'!$B$1:$F$1,0)),0),""))</f>
        <v/>
      </c>
      <c r="H1045" s="94" t="n"/>
      <c r="I1045" s="94" t="n"/>
      <c r="J1045" s="120">
        <f>IF(OR(G1045="",I1045="",G1045=0),"",I1045-G1045)</f>
        <v/>
      </c>
      <c r="K1045" s="120">
        <f>IF(G1045="","",IF(G1045=0,"不適用",IF(I1045="","待評核",IF(I1045&gt;=G1045,IF(I1045&gt;G1045,"超越","達標"),"待發展"))))</f>
        <v/>
      </c>
      <c r="L1045" s="91" t="n"/>
      <c r="M1045" s="91" t="n"/>
      <c r="N1045" s="88" t="n"/>
    </row>
    <row r="1046" ht="15.75" customHeight="1" s="64">
      <c r="A1046" s="88" t="n"/>
      <c r="B1046" s="120">
        <f t="array" ref="B1046:B1046">IF(A1046="","",IFERROR(INDEX('3.員工名單'!$B:$B,MATCH(A1046,'3.員工名單'!$A:$A,0)),"查無此員工"))</f>
        <v/>
      </c>
      <c r="C1046" s="120">
        <f t="array" ref="C1046:C1046">IF(A1046="","",IFERROR(INDEX('3.員工名單'!$C:$C,MATCH(A1046,'3.員工名單'!$A:$A,0)),""))</f>
        <v/>
      </c>
      <c r="D1046" s="120">
        <f t="array" ref="D1046:D1046">IF(A1046="","",IFERROR(INDEX('3.員工名單'!$D:$D,MATCH(A1046,'3.員工名單'!$A:$A,0)),""))</f>
        <v/>
      </c>
      <c r="E1046" s="120">
        <f t="array" ref="E1046:E1046">IF(F1046="","",IFERROR(INDEX('1.職能辭典'!$A:$A,MATCH(F1046,'1.職能辭典'!$C:$C,0)),""))</f>
        <v/>
      </c>
      <c r="F1046" s="94" t="n"/>
      <c r="G1046" s="120">
        <f t="array" ref="G1046:G1046">IF(OR(D1046="",F1046=""),"",IFERROR(IF(AND(OR(INDEX('1.職能辭典'!$J:$J,MATCH(F1046,'1.職能辭典'!$C:$C,0))="全部",INDEX('3.員工名單'!$H:$H,MATCH(A1046,'3.員工名單'!$A:$A,0))="兩款共用",INDEX('3.員工名單'!$H:$H,MATCH(A1046,'3.員工名單'!$A:$A,0))=INDEX('1.職能辭典'!$J:$J,MATCH(F1046,'1.職能辭典'!$C:$C,0))),OR(INDEX('1.職能辭典'!$K:$K,MATCH(F1046,'1.職能辭典'!$C:$C,0))="全部",SUMPRODUCT(ISNUMBER(SEARCH({"經營","管理","財務","企劃","營運","技術","數據","美術","測試","客服"},INDEX('3.員工名單'!$I:$I,MATCH(A1046,'3.員工名單'!$A:$A,0))))*ISNUMBER(SEARCH({"經營","管理","財務","企劃","營運","技術","數據","美術","測試","客服"},INDEX('1.職能辭典'!$K:$K,MATCH(F1046,'1.職能辭典'!$C:$C,0)))))&gt;0)),INDEX('2.職務職能需求'!$B$2:$F$28,MATCH(F1046,'2.職務職能需求'!$A$2:$A$28,0),MATCH(D1046,'2.職務職能需求'!$B$1:$F$1,0)),0),""))</f>
        <v/>
      </c>
      <c r="H1046" s="94" t="n"/>
      <c r="I1046" s="94" t="n"/>
      <c r="J1046" s="120">
        <f>IF(OR(G1046="",I1046="",G1046=0),"",I1046-G1046)</f>
        <v/>
      </c>
      <c r="K1046" s="120">
        <f>IF(G1046="","",IF(G1046=0,"不適用",IF(I1046="","待評核",IF(I1046&gt;=G1046,IF(I1046&gt;G1046,"超越","達標"),"待發展"))))</f>
        <v/>
      </c>
      <c r="L1046" s="91" t="n"/>
      <c r="M1046" s="91" t="n"/>
      <c r="N1046" s="88" t="n"/>
    </row>
    <row r="1047" ht="15.75" customHeight="1" s="64">
      <c r="A1047" s="88" t="n"/>
      <c r="B1047" s="120">
        <f t="array" ref="B1047:B1047">IF(A1047="","",IFERROR(INDEX('3.員工名單'!$B:$B,MATCH(A1047,'3.員工名單'!$A:$A,0)),"查無此員工"))</f>
        <v/>
      </c>
      <c r="C1047" s="120">
        <f t="array" ref="C1047:C1047">IF(A1047="","",IFERROR(INDEX('3.員工名單'!$C:$C,MATCH(A1047,'3.員工名單'!$A:$A,0)),""))</f>
        <v/>
      </c>
      <c r="D1047" s="120">
        <f t="array" ref="D1047:D1047">IF(A1047="","",IFERROR(INDEX('3.員工名單'!$D:$D,MATCH(A1047,'3.員工名單'!$A:$A,0)),""))</f>
        <v/>
      </c>
      <c r="E1047" s="120">
        <f t="array" ref="E1047:E1047">IF(F1047="","",IFERROR(INDEX('1.職能辭典'!$A:$A,MATCH(F1047,'1.職能辭典'!$C:$C,0)),""))</f>
        <v/>
      </c>
      <c r="F1047" s="94" t="n"/>
      <c r="G1047" s="120">
        <f t="array" ref="G1047:G1047">IF(OR(D1047="",F1047=""),"",IFERROR(IF(AND(OR(INDEX('1.職能辭典'!$J:$J,MATCH(F1047,'1.職能辭典'!$C:$C,0))="全部",INDEX('3.員工名單'!$H:$H,MATCH(A1047,'3.員工名單'!$A:$A,0))="兩款共用",INDEX('3.員工名單'!$H:$H,MATCH(A1047,'3.員工名單'!$A:$A,0))=INDEX('1.職能辭典'!$J:$J,MATCH(F1047,'1.職能辭典'!$C:$C,0))),OR(INDEX('1.職能辭典'!$K:$K,MATCH(F1047,'1.職能辭典'!$C:$C,0))="全部",SUMPRODUCT(ISNUMBER(SEARCH({"經營","管理","財務","企劃","營運","技術","數據","美術","測試","客服"},INDEX('3.員工名單'!$I:$I,MATCH(A1047,'3.員工名單'!$A:$A,0))))*ISNUMBER(SEARCH({"經營","管理","財務","企劃","營運","技術","數據","美術","測試","客服"},INDEX('1.職能辭典'!$K:$K,MATCH(F1047,'1.職能辭典'!$C:$C,0)))))&gt;0)),INDEX('2.職務職能需求'!$B$2:$F$28,MATCH(F1047,'2.職務職能需求'!$A$2:$A$28,0),MATCH(D1047,'2.職務職能需求'!$B$1:$F$1,0)),0),""))</f>
        <v/>
      </c>
      <c r="H1047" s="94" t="n"/>
      <c r="I1047" s="94" t="n"/>
      <c r="J1047" s="120">
        <f>IF(OR(G1047="",I1047="",G1047=0),"",I1047-G1047)</f>
        <v/>
      </c>
      <c r="K1047" s="120">
        <f>IF(G1047="","",IF(G1047=0,"不適用",IF(I1047="","待評核",IF(I1047&gt;=G1047,IF(I1047&gt;G1047,"超越","達標"),"待發展"))))</f>
        <v/>
      </c>
      <c r="L1047" s="91" t="n"/>
      <c r="M1047" s="91" t="n"/>
      <c r="N1047" s="88" t="n"/>
    </row>
    <row r="1048" ht="15.75" customHeight="1" s="64">
      <c r="A1048" s="88" t="n"/>
      <c r="B1048" s="120">
        <f t="array" ref="B1048:B1048">IF(A1048="","",IFERROR(INDEX('3.員工名單'!$B:$B,MATCH(A1048,'3.員工名單'!$A:$A,0)),"查無此員工"))</f>
        <v/>
      </c>
      <c r="C1048" s="120">
        <f t="array" ref="C1048:C1048">IF(A1048="","",IFERROR(INDEX('3.員工名單'!$C:$C,MATCH(A1048,'3.員工名單'!$A:$A,0)),""))</f>
        <v/>
      </c>
      <c r="D1048" s="120">
        <f t="array" ref="D1048:D1048">IF(A1048="","",IFERROR(INDEX('3.員工名單'!$D:$D,MATCH(A1048,'3.員工名單'!$A:$A,0)),""))</f>
        <v/>
      </c>
      <c r="E1048" s="120">
        <f t="array" ref="E1048:E1048">IF(F1048="","",IFERROR(INDEX('1.職能辭典'!$A:$A,MATCH(F1048,'1.職能辭典'!$C:$C,0)),""))</f>
        <v/>
      </c>
      <c r="F1048" s="94" t="n"/>
      <c r="G1048" s="120">
        <f t="array" ref="G1048:G1048">IF(OR(D1048="",F1048=""),"",IFERROR(IF(AND(OR(INDEX('1.職能辭典'!$J:$J,MATCH(F1048,'1.職能辭典'!$C:$C,0))="全部",INDEX('3.員工名單'!$H:$H,MATCH(A1048,'3.員工名單'!$A:$A,0))="兩款共用",INDEX('3.員工名單'!$H:$H,MATCH(A1048,'3.員工名單'!$A:$A,0))=INDEX('1.職能辭典'!$J:$J,MATCH(F1048,'1.職能辭典'!$C:$C,0))),OR(INDEX('1.職能辭典'!$K:$K,MATCH(F1048,'1.職能辭典'!$C:$C,0))="全部",SUMPRODUCT(ISNUMBER(SEARCH({"經營","管理","財務","企劃","營運","技術","數據","美術","測試","客服"},INDEX('3.員工名單'!$I:$I,MATCH(A1048,'3.員工名單'!$A:$A,0))))*ISNUMBER(SEARCH({"經營","管理","財務","企劃","營運","技術","數據","美術","測試","客服"},INDEX('1.職能辭典'!$K:$K,MATCH(F1048,'1.職能辭典'!$C:$C,0)))))&gt;0)),INDEX('2.職務職能需求'!$B$2:$F$28,MATCH(F1048,'2.職務職能需求'!$A$2:$A$28,0),MATCH(D1048,'2.職務職能需求'!$B$1:$F$1,0)),0),""))</f>
        <v/>
      </c>
      <c r="H1048" s="94" t="n"/>
      <c r="I1048" s="94" t="n"/>
      <c r="J1048" s="120">
        <f>IF(OR(G1048="",I1048="",G1048=0),"",I1048-G1048)</f>
        <v/>
      </c>
      <c r="K1048" s="120">
        <f>IF(G1048="","",IF(G1048=0,"不適用",IF(I1048="","待評核",IF(I1048&gt;=G1048,IF(I1048&gt;G1048,"超越","達標"),"待發展"))))</f>
        <v/>
      </c>
      <c r="L1048" s="91" t="n"/>
      <c r="M1048" s="91" t="n"/>
      <c r="N1048" s="88" t="n"/>
    </row>
    <row r="1049" ht="15.75" customHeight="1" s="64">
      <c r="A1049" s="88" t="n"/>
      <c r="B1049" s="120">
        <f t="array" ref="B1049:B1049">IF(A1049="","",IFERROR(INDEX('3.員工名單'!$B:$B,MATCH(A1049,'3.員工名單'!$A:$A,0)),"查無此員工"))</f>
        <v/>
      </c>
      <c r="C1049" s="120">
        <f t="array" ref="C1049:C1049">IF(A1049="","",IFERROR(INDEX('3.員工名單'!$C:$C,MATCH(A1049,'3.員工名單'!$A:$A,0)),""))</f>
        <v/>
      </c>
      <c r="D1049" s="120">
        <f t="array" ref="D1049:D1049">IF(A1049="","",IFERROR(INDEX('3.員工名單'!$D:$D,MATCH(A1049,'3.員工名單'!$A:$A,0)),""))</f>
        <v/>
      </c>
      <c r="E1049" s="120">
        <f t="array" ref="E1049:E1049">IF(F1049="","",IFERROR(INDEX('1.職能辭典'!$A:$A,MATCH(F1049,'1.職能辭典'!$C:$C,0)),""))</f>
        <v/>
      </c>
      <c r="F1049" s="94" t="n"/>
      <c r="G1049" s="120">
        <f t="array" ref="G1049:G1049">IF(OR(D1049="",F1049=""),"",IFERROR(IF(AND(OR(INDEX('1.職能辭典'!$J:$J,MATCH(F1049,'1.職能辭典'!$C:$C,0))="全部",INDEX('3.員工名單'!$H:$H,MATCH(A1049,'3.員工名單'!$A:$A,0))="兩款共用",INDEX('3.員工名單'!$H:$H,MATCH(A1049,'3.員工名單'!$A:$A,0))=INDEX('1.職能辭典'!$J:$J,MATCH(F1049,'1.職能辭典'!$C:$C,0))),OR(INDEX('1.職能辭典'!$K:$K,MATCH(F1049,'1.職能辭典'!$C:$C,0))="全部",SUMPRODUCT(ISNUMBER(SEARCH({"經營","管理","財務","企劃","營運","技術","數據","美術","測試","客服"},INDEX('3.員工名單'!$I:$I,MATCH(A1049,'3.員工名單'!$A:$A,0))))*ISNUMBER(SEARCH({"經營","管理","財務","企劃","營運","技術","數據","美術","測試","客服"},INDEX('1.職能辭典'!$K:$K,MATCH(F1049,'1.職能辭典'!$C:$C,0)))))&gt;0)),INDEX('2.職務職能需求'!$B$2:$F$28,MATCH(F1049,'2.職務職能需求'!$A$2:$A$28,0),MATCH(D1049,'2.職務職能需求'!$B$1:$F$1,0)),0),""))</f>
        <v/>
      </c>
      <c r="H1049" s="94" t="n"/>
      <c r="I1049" s="94" t="n"/>
      <c r="J1049" s="120">
        <f>IF(OR(G1049="",I1049="",G1049=0),"",I1049-G1049)</f>
        <v/>
      </c>
      <c r="K1049" s="120">
        <f>IF(G1049="","",IF(G1049=0,"不適用",IF(I1049="","待評核",IF(I1049&gt;=G1049,IF(I1049&gt;G1049,"超越","達標"),"待發展"))))</f>
        <v/>
      </c>
      <c r="L1049" s="91" t="n"/>
      <c r="M1049" s="91" t="n"/>
      <c r="N1049" s="88" t="n"/>
    </row>
    <row r="1050" ht="15.75" customHeight="1" s="64">
      <c r="A1050" s="88" t="n"/>
      <c r="B1050" s="120">
        <f t="array" ref="B1050:B1050">IF(A1050="","",IFERROR(INDEX('3.員工名單'!$B:$B,MATCH(A1050,'3.員工名單'!$A:$A,0)),"查無此員工"))</f>
        <v/>
      </c>
      <c r="C1050" s="120">
        <f t="array" ref="C1050:C1050">IF(A1050="","",IFERROR(INDEX('3.員工名單'!$C:$C,MATCH(A1050,'3.員工名單'!$A:$A,0)),""))</f>
        <v/>
      </c>
      <c r="D1050" s="120">
        <f t="array" ref="D1050:D1050">IF(A1050="","",IFERROR(INDEX('3.員工名單'!$D:$D,MATCH(A1050,'3.員工名單'!$A:$A,0)),""))</f>
        <v/>
      </c>
      <c r="E1050" s="120">
        <f t="array" ref="E1050:E1050">IF(F1050="","",IFERROR(INDEX('1.職能辭典'!$A:$A,MATCH(F1050,'1.職能辭典'!$C:$C,0)),""))</f>
        <v/>
      </c>
      <c r="F1050" s="94" t="n"/>
      <c r="G1050" s="120">
        <f t="array" ref="G1050:G1050">IF(OR(D1050="",F1050=""),"",IFERROR(IF(AND(OR(INDEX('1.職能辭典'!$J:$J,MATCH(F1050,'1.職能辭典'!$C:$C,0))="全部",INDEX('3.員工名單'!$H:$H,MATCH(A1050,'3.員工名單'!$A:$A,0))="兩款共用",INDEX('3.員工名單'!$H:$H,MATCH(A1050,'3.員工名單'!$A:$A,0))=INDEX('1.職能辭典'!$J:$J,MATCH(F1050,'1.職能辭典'!$C:$C,0))),OR(INDEX('1.職能辭典'!$K:$K,MATCH(F1050,'1.職能辭典'!$C:$C,0))="全部",SUMPRODUCT(ISNUMBER(SEARCH({"經營","管理","財務","企劃","營運","技術","數據","美術","測試","客服"},INDEX('3.員工名單'!$I:$I,MATCH(A1050,'3.員工名單'!$A:$A,0))))*ISNUMBER(SEARCH({"經營","管理","財務","企劃","營運","技術","數據","美術","測試","客服"},INDEX('1.職能辭典'!$K:$K,MATCH(F1050,'1.職能辭典'!$C:$C,0)))))&gt;0)),INDEX('2.職務職能需求'!$B$2:$F$28,MATCH(F1050,'2.職務職能需求'!$A$2:$A$28,0),MATCH(D1050,'2.職務職能需求'!$B$1:$F$1,0)),0),""))</f>
        <v/>
      </c>
      <c r="H1050" s="94" t="n"/>
      <c r="I1050" s="94" t="n"/>
      <c r="J1050" s="120">
        <f>IF(OR(G1050="",I1050="",G1050=0),"",I1050-G1050)</f>
        <v/>
      </c>
      <c r="K1050" s="120">
        <f>IF(G1050="","",IF(G1050=0,"不適用",IF(I1050="","待評核",IF(I1050&gt;=G1050,IF(I1050&gt;G1050,"超越","達標"),"待發展"))))</f>
        <v/>
      </c>
      <c r="L1050" s="91" t="n"/>
      <c r="M1050" s="91" t="n"/>
      <c r="N1050" s="88" t="n"/>
    </row>
    <row r="1051" ht="15.75" customHeight="1" s="64">
      <c r="A1051" s="88" t="n"/>
      <c r="B1051" s="120">
        <f t="array" ref="B1051:B1051">IF(A1051="","",IFERROR(INDEX('3.員工名單'!$B:$B,MATCH(A1051,'3.員工名單'!$A:$A,0)),"查無此員工"))</f>
        <v/>
      </c>
      <c r="C1051" s="120">
        <f t="array" ref="C1051:C1051">IF(A1051="","",IFERROR(INDEX('3.員工名單'!$C:$C,MATCH(A1051,'3.員工名單'!$A:$A,0)),""))</f>
        <v/>
      </c>
      <c r="D1051" s="120">
        <f t="array" ref="D1051:D1051">IF(A1051="","",IFERROR(INDEX('3.員工名單'!$D:$D,MATCH(A1051,'3.員工名單'!$A:$A,0)),""))</f>
        <v/>
      </c>
      <c r="E1051" s="120">
        <f t="array" ref="E1051:E1051">IF(F1051="","",IFERROR(INDEX('1.職能辭典'!$A:$A,MATCH(F1051,'1.職能辭典'!$C:$C,0)),""))</f>
        <v/>
      </c>
      <c r="F1051" s="94" t="n"/>
      <c r="G1051" s="120">
        <f t="array" ref="G1051:G1051">IF(OR(D1051="",F1051=""),"",IFERROR(IF(AND(OR(INDEX('1.職能辭典'!$J:$J,MATCH(F1051,'1.職能辭典'!$C:$C,0))="全部",INDEX('3.員工名單'!$H:$H,MATCH(A1051,'3.員工名單'!$A:$A,0))="兩款共用",INDEX('3.員工名單'!$H:$H,MATCH(A1051,'3.員工名單'!$A:$A,0))=INDEX('1.職能辭典'!$J:$J,MATCH(F1051,'1.職能辭典'!$C:$C,0))),OR(INDEX('1.職能辭典'!$K:$K,MATCH(F1051,'1.職能辭典'!$C:$C,0))="全部",SUMPRODUCT(ISNUMBER(SEARCH({"經營","管理","財務","企劃","營運","技術","數據","美術","測試","客服"},INDEX('3.員工名單'!$I:$I,MATCH(A1051,'3.員工名單'!$A:$A,0))))*ISNUMBER(SEARCH({"經營","管理","財務","企劃","營運","技術","數據","美術","測試","客服"},INDEX('1.職能辭典'!$K:$K,MATCH(F1051,'1.職能辭典'!$C:$C,0)))))&gt;0)),INDEX('2.職務職能需求'!$B$2:$F$28,MATCH(F1051,'2.職務職能需求'!$A$2:$A$28,0),MATCH(D1051,'2.職務職能需求'!$B$1:$F$1,0)),0),""))</f>
        <v/>
      </c>
      <c r="H1051" s="94" t="n"/>
      <c r="I1051" s="94" t="n"/>
      <c r="J1051" s="120">
        <f>IF(OR(G1051="",I1051="",G1051=0),"",I1051-G1051)</f>
        <v/>
      </c>
      <c r="K1051" s="120">
        <f>IF(G1051="","",IF(G1051=0,"不適用",IF(I1051="","待評核",IF(I1051&gt;=G1051,IF(I1051&gt;G1051,"超越","達標"),"待發展"))))</f>
        <v/>
      </c>
      <c r="L1051" s="91" t="n"/>
      <c r="M1051" s="91" t="n"/>
      <c r="N1051" s="88" t="n"/>
    </row>
    <row r="1052" ht="15.75" customHeight="1" s="64">
      <c r="A1052" s="88" t="n"/>
      <c r="B1052" s="120">
        <f t="array" ref="B1052:B1052">IF(A1052="","",IFERROR(INDEX('3.員工名單'!$B:$B,MATCH(A1052,'3.員工名單'!$A:$A,0)),"查無此員工"))</f>
        <v/>
      </c>
      <c r="C1052" s="120">
        <f t="array" ref="C1052:C1052">IF(A1052="","",IFERROR(INDEX('3.員工名單'!$C:$C,MATCH(A1052,'3.員工名單'!$A:$A,0)),""))</f>
        <v/>
      </c>
      <c r="D1052" s="120">
        <f t="array" ref="D1052:D1052">IF(A1052="","",IFERROR(INDEX('3.員工名單'!$D:$D,MATCH(A1052,'3.員工名單'!$A:$A,0)),""))</f>
        <v/>
      </c>
      <c r="E1052" s="120">
        <f t="array" ref="E1052:E1052">IF(F1052="","",IFERROR(INDEX('1.職能辭典'!$A:$A,MATCH(F1052,'1.職能辭典'!$C:$C,0)),""))</f>
        <v/>
      </c>
      <c r="F1052" s="94" t="n"/>
      <c r="G1052" s="120">
        <f t="array" ref="G1052:G1052">IF(OR(D1052="",F1052=""),"",IFERROR(IF(AND(OR(INDEX('1.職能辭典'!$J:$J,MATCH(F1052,'1.職能辭典'!$C:$C,0))="全部",INDEX('3.員工名單'!$H:$H,MATCH(A1052,'3.員工名單'!$A:$A,0))="兩款共用",INDEX('3.員工名單'!$H:$H,MATCH(A1052,'3.員工名單'!$A:$A,0))=INDEX('1.職能辭典'!$J:$J,MATCH(F1052,'1.職能辭典'!$C:$C,0))),OR(INDEX('1.職能辭典'!$K:$K,MATCH(F1052,'1.職能辭典'!$C:$C,0))="全部",SUMPRODUCT(ISNUMBER(SEARCH({"經營","管理","財務","企劃","營運","技術","數據","美術","測試","客服"},INDEX('3.員工名單'!$I:$I,MATCH(A1052,'3.員工名單'!$A:$A,0))))*ISNUMBER(SEARCH({"經營","管理","財務","企劃","營運","技術","數據","美術","測試","客服"},INDEX('1.職能辭典'!$K:$K,MATCH(F1052,'1.職能辭典'!$C:$C,0)))))&gt;0)),INDEX('2.職務職能需求'!$B$2:$F$28,MATCH(F1052,'2.職務職能需求'!$A$2:$A$28,0),MATCH(D1052,'2.職務職能需求'!$B$1:$F$1,0)),0),""))</f>
        <v/>
      </c>
      <c r="H1052" s="94" t="n"/>
      <c r="I1052" s="94" t="n"/>
      <c r="J1052" s="120">
        <f>IF(OR(G1052="",I1052="",G1052=0),"",I1052-G1052)</f>
        <v/>
      </c>
      <c r="K1052" s="120">
        <f>IF(G1052="","",IF(G1052=0,"不適用",IF(I1052="","待評核",IF(I1052&gt;=G1052,IF(I1052&gt;G1052,"超越","達標"),"待發展"))))</f>
        <v/>
      </c>
      <c r="L1052" s="91" t="n"/>
      <c r="M1052" s="91" t="n"/>
      <c r="N1052" s="88" t="n"/>
    </row>
    <row r="1053" ht="15.75" customHeight="1" s="64">
      <c r="A1053" s="88" t="n"/>
      <c r="B1053" s="120">
        <f t="array" ref="B1053:B1053">IF(A1053="","",IFERROR(INDEX('3.員工名單'!$B:$B,MATCH(A1053,'3.員工名單'!$A:$A,0)),"查無此員工"))</f>
        <v/>
      </c>
      <c r="C1053" s="120">
        <f t="array" ref="C1053:C1053">IF(A1053="","",IFERROR(INDEX('3.員工名單'!$C:$C,MATCH(A1053,'3.員工名單'!$A:$A,0)),""))</f>
        <v/>
      </c>
      <c r="D1053" s="120">
        <f t="array" ref="D1053:D1053">IF(A1053="","",IFERROR(INDEX('3.員工名單'!$D:$D,MATCH(A1053,'3.員工名單'!$A:$A,0)),""))</f>
        <v/>
      </c>
      <c r="E1053" s="120">
        <f t="array" ref="E1053:E1053">IF(F1053="","",IFERROR(INDEX('1.職能辭典'!$A:$A,MATCH(F1053,'1.職能辭典'!$C:$C,0)),""))</f>
        <v/>
      </c>
      <c r="F1053" s="94" t="n"/>
      <c r="G1053" s="120">
        <f t="array" ref="G1053:G1053">IF(OR(D1053="",F1053=""),"",IFERROR(IF(AND(OR(INDEX('1.職能辭典'!$J:$J,MATCH(F1053,'1.職能辭典'!$C:$C,0))="全部",INDEX('3.員工名單'!$H:$H,MATCH(A1053,'3.員工名單'!$A:$A,0))="兩款共用",INDEX('3.員工名單'!$H:$H,MATCH(A1053,'3.員工名單'!$A:$A,0))=INDEX('1.職能辭典'!$J:$J,MATCH(F1053,'1.職能辭典'!$C:$C,0))),OR(INDEX('1.職能辭典'!$K:$K,MATCH(F1053,'1.職能辭典'!$C:$C,0))="全部",SUMPRODUCT(ISNUMBER(SEARCH({"經營","管理","財務","企劃","營運","技術","數據","美術","測試","客服"},INDEX('3.員工名單'!$I:$I,MATCH(A1053,'3.員工名單'!$A:$A,0))))*ISNUMBER(SEARCH({"經營","管理","財務","企劃","營運","技術","數據","美術","測試","客服"},INDEX('1.職能辭典'!$K:$K,MATCH(F1053,'1.職能辭典'!$C:$C,0)))))&gt;0)),INDEX('2.職務職能需求'!$B$2:$F$28,MATCH(F1053,'2.職務職能需求'!$A$2:$A$28,0),MATCH(D1053,'2.職務職能需求'!$B$1:$F$1,0)),0),""))</f>
        <v/>
      </c>
      <c r="H1053" s="94" t="n"/>
      <c r="I1053" s="94" t="n"/>
      <c r="J1053" s="120">
        <f>IF(OR(G1053="",I1053="",G1053=0),"",I1053-G1053)</f>
        <v/>
      </c>
      <c r="K1053" s="120">
        <f>IF(G1053="","",IF(G1053=0,"不適用",IF(I1053="","待評核",IF(I1053&gt;=G1053,IF(I1053&gt;G1053,"超越","達標"),"待發展"))))</f>
        <v/>
      </c>
      <c r="L1053" s="91" t="n"/>
      <c r="M1053" s="91" t="n"/>
      <c r="N1053" s="88" t="n"/>
    </row>
    <row r="1054" ht="15.75" customHeight="1" s="64">
      <c r="A1054" s="88" t="n"/>
      <c r="B1054" s="120">
        <f t="array" ref="B1054:B1054">IF(A1054="","",IFERROR(INDEX('3.員工名單'!$B:$B,MATCH(A1054,'3.員工名單'!$A:$A,0)),"查無此員工"))</f>
        <v/>
      </c>
      <c r="C1054" s="120">
        <f t="array" ref="C1054:C1054">IF(A1054="","",IFERROR(INDEX('3.員工名單'!$C:$C,MATCH(A1054,'3.員工名單'!$A:$A,0)),""))</f>
        <v/>
      </c>
      <c r="D1054" s="120">
        <f t="array" ref="D1054:D1054">IF(A1054="","",IFERROR(INDEX('3.員工名單'!$D:$D,MATCH(A1054,'3.員工名單'!$A:$A,0)),""))</f>
        <v/>
      </c>
      <c r="E1054" s="120">
        <f t="array" ref="E1054:E1054">IF(F1054="","",IFERROR(INDEX('1.職能辭典'!$A:$A,MATCH(F1054,'1.職能辭典'!$C:$C,0)),""))</f>
        <v/>
      </c>
      <c r="F1054" s="94" t="n"/>
      <c r="G1054" s="120">
        <f t="array" ref="G1054:G1054">IF(OR(D1054="",F1054=""),"",IFERROR(IF(AND(OR(INDEX('1.職能辭典'!$J:$J,MATCH(F1054,'1.職能辭典'!$C:$C,0))="全部",INDEX('3.員工名單'!$H:$H,MATCH(A1054,'3.員工名單'!$A:$A,0))="兩款共用",INDEX('3.員工名單'!$H:$H,MATCH(A1054,'3.員工名單'!$A:$A,0))=INDEX('1.職能辭典'!$J:$J,MATCH(F1054,'1.職能辭典'!$C:$C,0))),OR(INDEX('1.職能辭典'!$K:$K,MATCH(F1054,'1.職能辭典'!$C:$C,0))="全部",SUMPRODUCT(ISNUMBER(SEARCH({"經營","管理","財務","企劃","營運","技術","數據","美術","測試","客服"},INDEX('3.員工名單'!$I:$I,MATCH(A1054,'3.員工名單'!$A:$A,0))))*ISNUMBER(SEARCH({"經營","管理","財務","企劃","營運","技術","數據","美術","測試","客服"},INDEX('1.職能辭典'!$K:$K,MATCH(F1054,'1.職能辭典'!$C:$C,0)))))&gt;0)),INDEX('2.職務職能需求'!$B$2:$F$28,MATCH(F1054,'2.職務職能需求'!$A$2:$A$28,0),MATCH(D1054,'2.職務職能需求'!$B$1:$F$1,0)),0),""))</f>
        <v/>
      </c>
      <c r="H1054" s="94" t="n"/>
      <c r="I1054" s="94" t="n"/>
      <c r="J1054" s="120">
        <f>IF(OR(G1054="",I1054="",G1054=0),"",I1054-G1054)</f>
        <v/>
      </c>
      <c r="K1054" s="120">
        <f>IF(G1054="","",IF(G1054=0,"不適用",IF(I1054="","待評核",IF(I1054&gt;=G1054,IF(I1054&gt;G1054,"超越","達標"),"待發展"))))</f>
        <v/>
      </c>
      <c r="L1054" s="91" t="n"/>
      <c r="M1054" s="91" t="n"/>
      <c r="N1054" s="88" t="n"/>
    </row>
    <row r="1055" ht="15.75" customHeight="1" s="64">
      <c r="A1055" s="88" t="n"/>
      <c r="B1055" s="120">
        <f t="array" ref="B1055:B1055">IF(A1055="","",IFERROR(INDEX('3.員工名單'!$B:$B,MATCH(A1055,'3.員工名單'!$A:$A,0)),"查無此員工"))</f>
        <v/>
      </c>
      <c r="C1055" s="120">
        <f t="array" ref="C1055:C1055">IF(A1055="","",IFERROR(INDEX('3.員工名單'!$C:$C,MATCH(A1055,'3.員工名單'!$A:$A,0)),""))</f>
        <v/>
      </c>
      <c r="D1055" s="120">
        <f t="array" ref="D1055:D1055">IF(A1055="","",IFERROR(INDEX('3.員工名單'!$D:$D,MATCH(A1055,'3.員工名單'!$A:$A,0)),""))</f>
        <v/>
      </c>
      <c r="E1055" s="120">
        <f t="array" ref="E1055:E1055">IF(F1055="","",IFERROR(INDEX('1.職能辭典'!$A:$A,MATCH(F1055,'1.職能辭典'!$C:$C,0)),""))</f>
        <v/>
      </c>
      <c r="F1055" s="94" t="n"/>
      <c r="G1055" s="120">
        <f t="array" ref="G1055:G1055">IF(OR(D1055="",F1055=""),"",IFERROR(IF(AND(OR(INDEX('1.職能辭典'!$J:$J,MATCH(F1055,'1.職能辭典'!$C:$C,0))="全部",INDEX('3.員工名單'!$H:$H,MATCH(A1055,'3.員工名單'!$A:$A,0))="兩款共用",INDEX('3.員工名單'!$H:$H,MATCH(A1055,'3.員工名單'!$A:$A,0))=INDEX('1.職能辭典'!$J:$J,MATCH(F1055,'1.職能辭典'!$C:$C,0))),OR(INDEX('1.職能辭典'!$K:$K,MATCH(F1055,'1.職能辭典'!$C:$C,0))="全部",SUMPRODUCT(ISNUMBER(SEARCH({"經營","管理","財務","企劃","營運","技術","數據","美術","測試","客服"},INDEX('3.員工名單'!$I:$I,MATCH(A1055,'3.員工名單'!$A:$A,0))))*ISNUMBER(SEARCH({"經營","管理","財務","企劃","營運","技術","數據","美術","測試","客服"},INDEX('1.職能辭典'!$K:$K,MATCH(F1055,'1.職能辭典'!$C:$C,0)))))&gt;0)),INDEX('2.職務職能需求'!$B$2:$F$28,MATCH(F1055,'2.職務職能需求'!$A$2:$A$28,0),MATCH(D1055,'2.職務職能需求'!$B$1:$F$1,0)),0),""))</f>
        <v/>
      </c>
      <c r="H1055" s="94" t="n"/>
      <c r="I1055" s="94" t="n"/>
      <c r="J1055" s="120">
        <f>IF(OR(G1055="",I1055="",G1055=0),"",I1055-G1055)</f>
        <v/>
      </c>
      <c r="K1055" s="120">
        <f>IF(G1055="","",IF(G1055=0,"不適用",IF(I1055="","待評核",IF(I1055&gt;=G1055,IF(I1055&gt;G1055,"超越","達標"),"待發展"))))</f>
        <v/>
      </c>
      <c r="L1055" s="91" t="n"/>
      <c r="M1055" s="91" t="n"/>
      <c r="N1055" s="88" t="n"/>
    </row>
    <row r="1056" ht="15.75" customHeight="1" s="64">
      <c r="A1056" s="88" t="n"/>
      <c r="B1056" s="120">
        <f t="array" ref="B1056:B1056">IF(A1056="","",IFERROR(INDEX('3.員工名單'!$B:$B,MATCH(A1056,'3.員工名單'!$A:$A,0)),"查無此員工"))</f>
        <v/>
      </c>
      <c r="C1056" s="120">
        <f t="array" ref="C1056:C1056">IF(A1056="","",IFERROR(INDEX('3.員工名單'!$C:$C,MATCH(A1056,'3.員工名單'!$A:$A,0)),""))</f>
        <v/>
      </c>
      <c r="D1056" s="120">
        <f t="array" ref="D1056:D1056">IF(A1056="","",IFERROR(INDEX('3.員工名單'!$D:$D,MATCH(A1056,'3.員工名單'!$A:$A,0)),""))</f>
        <v/>
      </c>
      <c r="E1056" s="120">
        <f t="array" ref="E1056:E1056">IF(F1056="","",IFERROR(INDEX('1.職能辭典'!$A:$A,MATCH(F1056,'1.職能辭典'!$C:$C,0)),""))</f>
        <v/>
      </c>
      <c r="F1056" s="94" t="n"/>
      <c r="G1056" s="120">
        <f t="array" ref="G1056:G1056">IF(OR(D1056="",F1056=""),"",IFERROR(IF(AND(OR(INDEX('1.職能辭典'!$J:$J,MATCH(F1056,'1.職能辭典'!$C:$C,0))="全部",INDEX('3.員工名單'!$H:$H,MATCH(A1056,'3.員工名單'!$A:$A,0))="兩款共用",INDEX('3.員工名單'!$H:$H,MATCH(A1056,'3.員工名單'!$A:$A,0))=INDEX('1.職能辭典'!$J:$J,MATCH(F1056,'1.職能辭典'!$C:$C,0))),OR(INDEX('1.職能辭典'!$K:$K,MATCH(F1056,'1.職能辭典'!$C:$C,0))="全部",SUMPRODUCT(ISNUMBER(SEARCH({"經營","管理","財務","企劃","營運","技術","數據","美術","測試","客服"},INDEX('3.員工名單'!$I:$I,MATCH(A1056,'3.員工名單'!$A:$A,0))))*ISNUMBER(SEARCH({"經營","管理","財務","企劃","營運","技術","數據","美術","測試","客服"},INDEX('1.職能辭典'!$K:$K,MATCH(F1056,'1.職能辭典'!$C:$C,0)))))&gt;0)),INDEX('2.職務職能需求'!$B$2:$F$28,MATCH(F1056,'2.職務職能需求'!$A$2:$A$28,0),MATCH(D1056,'2.職務職能需求'!$B$1:$F$1,0)),0),""))</f>
        <v/>
      </c>
      <c r="H1056" s="94" t="n"/>
      <c r="I1056" s="94" t="n"/>
      <c r="J1056" s="120">
        <f>IF(OR(G1056="",I1056="",G1056=0),"",I1056-G1056)</f>
        <v/>
      </c>
      <c r="K1056" s="120">
        <f>IF(G1056="","",IF(G1056=0,"不適用",IF(I1056="","待評核",IF(I1056&gt;=G1056,IF(I1056&gt;G1056,"超越","達標"),"待發展"))))</f>
        <v/>
      </c>
      <c r="L1056" s="91" t="n"/>
      <c r="M1056" s="91" t="n"/>
      <c r="N1056" s="88" t="n"/>
    </row>
    <row r="1057" ht="15.75" customHeight="1" s="64">
      <c r="A1057" s="88" t="n"/>
      <c r="B1057" s="120">
        <f t="array" ref="B1057:B1057">IF(A1057="","",IFERROR(INDEX('3.員工名單'!$B:$B,MATCH(A1057,'3.員工名單'!$A:$A,0)),"查無此員工"))</f>
        <v/>
      </c>
      <c r="C1057" s="120">
        <f t="array" ref="C1057:C1057">IF(A1057="","",IFERROR(INDEX('3.員工名單'!$C:$C,MATCH(A1057,'3.員工名單'!$A:$A,0)),""))</f>
        <v/>
      </c>
      <c r="D1057" s="120">
        <f t="array" ref="D1057:D1057">IF(A1057="","",IFERROR(INDEX('3.員工名單'!$D:$D,MATCH(A1057,'3.員工名單'!$A:$A,0)),""))</f>
        <v/>
      </c>
      <c r="E1057" s="120">
        <f t="array" ref="E1057:E1057">IF(F1057="","",IFERROR(INDEX('1.職能辭典'!$A:$A,MATCH(F1057,'1.職能辭典'!$C:$C,0)),""))</f>
        <v/>
      </c>
      <c r="F1057" s="94" t="n"/>
      <c r="G1057" s="120">
        <f t="array" ref="G1057:G1057">IF(OR(D1057="",F1057=""),"",IFERROR(IF(AND(OR(INDEX('1.職能辭典'!$J:$J,MATCH(F1057,'1.職能辭典'!$C:$C,0))="全部",INDEX('3.員工名單'!$H:$H,MATCH(A1057,'3.員工名單'!$A:$A,0))="兩款共用",INDEX('3.員工名單'!$H:$H,MATCH(A1057,'3.員工名單'!$A:$A,0))=INDEX('1.職能辭典'!$J:$J,MATCH(F1057,'1.職能辭典'!$C:$C,0))),OR(INDEX('1.職能辭典'!$K:$K,MATCH(F1057,'1.職能辭典'!$C:$C,0))="全部",SUMPRODUCT(ISNUMBER(SEARCH({"經營","管理","財務","企劃","營運","技術","數據","美術","測試","客服"},INDEX('3.員工名單'!$I:$I,MATCH(A1057,'3.員工名單'!$A:$A,0))))*ISNUMBER(SEARCH({"經營","管理","財務","企劃","營運","技術","數據","美術","測試","客服"},INDEX('1.職能辭典'!$K:$K,MATCH(F1057,'1.職能辭典'!$C:$C,0)))))&gt;0)),INDEX('2.職務職能需求'!$B$2:$F$28,MATCH(F1057,'2.職務職能需求'!$A$2:$A$28,0),MATCH(D1057,'2.職務職能需求'!$B$1:$F$1,0)),0),""))</f>
        <v/>
      </c>
      <c r="H1057" s="94" t="n"/>
      <c r="I1057" s="94" t="n"/>
      <c r="J1057" s="120">
        <f>IF(OR(G1057="",I1057="",G1057=0),"",I1057-G1057)</f>
        <v/>
      </c>
      <c r="K1057" s="120">
        <f>IF(G1057="","",IF(G1057=0,"不適用",IF(I1057="","待評核",IF(I1057&gt;=G1057,IF(I1057&gt;G1057,"超越","達標"),"待發展"))))</f>
        <v/>
      </c>
      <c r="L1057" s="91" t="n"/>
      <c r="M1057" s="91" t="n"/>
      <c r="N1057" s="88" t="n"/>
    </row>
    <row r="1058" ht="15.75" customHeight="1" s="64">
      <c r="A1058" s="88" t="n"/>
      <c r="B1058" s="120">
        <f t="array" ref="B1058:B1058">IF(A1058="","",IFERROR(INDEX('3.員工名單'!$B:$B,MATCH(A1058,'3.員工名單'!$A:$A,0)),"查無此員工"))</f>
        <v/>
      </c>
      <c r="C1058" s="120">
        <f t="array" ref="C1058:C1058">IF(A1058="","",IFERROR(INDEX('3.員工名單'!$C:$C,MATCH(A1058,'3.員工名單'!$A:$A,0)),""))</f>
        <v/>
      </c>
      <c r="D1058" s="120">
        <f t="array" ref="D1058:D1058">IF(A1058="","",IFERROR(INDEX('3.員工名單'!$D:$D,MATCH(A1058,'3.員工名單'!$A:$A,0)),""))</f>
        <v/>
      </c>
      <c r="E1058" s="120">
        <f t="array" ref="E1058:E1058">IF(F1058="","",IFERROR(INDEX('1.職能辭典'!$A:$A,MATCH(F1058,'1.職能辭典'!$C:$C,0)),""))</f>
        <v/>
      </c>
      <c r="F1058" s="94" t="n"/>
      <c r="G1058" s="120">
        <f t="array" ref="G1058:G1058">IF(OR(D1058="",F1058=""),"",IFERROR(IF(AND(OR(INDEX('1.職能辭典'!$J:$J,MATCH(F1058,'1.職能辭典'!$C:$C,0))="全部",INDEX('3.員工名單'!$H:$H,MATCH(A1058,'3.員工名單'!$A:$A,0))="兩款共用",INDEX('3.員工名單'!$H:$H,MATCH(A1058,'3.員工名單'!$A:$A,0))=INDEX('1.職能辭典'!$J:$J,MATCH(F1058,'1.職能辭典'!$C:$C,0))),OR(INDEX('1.職能辭典'!$K:$K,MATCH(F1058,'1.職能辭典'!$C:$C,0))="全部",SUMPRODUCT(ISNUMBER(SEARCH({"經營","管理","財務","企劃","營運","技術","數據","美術","測試","客服"},INDEX('3.員工名單'!$I:$I,MATCH(A1058,'3.員工名單'!$A:$A,0))))*ISNUMBER(SEARCH({"經營","管理","財務","企劃","營運","技術","數據","美術","測試","客服"},INDEX('1.職能辭典'!$K:$K,MATCH(F1058,'1.職能辭典'!$C:$C,0)))))&gt;0)),INDEX('2.職務職能需求'!$B$2:$F$28,MATCH(F1058,'2.職務職能需求'!$A$2:$A$28,0),MATCH(D1058,'2.職務職能需求'!$B$1:$F$1,0)),0),""))</f>
        <v/>
      </c>
      <c r="H1058" s="94" t="n"/>
      <c r="I1058" s="94" t="n"/>
      <c r="J1058" s="120">
        <f>IF(OR(G1058="",I1058="",G1058=0),"",I1058-G1058)</f>
        <v/>
      </c>
      <c r="K1058" s="120">
        <f>IF(G1058="","",IF(G1058=0,"不適用",IF(I1058="","待評核",IF(I1058&gt;=G1058,IF(I1058&gt;G1058,"超越","達標"),"待發展"))))</f>
        <v/>
      </c>
      <c r="L1058" s="91" t="n"/>
      <c r="M1058" s="91" t="n"/>
      <c r="N1058" s="88" t="n"/>
    </row>
    <row r="1059" ht="15.75" customHeight="1" s="64">
      <c r="A1059" s="88" t="n"/>
      <c r="B1059" s="120">
        <f t="array" ref="B1059:B1059">IF(A1059="","",IFERROR(INDEX('3.員工名單'!$B:$B,MATCH(A1059,'3.員工名單'!$A:$A,0)),"查無此員工"))</f>
        <v/>
      </c>
      <c r="C1059" s="120">
        <f t="array" ref="C1059:C1059">IF(A1059="","",IFERROR(INDEX('3.員工名單'!$C:$C,MATCH(A1059,'3.員工名單'!$A:$A,0)),""))</f>
        <v/>
      </c>
      <c r="D1059" s="120">
        <f t="array" ref="D1059:D1059">IF(A1059="","",IFERROR(INDEX('3.員工名單'!$D:$D,MATCH(A1059,'3.員工名單'!$A:$A,0)),""))</f>
        <v/>
      </c>
      <c r="E1059" s="120">
        <f t="array" ref="E1059:E1059">IF(F1059="","",IFERROR(INDEX('1.職能辭典'!$A:$A,MATCH(F1059,'1.職能辭典'!$C:$C,0)),""))</f>
        <v/>
      </c>
      <c r="F1059" s="94" t="n"/>
      <c r="G1059" s="120">
        <f t="array" ref="G1059:G1059">IF(OR(D1059="",F1059=""),"",IFERROR(IF(AND(OR(INDEX('1.職能辭典'!$J:$J,MATCH(F1059,'1.職能辭典'!$C:$C,0))="全部",INDEX('3.員工名單'!$H:$H,MATCH(A1059,'3.員工名單'!$A:$A,0))="兩款共用",INDEX('3.員工名單'!$H:$H,MATCH(A1059,'3.員工名單'!$A:$A,0))=INDEX('1.職能辭典'!$J:$J,MATCH(F1059,'1.職能辭典'!$C:$C,0))),OR(INDEX('1.職能辭典'!$K:$K,MATCH(F1059,'1.職能辭典'!$C:$C,0))="全部",SUMPRODUCT(ISNUMBER(SEARCH({"經營","管理","財務","企劃","營運","技術","數據","美術","測試","客服"},INDEX('3.員工名單'!$I:$I,MATCH(A1059,'3.員工名單'!$A:$A,0))))*ISNUMBER(SEARCH({"經營","管理","財務","企劃","營運","技術","數據","美術","測試","客服"},INDEX('1.職能辭典'!$K:$K,MATCH(F1059,'1.職能辭典'!$C:$C,0)))))&gt;0)),INDEX('2.職務職能需求'!$B$2:$F$28,MATCH(F1059,'2.職務職能需求'!$A$2:$A$28,0),MATCH(D1059,'2.職務職能需求'!$B$1:$F$1,0)),0),""))</f>
        <v/>
      </c>
      <c r="H1059" s="94" t="n"/>
      <c r="I1059" s="94" t="n"/>
      <c r="J1059" s="120">
        <f>IF(OR(G1059="",I1059="",G1059=0),"",I1059-G1059)</f>
        <v/>
      </c>
      <c r="K1059" s="120">
        <f>IF(G1059="","",IF(G1059=0,"不適用",IF(I1059="","待評核",IF(I1059&gt;=G1059,IF(I1059&gt;G1059,"超越","達標"),"待發展"))))</f>
        <v/>
      </c>
      <c r="L1059" s="91" t="n"/>
      <c r="M1059" s="91" t="n"/>
      <c r="N1059" s="88" t="n"/>
    </row>
    <row r="1060" ht="15.75" customHeight="1" s="64">
      <c r="A1060" s="88" t="n"/>
      <c r="B1060" s="120">
        <f t="array" ref="B1060:B1060">IF(A1060="","",IFERROR(INDEX('3.員工名單'!$B:$B,MATCH(A1060,'3.員工名單'!$A:$A,0)),"查無此員工"))</f>
        <v/>
      </c>
      <c r="C1060" s="120">
        <f t="array" ref="C1060:C1060">IF(A1060="","",IFERROR(INDEX('3.員工名單'!$C:$C,MATCH(A1060,'3.員工名單'!$A:$A,0)),""))</f>
        <v/>
      </c>
      <c r="D1060" s="120">
        <f t="array" ref="D1060:D1060">IF(A1060="","",IFERROR(INDEX('3.員工名單'!$D:$D,MATCH(A1060,'3.員工名單'!$A:$A,0)),""))</f>
        <v/>
      </c>
      <c r="E1060" s="120">
        <f t="array" ref="E1060:E1060">IF(F1060="","",IFERROR(INDEX('1.職能辭典'!$A:$A,MATCH(F1060,'1.職能辭典'!$C:$C,0)),""))</f>
        <v/>
      </c>
      <c r="F1060" s="94" t="n"/>
      <c r="G1060" s="120">
        <f t="array" ref="G1060:G1060">IF(OR(D1060="",F1060=""),"",IFERROR(IF(AND(OR(INDEX('1.職能辭典'!$J:$J,MATCH(F1060,'1.職能辭典'!$C:$C,0))="全部",INDEX('3.員工名單'!$H:$H,MATCH(A1060,'3.員工名單'!$A:$A,0))="兩款共用",INDEX('3.員工名單'!$H:$H,MATCH(A1060,'3.員工名單'!$A:$A,0))=INDEX('1.職能辭典'!$J:$J,MATCH(F1060,'1.職能辭典'!$C:$C,0))),OR(INDEX('1.職能辭典'!$K:$K,MATCH(F1060,'1.職能辭典'!$C:$C,0))="全部",SUMPRODUCT(ISNUMBER(SEARCH({"經營","管理","財務","企劃","營運","技術","數據","美術","測試","客服"},INDEX('3.員工名單'!$I:$I,MATCH(A1060,'3.員工名單'!$A:$A,0))))*ISNUMBER(SEARCH({"經營","管理","財務","企劃","營運","技術","數據","美術","測試","客服"},INDEX('1.職能辭典'!$K:$K,MATCH(F1060,'1.職能辭典'!$C:$C,0)))))&gt;0)),INDEX('2.職務職能需求'!$B$2:$F$28,MATCH(F1060,'2.職務職能需求'!$A$2:$A$28,0),MATCH(D1060,'2.職務職能需求'!$B$1:$F$1,0)),0),""))</f>
        <v/>
      </c>
      <c r="H1060" s="94" t="n"/>
      <c r="I1060" s="94" t="n"/>
      <c r="J1060" s="120">
        <f>IF(OR(G1060="",I1060="",G1060=0),"",I1060-G1060)</f>
        <v/>
      </c>
      <c r="K1060" s="120">
        <f>IF(G1060="","",IF(G1060=0,"不適用",IF(I1060="","待評核",IF(I1060&gt;=G1060,IF(I1060&gt;G1060,"超越","達標"),"待發展"))))</f>
        <v/>
      </c>
      <c r="L1060" s="91" t="n"/>
      <c r="M1060" s="91" t="n"/>
      <c r="N1060" s="88" t="n"/>
    </row>
    <row r="1061" ht="15.75" customHeight="1" s="64">
      <c r="A1061" s="88" t="n"/>
      <c r="B1061" s="120">
        <f t="array" ref="B1061:B1061">IF(A1061="","",IFERROR(INDEX('3.員工名單'!$B:$B,MATCH(A1061,'3.員工名單'!$A:$A,0)),"查無此員工"))</f>
        <v/>
      </c>
      <c r="C1061" s="120">
        <f t="array" ref="C1061:C1061">IF(A1061="","",IFERROR(INDEX('3.員工名單'!$C:$C,MATCH(A1061,'3.員工名單'!$A:$A,0)),""))</f>
        <v/>
      </c>
      <c r="D1061" s="120">
        <f t="array" ref="D1061:D1061">IF(A1061="","",IFERROR(INDEX('3.員工名單'!$D:$D,MATCH(A1061,'3.員工名單'!$A:$A,0)),""))</f>
        <v/>
      </c>
      <c r="E1061" s="120">
        <f t="array" ref="E1061:E1061">IF(F1061="","",IFERROR(INDEX('1.職能辭典'!$A:$A,MATCH(F1061,'1.職能辭典'!$C:$C,0)),""))</f>
        <v/>
      </c>
      <c r="F1061" s="94" t="n"/>
      <c r="G1061" s="120">
        <f t="array" ref="G1061:G1061">IF(OR(D1061="",F1061=""),"",IFERROR(IF(AND(OR(INDEX('1.職能辭典'!$J:$J,MATCH(F1061,'1.職能辭典'!$C:$C,0))="全部",INDEX('3.員工名單'!$H:$H,MATCH(A1061,'3.員工名單'!$A:$A,0))="兩款共用",INDEX('3.員工名單'!$H:$H,MATCH(A1061,'3.員工名單'!$A:$A,0))=INDEX('1.職能辭典'!$J:$J,MATCH(F1061,'1.職能辭典'!$C:$C,0))),OR(INDEX('1.職能辭典'!$K:$K,MATCH(F1061,'1.職能辭典'!$C:$C,0))="全部",SUMPRODUCT(ISNUMBER(SEARCH({"經營","管理","財務","企劃","營運","技術","數據","美術","測試","客服"},INDEX('3.員工名單'!$I:$I,MATCH(A1061,'3.員工名單'!$A:$A,0))))*ISNUMBER(SEARCH({"經營","管理","財務","企劃","營運","技術","數據","美術","測試","客服"},INDEX('1.職能辭典'!$K:$K,MATCH(F1061,'1.職能辭典'!$C:$C,0)))))&gt;0)),INDEX('2.職務職能需求'!$B$2:$F$28,MATCH(F1061,'2.職務職能需求'!$A$2:$A$28,0),MATCH(D1061,'2.職務職能需求'!$B$1:$F$1,0)),0),""))</f>
        <v/>
      </c>
      <c r="H1061" s="94" t="n"/>
      <c r="I1061" s="94" t="n"/>
      <c r="J1061" s="120">
        <f>IF(OR(G1061="",I1061="",G1061=0),"",I1061-G1061)</f>
        <v/>
      </c>
      <c r="K1061" s="120">
        <f>IF(G1061="","",IF(G1061=0,"不適用",IF(I1061="","待評核",IF(I1061&gt;=G1061,IF(I1061&gt;G1061,"超越","達標"),"待發展"))))</f>
        <v/>
      </c>
      <c r="L1061" s="91" t="n"/>
      <c r="M1061" s="91" t="n"/>
      <c r="N1061" s="88" t="n"/>
    </row>
    <row r="1062" ht="15.75" customHeight="1" s="64">
      <c r="A1062" s="88" t="n"/>
      <c r="B1062" s="120">
        <f t="array" ref="B1062:B1062">IF(A1062="","",IFERROR(INDEX('3.員工名單'!$B:$B,MATCH(A1062,'3.員工名單'!$A:$A,0)),"查無此員工"))</f>
        <v/>
      </c>
      <c r="C1062" s="120">
        <f t="array" ref="C1062:C1062">IF(A1062="","",IFERROR(INDEX('3.員工名單'!$C:$C,MATCH(A1062,'3.員工名單'!$A:$A,0)),""))</f>
        <v/>
      </c>
      <c r="D1062" s="120">
        <f t="array" ref="D1062:D1062">IF(A1062="","",IFERROR(INDEX('3.員工名單'!$D:$D,MATCH(A1062,'3.員工名單'!$A:$A,0)),""))</f>
        <v/>
      </c>
      <c r="E1062" s="120">
        <f t="array" ref="E1062:E1062">IF(F1062="","",IFERROR(INDEX('1.職能辭典'!$A:$A,MATCH(F1062,'1.職能辭典'!$C:$C,0)),""))</f>
        <v/>
      </c>
      <c r="F1062" s="94" t="n"/>
      <c r="G1062" s="120">
        <f t="array" ref="G1062:G1062">IF(OR(D1062="",F1062=""),"",IFERROR(IF(AND(OR(INDEX('1.職能辭典'!$J:$J,MATCH(F1062,'1.職能辭典'!$C:$C,0))="全部",INDEX('3.員工名單'!$H:$H,MATCH(A1062,'3.員工名單'!$A:$A,0))="兩款共用",INDEX('3.員工名單'!$H:$H,MATCH(A1062,'3.員工名單'!$A:$A,0))=INDEX('1.職能辭典'!$J:$J,MATCH(F1062,'1.職能辭典'!$C:$C,0))),OR(INDEX('1.職能辭典'!$K:$K,MATCH(F1062,'1.職能辭典'!$C:$C,0))="全部",SUMPRODUCT(ISNUMBER(SEARCH({"經營","管理","財務","企劃","營運","技術","數據","美術","測試","客服"},INDEX('3.員工名單'!$I:$I,MATCH(A1062,'3.員工名單'!$A:$A,0))))*ISNUMBER(SEARCH({"經營","管理","財務","企劃","營運","技術","數據","美術","測試","客服"},INDEX('1.職能辭典'!$K:$K,MATCH(F1062,'1.職能辭典'!$C:$C,0)))))&gt;0)),INDEX('2.職務職能需求'!$B$2:$F$28,MATCH(F1062,'2.職務職能需求'!$A$2:$A$28,0),MATCH(D1062,'2.職務職能需求'!$B$1:$F$1,0)),0),""))</f>
        <v/>
      </c>
      <c r="H1062" s="94" t="n"/>
      <c r="I1062" s="94" t="n"/>
      <c r="J1062" s="120">
        <f>IF(OR(G1062="",I1062="",G1062=0),"",I1062-G1062)</f>
        <v/>
      </c>
      <c r="K1062" s="120">
        <f>IF(G1062="","",IF(G1062=0,"不適用",IF(I1062="","待評核",IF(I1062&gt;=G1062,IF(I1062&gt;G1062,"超越","達標"),"待發展"))))</f>
        <v/>
      </c>
      <c r="L1062" s="91" t="n"/>
      <c r="M1062" s="91" t="n"/>
      <c r="N1062" s="88" t="n"/>
    </row>
    <row r="1063" ht="15.75" customHeight="1" s="64">
      <c r="A1063" s="88" t="n"/>
      <c r="B1063" s="120">
        <f t="array" ref="B1063:B1063">IF(A1063="","",IFERROR(INDEX('3.員工名單'!$B:$B,MATCH(A1063,'3.員工名單'!$A:$A,0)),"查無此員工"))</f>
        <v/>
      </c>
      <c r="C1063" s="120">
        <f t="array" ref="C1063:C1063">IF(A1063="","",IFERROR(INDEX('3.員工名單'!$C:$C,MATCH(A1063,'3.員工名單'!$A:$A,0)),""))</f>
        <v/>
      </c>
      <c r="D1063" s="120">
        <f t="array" ref="D1063:D1063">IF(A1063="","",IFERROR(INDEX('3.員工名單'!$D:$D,MATCH(A1063,'3.員工名單'!$A:$A,0)),""))</f>
        <v/>
      </c>
      <c r="E1063" s="120">
        <f t="array" ref="E1063:E1063">IF(F1063="","",IFERROR(INDEX('1.職能辭典'!$A:$A,MATCH(F1063,'1.職能辭典'!$C:$C,0)),""))</f>
        <v/>
      </c>
      <c r="F1063" s="94" t="n"/>
      <c r="G1063" s="120">
        <f t="array" ref="G1063:G1063">IF(OR(D1063="",F1063=""),"",IFERROR(IF(AND(OR(INDEX('1.職能辭典'!$J:$J,MATCH(F1063,'1.職能辭典'!$C:$C,0))="全部",INDEX('3.員工名單'!$H:$H,MATCH(A1063,'3.員工名單'!$A:$A,0))="兩款共用",INDEX('3.員工名單'!$H:$H,MATCH(A1063,'3.員工名單'!$A:$A,0))=INDEX('1.職能辭典'!$J:$J,MATCH(F1063,'1.職能辭典'!$C:$C,0))),OR(INDEX('1.職能辭典'!$K:$K,MATCH(F1063,'1.職能辭典'!$C:$C,0))="全部",SUMPRODUCT(ISNUMBER(SEARCH({"經營","管理","財務","企劃","營運","技術","數據","美術","測試","客服"},INDEX('3.員工名單'!$I:$I,MATCH(A1063,'3.員工名單'!$A:$A,0))))*ISNUMBER(SEARCH({"經營","管理","財務","企劃","營運","技術","數據","美術","測試","客服"},INDEX('1.職能辭典'!$K:$K,MATCH(F1063,'1.職能辭典'!$C:$C,0)))))&gt;0)),INDEX('2.職務職能需求'!$B$2:$F$28,MATCH(F1063,'2.職務職能需求'!$A$2:$A$28,0),MATCH(D1063,'2.職務職能需求'!$B$1:$F$1,0)),0),""))</f>
        <v/>
      </c>
      <c r="H1063" s="94" t="n"/>
      <c r="I1063" s="94" t="n"/>
      <c r="J1063" s="120">
        <f>IF(OR(G1063="",I1063="",G1063=0),"",I1063-G1063)</f>
        <v/>
      </c>
      <c r="K1063" s="120">
        <f>IF(G1063="","",IF(G1063=0,"不適用",IF(I1063="","待評核",IF(I1063&gt;=G1063,IF(I1063&gt;G1063,"超越","達標"),"待發展"))))</f>
        <v/>
      </c>
      <c r="L1063" s="91" t="n"/>
      <c r="M1063" s="91" t="n"/>
      <c r="N1063" s="88" t="n"/>
    </row>
    <row r="1064" ht="15.75" customHeight="1" s="64">
      <c r="A1064" s="88" t="n"/>
      <c r="B1064" s="120">
        <f t="array" ref="B1064:B1064">IF(A1064="","",IFERROR(INDEX('3.員工名單'!$B:$B,MATCH(A1064,'3.員工名單'!$A:$A,0)),"查無此員工"))</f>
        <v/>
      </c>
      <c r="C1064" s="120">
        <f t="array" ref="C1064:C1064">IF(A1064="","",IFERROR(INDEX('3.員工名單'!$C:$C,MATCH(A1064,'3.員工名單'!$A:$A,0)),""))</f>
        <v/>
      </c>
      <c r="D1064" s="120">
        <f t="array" ref="D1064:D1064">IF(A1064="","",IFERROR(INDEX('3.員工名單'!$D:$D,MATCH(A1064,'3.員工名單'!$A:$A,0)),""))</f>
        <v/>
      </c>
      <c r="E1064" s="120">
        <f t="array" ref="E1064:E1064">IF(F1064="","",IFERROR(INDEX('1.職能辭典'!$A:$A,MATCH(F1064,'1.職能辭典'!$C:$C,0)),""))</f>
        <v/>
      </c>
      <c r="F1064" s="94" t="n"/>
      <c r="G1064" s="120">
        <f t="array" ref="G1064:G1064">IF(OR(D1064="",F1064=""),"",IFERROR(IF(AND(OR(INDEX('1.職能辭典'!$J:$J,MATCH(F1064,'1.職能辭典'!$C:$C,0))="全部",INDEX('3.員工名單'!$H:$H,MATCH(A1064,'3.員工名單'!$A:$A,0))="兩款共用",INDEX('3.員工名單'!$H:$H,MATCH(A1064,'3.員工名單'!$A:$A,0))=INDEX('1.職能辭典'!$J:$J,MATCH(F1064,'1.職能辭典'!$C:$C,0))),OR(INDEX('1.職能辭典'!$K:$K,MATCH(F1064,'1.職能辭典'!$C:$C,0))="全部",SUMPRODUCT(ISNUMBER(SEARCH({"經營","管理","財務","企劃","營運","技術","數據","美術","測試","客服"},INDEX('3.員工名單'!$I:$I,MATCH(A1064,'3.員工名單'!$A:$A,0))))*ISNUMBER(SEARCH({"經營","管理","財務","企劃","營運","技術","數據","美術","測試","客服"},INDEX('1.職能辭典'!$K:$K,MATCH(F1064,'1.職能辭典'!$C:$C,0)))))&gt;0)),INDEX('2.職務職能需求'!$B$2:$F$28,MATCH(F1064,'2.職務職能需求'!$A$2:$A$28,0),MATCH(D1064,'2.職務職能需求'!$B$1:$F$1,0)),0),""))</f>
        <v/>
      </c>
      <c r="H1064" s="94" t="n"/>
      <c r="I1064" s="94" t="n"/>
      <c r="J1064" s="120">
        <f>IF(OR(G1064="",I1064="",G1064=0),"",I1064-G1064)</f>
        <v/>
      </c>
      <c r="K1064" s="120">
        <f>IF(G1064="","",IF(G1064=0,"不適用",IF(I1064="","待評核",IF(I1064&gt;=G1064,IF(I1064&gt;G1064,"超越","達標"),"待發展"))))</f>
        <v/>
      </c>
      <c r="L1064" s="91" t="n"/>
      <c r="M1064" s="91" t="n"/>
      <c r="N1064" s="88" t="n"/>
    </row>
    <row r="1065" ht="15.75" customHeight="1" s="64">
      <c r="A1065" s="88" t="n"/>
      <c r="B1065" s="120">
        <f t="array" ref="B1065:B1065">IF(A1065="","",IFERROR(INDEX('3.員工名單'!$B:$B,MATCH(A1065,'3.員工名單'!$A:$A,0)),"查無此員工"))</f>
        <v/>
      </c>
      <c r="C1065" s="120">
        <f t="array" ref="C1065:C1065">IF(A1065="","",IFERROR(INDEX('3.員工名單'!$C:$C,MATCH(A1065,'3.員工名單'!$A:$A,0)),""))</f>
        <v/>
      </c>
      <c r="D1065" s="120">
        <f t="array" ref="D1065:D1065">IF(A1065="","",IFERROR(INDEX('3.員工名單'!$D:$D,MATCH(A1065,'3.員工名單'!$A:$A,0)),""))</f>
        <v/>
      </c>
      <c r="E1065" s="120">
        <f t="array" ref="E1065:E1065">IF(F1065="","",IFERROR(INDEX('1.職能辭典'!$A:$A,MATCH(F1065,'1.職能辭典'!$C:$C,0)),""))</f>
        <v/>
      </c>
      <c r="F1065" s="94" t="n"/>
      <c r="G1065" s="120">
        <f t="array" ref="G1065:G1065">IF(OR(D1065="",F1065=""),"",IFERROR(IF(AND(OR(INDEX('1.職能辭典'!$J:$J,MATCH(F1065,'1.職能辭典'!$C:$C,0))="全部",INDEX('3.員工名單'!$H:$H,MATCH(A1065,'3.員工名單'!$A:$A,0))="兩款共用",INDEX('3.員工名單'!$H:$H,MATCH(A1065,'3.員工名單'!$A:$A,0))=INDEX('1.職能辭典'!$J:$J,MATCH(F1065,'1.職能辭典'!$C:$C,0))),OR(INDEX('1.職能辭典'!$K:$K,MATCH(F1065,'1.職能辭典'!$C:$C,0))="全部",SUMPRODUCT(ISNUMBER(SEARCH({"經營","管理","財務","企劃","營運","技術","數據","美術","測試","客服"},INDEX('3.員工名單'!$I:$I,MATCH(A1065,'3.員工名單'!$A:$A,0))))*ISNUMBER(SEARCH({"經營","管理","財務","企劃","營運","技術","數據","美術","測試","客服"},INDEX('1.職能辭典'!$K:$K,MATCH(F1065,'1.職能辭典'!$C:$C,0)))))&gt;0)),INDEX('2.職務職能需求'!$B$2:$F$28,MATCH(F1065,'2.職務職能需求'!$A$2:$A$28,0),MATCH(D1065,'2.職務職能需求'!$B$1:$F$1,0)),0),""))</f>
        <v/>
      </c>
      <c r="H1065" s="94" t="n"/>
      <c r="I1065" s="94" t="n"/>
      <c r="J1065" s="120">
        <f>IF(OR(G1065="",I1065="",G1065=0),"",I1065-G1065)</f>
        <v/>
      </c>
      <c r="K1065" s="120">
        <f>IF(G1065="","",IF(G1065=0,"不適用",IF(I1065="","待評核",IF(I1065&gt;=G1065,IF(I1065&gt;G1065,"超越","達標"),"待發展"))))</f>
        <v/>
      </c>
      <c r="L1065" s="91" t="n"/>
      <c r="M1065" s="91" t="n"/>
      <c r="N1065" s="88" t="n"/>
    </row>
    <row r="1066" ht="15.75" customHeight="1" s="64">
      <c r="A1066" s="88" t="n"/>
      <c r="B1066" s="120">
        <f t="array" ref="B1066:B1066">IF(A1066="","",IFERROR(INDEX('3.員工名單'!$B:$B,MATCH(A1066,'3.員工名單'!$A:$A,0)),"查無此員工"))</f>
        <v/>
      </c>
      <c r="C1066" s="120">
        <f t="array" ref="C1066:C1066">IF(A1066="","",IFERROR(INDEX('3.員工名單'!$C:$C,MATCH(A1066,'3.員工名單'!$A:$A,0)),""))</f>
        <v/>
      </c>
      <c r="D1066" s="120">
        <f t="array" ref="D1066:D1066">IF(A1066="","",IFERROR(INDEX('3.員工名單'!$D:$D,MATCH(A1066,'3.員工名單'!$A:$A,0)),""))</f>
        <v/>
      </c>
      <c r="E1066" s="120">
        <f t="array" ref="E1066:E1066">IF(F1066="","",IFERROR(INDEX('1.職能辭典'!$A:$A,MATCH(F1066,'1.職能辭典'!$C:$C,0)),""))</f>
        <v/>
      </c>
      <c r="F1066" s="94" t="n"/>
      <c r="G1066" s="120">
        <f t="array" ref="G1066:G1066">IF(OR(D1066="",F1066=""),"",IFERROR(IF(AND(OR(INDEX('1.職能辭典'!$J:$J,MATCH(F1066,'1.職能辭典'!$C:$C,0))="全部",INDEX('3.員工名單'!$H:$H,MATCH(A1066,'3.員工名單'!$A:$A,0))="兩款共用",INDEX('3.員工名單'!$H:$H,MATCH(A1066,'3.員工名單'!$A:$A,0))=INDEX('1.職能辭典'!$J:$J,MATCH(F1066,'1.職能辭典'!$C:$C,0))),OR(INDEX('1.職能辭典'!$K:$K,MATCH(F1066,'1.職能辭典'!$C:$C,0))="全部",SUMPRODUCT(ISNUMBER(SEARCH({"經營","管理","財務","企劃","營運","技術","數據","美術","測試","客服"},INDEX('3.員工名單'!$I:$I,MATCH(A1066,'3.員工名單'!$A:$A,0))))*ISNUMBER(SEARCH({"經營","管理","財務","企劃","營運","技術","數據","美術","測試","客服"},INDEX('1.職能辭典'!$K:$K,MATCH(F1066,'1.職能辭典'!$C:$C,0)))))&gt;0)),INDEX('2.職務職能需求'!$B$2:$F$28,MATCH(F1066,'2.職務職能需求'!$A$2:$A$28,0),MATCH(D1066,'2.職務職能需求'!$B$1:$F$1,0)),0),""))</f>
        <v/>
      </c>
      <c r="H1066" s="94" t="n"/>
      <c r="I1066" s="94" t="n"/>
      <c r="J1066" s="120">
        <f>IF(OR(G1066="",I1066="",G1066=0),"",I1066-G1066)</f>
        <v/>
      </c>
      <c r="K1066" s="120">
        <f>IF(G1066="","",IF(G1066=0,"不適用",IF(I1066="","待評核",IF(I1066&gt;=G1066,IF(I1066&gt;G1066,"超越","達標"),"待發展"))))</f>
        <v/>
      </c>
      <c r="L1066" s="91" t="n"/>
      <c r="M1066" s="91" t="n"/>
      <c r="N1066" s="88" t="n"/>
    </row>
    <row r="1067" ht="15.75" customHeight="1" s="64">
      <c r="A1067" s="88" t="n"/>
      <c r="B1067" s="120">
        <f t="array" ref="B1067:B1067">IF(A1067="","",IFERROR(INDEX('3.員工名單'!$B:$B,MATCH(A1067,'3.員工名單'!$A:$A,0)),"查無此員工"))</f>
        <v/>
      </c>
      <c r="C1067" s="120">
        <f t="array" ref="C1067:C1067">IF(A1067="","",IFERROR(INDEX('3.員工名單'!$C:$C,MATCH(A1067,'3.員工名單'!$A:$A,0)),""))</f>
        <v/>
      </c>
      <c r="D1067" s="120">
        <f t="array" ref="D1067:D1067">IF(A1067="","",IFERROR(INDEX('3.員工名單'!$D:$D,MATCH(A1067,'3.員工名單'!$A:$A,0)),""))</f>
        <v/>
      </c>
      <c r="E1067" s="120">
        <f t="array" ref="E1067:E1067">IF(F1067="","",IFERROR(INDEX('1.職能辭典'!$A:$A,MATCH(F1067,'1.職能辭典'!$C:$C,0)),""))</f>
        <v/>
      </c>
      <c r="F1067" s="94" t="n"/>
      <c r="G1067" s="120">
        <f t="array" ref="G1067:G1067">IF(OR(D1067="",F1067=""),"",IFERROR(IF(AND(OR(INDEX('1.職能辭典'!$J:$J,MATCH(F1067,'1.職能辭典'!$C:$C,0))="全部",INDEX('3.員工名單'!$H:$H,MATCH(A1067,'3.員工名單'!$A:$A,0))="兩款共用",INDEX('3.員工名單'!$H:$H,MATCH(A1067,'3.員工名單'!$A:$A,0))=INDEX('1.職能辭典'!$J:$J,MATCH(F1067,'1.職能辭典'!$C:$C,0))),OR(INDEX('1.職能辭典'!$K:$K,MATCH(F1067,'1.職能辭典'!$C:$C,0))="全部",SUMPRODUCT(ISNUMBER(SEARCH({"經營","管理","財務","企劃","營運","技術","數據","美術","測試","客服"},INDEX('3.員工名單'!$I:$I,MATCH(A1067,'3.員工名單'!$A:$A,0))))*ISNUMBER(SEARCH({"經營","管理","財務","企劃","營運","技術","數據","美術","測試","客服"},INDEX('1.職能辭典'!$K:$K,MATCH(F1067,'1.職能辭典'!$C:$C,0)))))&gt;0)),INDEX('2.職務職能需求'!$B$2:$F$28,MATCH(F1067,'2.職務職能需求'!$A$2:$A$28,0),MATCH(D1067,'2.職務職能需求'!$B$1:$F$1,0)),0),""))</f>
        <v/>
      </c>
      <c r="H1067" s="94" t="n"/>
      <c r="I1067" s="94" t="n"/>
      <c r="J1067" s="120">
        <f>IF(OR(G1067="",I1067="",G1067=0),"",I1067-G1067)</f>
        <v/>
      </c>
      <c r="K1067" s="120">
        <f>IF(G1067="","",IF(G1067=0,"不適用",IF(I1067="","待評核",IF(I1067&gt;=G1067,IF(I1067&gt;G1067,"超越","達標"),"待發展"))))</f>
        <v/>
      </c>
      <c r="L1067" s="91" t="n"/>
      <c r="M1067" s="91" t="n"/>
      <c r="N1067" s="88" t="n"/>
    </row>
    <row r="1068" ht="15.75" customHeight="1" s="64">
      <c r="A1068" s="88" t="n"/>
      <c r="B1068" s="120">
        <f t="array" ref="B1068:B1068">IF(A1068="","",IFERROR(INDEX('3.員工名單'!$B:$B,MATCH(A1068,'3.員工名單'!$A:$A,0)),"查無此員工"))</f>
        <v/>
      </c>
      <c r="C1068" s="120">
        <f t="array" ref="C1068:C1068">IF(A1068="","",IFERROR(INDEX('3.員工名單'!$C:$C,MATCH(A1068,'3.員工名單'!$A:$A,0)),""))</f>
        <v/>
      </c>
      <c r="D1068" s="120">
        <f t="array" ref="D1068:D1068">IF(A1068="","",IFERROR(INDEX('3.員工名單'!$D:$D,MATCH(A1068,'3.員工名單'!$A:$A,0)),""))</f>
        <v/>
      </c>
      <c r="E1068" s="120">
        <f t="array" ref="E1068:E1068">IF(F1068="","",IFERROR(INDEX('1.職能辭典'!$A:$A,MATCH(F1068,'1.職能辭典'!$C:$C,0)),""))</f>
        <v/>
      </c>
      <c r="F1068" s="94" t="n"/>
      <c r="G1068" s="120">
        <f t="array" ref="G1068:G1068">IF(OR(D1068="",F1068=""),"",IFERROR(IF(AND(OR(INDEX('1.職能辭典'!$J:$J,MATCH(F1068,'1.職能辭典'!$C:$C,0))="全部",INDEX('3.員工名單'!$H:$H,MATCH(A1068,'3.員工名單'!$A:$A,0))="兩款共用",INDEX('3.員工名單'!$H:$H,MATCH(A1068,'3.員工名單'!$A:$A,0))=INDEX('1.職能辭典'!$J:$J,MATCH(F1068,'1.職能辭典'!$C:$C,0))),OR(INDEX('1.職能辭典'!$K:$K,MATCH(F1068,'1.職能辭典'!$C:$C,0))="全部",SUMPRODUCT(ISNUMBER(SEARCH({"經營","管理","財務","企劃","營運","技術","數據","美術","測試","客服"},INDEX('3.員工名單'!$I:$I,MATCH(A1068,'3.員工名單'!$A:$A,0))))*ISNUMBER(SEARCH({"經營","管理","財務","企劃","營運","技術","數據","美術","測試","客服"},INDEX('1.職能辭典'!$K:$K,MATCH(F1068,'1.職能辭典'!$C:$C,0)))))&gt;0)),INDEX('2.職務職能需求'!$B$2:$F$28,MATCH(F1068,'2.職務職能需求'!$A$2:$A$28,0),MATCH(D1068,'2.職務職能需求'!$B$1:$F$1,0)),0),""))</f>
        <v/>
      </c>
      <c r="H1068" s="94" t="n"/>
      <c r="I1068" s="94" t="n"/>
      <c r="J1068" s="120">
        <f>IF(OR(G1068="",I1068="",G1068=0),"",I1068-G1068)</f>
        <v/>
      </c>
      <c r="K1068" s="120">
        <f>IF(G1068="","",IF(G1068=0,"不適用",IF(I1068="","待評核",IF(I1068&gt;=G1068,IF(I1068&gt;G1068,"超越","達標"),"待發展"))))</f>
        <v/>
      </c>
      <c r="L1068" s="91" t="n"/>
      <c r="M1068" s="91" t="n"/>
      <c r="N1068" s="88" t="n"/>
    </row>
    <row r="1069" ht="15.75" customHeight="1" s="64">
      <c r="A1069" s="88" t="n"/>
      <c r="B1069" s="120">
        <f t="array" ref="B1069:B1069">IF(A1069="","",IFERROR(INDEX('3.員工名單'!$B:$B,MATCH(A1069,'3.員工名單'!$A:$A,0)),"查無此員工"))</f>
        <v/>
      </c>
      <c r="C1069" s="120">
        <f t="array" ref="C1069:C1069">IF(A1069="","",IFERROR(INDEX('3.員工名單'!$C:$C,MATCH(A1069,'3.員工名單'!$A:$A,0)),""))</f>
        <v/>
      </c>
      <c r="D1069" s="120">
        <f t="array" ref="D1069:D1069">IF(A1069="","",IFERROR(INDEX('3.員工名單'!$D:$D,MATCH(A1069,'3.員工名單'!$A:$A,0)),""))</f>
        <v/>
      </c>
      <c r="E1069" s="120">
        <f t="array" ref="E1069:E1069">IF(F1069="","",IFERROR(INDEX('1.職能辭典'!$A:$A,MATCH(F1069,'1.職能辭典'!$C:$C,0)),""))</f>
        <v/>
      </c>
      <c r="F1069" s="94" t="n"/>
      <c r="G1069" s="120">
        <f t="array" ref="G1069:G1069">IF(OR(D1069="",F1069=""),"",IFERROR(IF(AND(OR(INDEX('1.職能辭典'!$J:$J,MATCH(F1069,'1.職能辭典'!$C:$C,0))="全部",INDEX('3.員工名單'!$H:$H,MATCH(A1069,'3.員工名單'!$A:$A,0))="兩款共用",INDEX('3.員工名單'!$H:$H,MATCH(A1069,'3.員工名單'!$A:$A,0))=INDEX('1.職能辭典'!$J:$J,MATCH(F1069,'1.職能辭典'!$C:$C,0))),OR(INDEX('1.職能辭典'!$K:$K,MATCH(F1069,'1.職能辭典'!$C:$C,0))="全部",SUMPRODUCT(ISNUMBER(SEARCH({"經營","管理","財務","企劃","營運","技術","數據","美術","測試","客服"},INDEX('3.員工名單'!$I:$I,MATCH(A1069,'3.員工名單'!$A:$A,0))))*ISNUMBER(SEARCH({"經營","管理","財務","企劃","營運","技術","數據","美術","測試","客服"},INDEX('1.職能辭典'!$K:$K,MATCH(F1069,'1.職能辭典'!$C:$C,0)))))&gt;0)),INDEX('2.職務職能需求'!$B$2:$F$28,MATCH(F1069,'2.職務職能需求'!$A$2:$A$28,0),MATCH(D1069,'2.職務職能需求'!$B$1:$F$1,0)),0),""))</f>
        <v/>
      </c>
      <c r="H1069" s="94" t="n"/>
      <c r="I1069" s="94" t="n"/>
      <c r="J1069" s="120">
        <f>IF(OR(G1069="",I1069="",G1069=0),"",I1069-G1069)</f>
        <v/>
      </c>
      <c r="K1069" s="120">
        <f>IF(G1069="","",IF(G1069=0,"不適用",IF(I1069="","待評核",IF(I1069&gt;=G1069,IF(I1069&gt;G1069,"超越","達標"),"待發展"))))</f>
        <v/>
      </c>
      <c r="L1069" s="91" t="n"/>
      <c r="M1069" s="91" t="n"/>
      <c r="N1069" s="88" t="n"/>
    </row>
    <row r="1070" ht="15.75" customHeight="1" s="64">
      <c r="A1070" s="88" t="n"/>
      <c r="B1070" s="120">
        <f t="array" ref="B1070:B1070">IF(A1070="","",IFERROR(INDEX('3.員工名單'!$B:$B,MATCH(A1070,'3.員工名單'!$A:$A,0)),"查無此員工"))</f>
        <v/>
      </c>
      <c r="C1070" s="120">
        <f t="array" ref="C1070:C1070">IF(A1070="","",IFERROR(INDEX('3.員工名單'!$C:$C,MATCH(A1070,'3.員工名單'!$A:$A,0)),""))</f>
        <v/>
      </c>
      <c r="D1070" s="120">
        <f t="array" ref="D1070:D1070">IF(A1070="","",IFERROR(INDEX('3.員工名單'!$D:$D,MATCH(A1070,'3.員工名單'!$A:$A,0)),""))</f>
        <v/>
      </c>
      <c r="E1070" s="120">
        <f t="array" ref="E1070:E1070">IF(F1070="","",IFERROR(INDEX('1.職能辭典'!$A:$A,MATCH(F1070,'1.職能辭典'!$C:$C,0)),""))</f>
        <v/>
      </c>
      <c r="F1070" s="94" t="n"/>
      <c r="G1070" s="120">
        <f t="array" ref="G1070:G1070">IF(OR(D1070="",F1070=""),"",IFERROR(IF(AND(OR(INDEX('1.職能辭典'!$J:$J,MATCH(F1070,'1.職能辭典'!$C:$C,0))="全部",INDEX('3.員工名單'!$H:$H,MATCH(A1070,'3.員工名單'!$A:$A,0))="兩款共用",INDEX('3.員工名單'!$H:$H,MATCH(A1070,'3.員工名單'!$A:$A,0))=INDEX('1.職能辭典'!$J:$J,MATCH(F1070,'1.職能辭典'!$C:$C,0))),OR(INDEX('1.職能辭典'!$K:$K,MATCH(F1070,'1.職能辭典'!$C:$C,0))="全部",SUMPRODUCT(ISNUMBER(SEARCH({"經營","管理","財務","企劃","營運","技術","數據","美術","測試","客服"},INDEX('3.員工名單'!$I:$I,MATCH(A1070,'3.員工名單'!$A:$A,0))))*ISNUMBER(SEARCH({"經營","管理","財務","企劃","營運","技術","數據","美術","測試","客服"},INDEX('1.職能辭典'!$K:$K,MATCH(F1070,'1.職能辭典'!$C:$C,0)))))&gt;0)),INDEX('2.職務職能需求'!$B$2:$F$28,MATCH(F1070,'2.職務職能需求'!$A$2:$A$28,0),MATCH(D1070,'2.職務職能需求'!$B$1:$F$1,0)),0),""))</f>
        <v/>
      </c>
      <c r="H1070" s="94" t="n"/>
      <c r="I1070" s="94" t="n"/>
      <c r="J1070" s="120">
        <f>IF(OR(G1070="",I1070="",G1070=0),"",I1070-G1070)</f>
        <v/>
      </c>
      <c r="K1070" s="120">
        <f>IF(G1070="","",IF(G1070=0,"不適用",IF(I1070="","待評核",IF(I1070&gt;=G1070,IF(I1070&gt;G1070,"超越","達標"),"待發展"))))</f>
        <v/>
      </c>
      <c r="L1070" s="91" t="n"/>
      <c r="M1070" s="91" t="n"/>
      <c r="N1070" s="88" t="n"/>
    </row>
    <row r="1071" ht="15.75" customHeight="1" s="64">
      <c r="A1071" s="88" t="n"/>
      <c r="B1071" s="120">
        <f t="array" ref="B1071:B1071">IF(A1071="","",IFERROR(INDEX('3.員工名單'!$B:$B,MATCH(A1071,'3.員工名單'!$A:$A,0)),"查無此員工"))</f>
        <v/>
      </c>
      <c r="C1071" s="120">
        <f t="array" ref="C1071:C1071">IF(A1071="","",IFERROR(INDEX('3.員工名單'!$C:$C,MATCH(A1071,'3.員工名單'!$A:$A,0)),""))</f>
        <v/>
      </c>
      <c r="D1071" s="120">
        <f t="array" ref="D1071:D1071">IF(A1071="","",IFERROR(INDEX('3.員工名單'!$D:$D,MATCH(A1071,'3.員工名單'!$A:$A,0)),""))</f>
        <v/>
      </c>
      <c r="E1071" s="120">
        <f t="array" ref="E1071:E1071">IF(F1071="","",IFERROR(INDEX('1.職能辭典'!$A:$A,MATCH(F1071,'1.職能辭典'!$C:$C,0)),""))</f>
        <v/>
      </c>
      <c r="F1071" s="94" t="n"/>
      <c r="G1071" s="120">
        <f t="array" ref="G1071:G1071">IF(OR(D1071="",F1071=""),"",IFERROR(IF(AND(OR(INDEX('1.職能辭典'!$J:$J,MATCH(F1071,'1.職能辭典'!$C:$C,0))="全部",INDEX('3.員工名單'!$H:$H,MATCH(A1071,'3.員工名單'!$A:$A,0))="兩款共用",INDEX('3.員工名單'!$H:$H,MATCH(A1071,'3.員工名單'!$A:$A,0))=INDEX('1.職能辭典'!$J:$J,MATCH(F1071,'1.職能辭典'!$C:$C,0))),OR(INDEX('1.職能辭典'!$K:$K,MATCH(F1071,'1.職能辭典'!$C:$C,0))="全部",SUMPRODUCT(ISNUMBER(SEARCH({"經營","管理","財務","企劃","營運","技術","數據","美術","測試","客服"},INDEX('3.員工名單'!$I:$I,MATCH(A1071,'3.員工名單'!$A:$A,0))))*ISNUMBER(SEARCH({"經營","管理","財務","企劃","營運","技術","數據","美術","測試","客服"},INDEX('1.職能辭典'!$K:$K,MATCH(F1071,'1.職能辭典'!$C:$C,0)))))&gt;0)),INDEX('2.職務職能需求'!$B$2:$F$28,MATCH(F1071,'2.職務職能需求'!$A$2:$A$28,0),MATCH(D1071,'2.職務職能需求'!$B$1:$F$1,0)),0),""))</f>
        <v/>
      </c>
      <c r="H1071" s="94" t="n"/>
      <c r="I1071" s="94" t="n"/>
      <c r="J1071" s="120">
        <f>IF(OR(G1071="",I1071="",G1071=0),"",I1071-G1071)</f>
        <v/>
      </c>
      <c r="K1071" s="120">
        <f>IF(G1071="","",IF(G1071=0,"不適用",IF(I1071="","待評核",IF(I1071&gt;=G1071,IF(I1071&gt;G1071,"超越","達標"),"待發展"))))</f>
        <v/>
      </c>
      <c r="L1071" s="91" t="n"/>
      <c r="M1071" s="91" t="n"/>
      <c r="N1071" s="88" t="n"/>
    </row>
    <row r="1072" ht="15.75" customHeight="1" s="64">
      <c r="A1072" s="88" t="n"/>
      <c r="B1072" s="120">
        <f t="array" ref="B1072:B1072">IF(A1072="","",IFERROR(INDEX('3.員工名單'!$B:$B,MATCH(A1072,'3.員工名單'!$A:$A,0)),"查無此員工"))</f>
        <v/>
      </c>
      <c r="C1072" s="120">
        <f t="array" ref="C1072:C1072">IF(A1072="","",IFERROR(INDEX('3.員工名單'!$C:$C,MATCH(A1072,'3.員工名單'!$A:$A,0)),""))</f>
        <v/>
      </c>
      <c r="D1072" s="120">
        <f t="array" ref="D1072:D1072">IF(A1072="","",IFERROR(INDEX('3.員工名單'!$D:$D,MATCH(A1072,'3.員工名單'!$A:$A,0)),""))</f>
        <v/>
      </c>
      <c r="E1072" s="120">
        <f t="array" ref="E1072:E1072">IF(F1072="","",IFERROR(INDEX('1.職能辭典'!$A:$A,MATCH(F1072,'1.職能辭典'!$C:$C,0)),""))</f>
        <v/>
      </c>
      <c r="F1072" s="94" t="n"/>
      <c r="G1072" s="120">
        <f t="array" ref="G1072:G1072">IF(OR(D1072="",F1072=""),"",IFERROR(IF(AND(OR(INDEX('1.職能辭典'!$J:$J,MATCH(F1072,'1.職能辭典'!$C:$C,0))="全部",INDEX('3.員工名單'!$H:$H,MATCH(A1072,'3.員工名單'!$A:$A,0))="兩款共用",INDEX('3.員工名單'!$H:$H,MATCH(A1072,'3.員工名單'!$A:$A,0))=INDEX('1.職能辭典'!$J:$J,MATCH(F1072,'1.職能辭典'!$C:$C,0))),OR(INDEX('1.職能辭典'!$K:$K,MATCH(F1072,'1.職能辭典'!$C:$C,0))="全部",SUMPRODUCT(ISNUMBER(SEARCH({"經營","管理","財務","企劃","營運","技術","數據","美術","測試","客服"},INDEX('3.員工名單'!$I:$I,MATCH(A1072,'3.員工名單'!$A:$A,0))))*ISNUMBER(SEARCH({"經營","管理","財務","企劃","營運","技術","數據","美術","測試","客服"},INDEX('1.職能辭典'!$K:$K,MATCH(F1072,'1.職能辭典'!$C:$C,0)))))&gt;0)),INDEX('2.職務職能需求'!$B$2:$F$28,MATCH(F1072,'2.職務職能需求'!$A$2:$A$28,0),MATCH(D1072,'2.職務職能需求'!$B$1:$F$1,0)),0),""))</f>
        <v/>
      </c>
      <c r="H1072" s="94" t="n"/>
      <c r="I1072" s="94" t="n"/>
      <c r="J1072" s="120">
        <f>IF(OR(G1072="",I1072="",G1072=0),"",I1072-G1072)</f>
        <v/>
      </c>
      <c r="K1072" s="120">
        <f>IF(G1072="","",IF(G1072=0,"不適用",IF(I1072="","待評核",IF(I1072&gt;=G1072,IF(I1072&gt;G1072,"超越","達標"),"待發展"))))</f>
        <v/>
      </c>
      <c r="L1072" s="91" t="n"/>
      <c r="M1072" s="91" t="n"/>
      <c r="N1072" s="88" t="n"/>
    </row>
    <row r="1073" ht="15.75" customHeight="1" s="64">
      <c r="A1073" s="88" t="n"/>
      <c r="B1073" s="120">
        <f t="array" ref="B1073:B1073">IF(A1073="","",IFERROR(INDEX('3.員工名單'!$B:$B,MATCH(A1073,'3.員工名單'!$A:$A,0)),"查無此員工"))</f>
        <v/>
      </c>
      <c r="C1073" s="120">
        <f t="array" ref="C1073:C1073">IF(A1073="","",IFERROR(INDEX('3.員工名單'!$C:$C,MATCH(A1073,'3.員工名單'!$A:$A,0)),""))</f>
        <v/>
      </c>
      <c r="D1073" s="120">
        <f t="array" ref="D1073:D1073">IF(A1073="","",IFERROR(INDEX('3.員工名單'!$D:$D,MATCH(A1073,'3.員工名單'!$A:$A,0)),""))</f>
        <v/>
      </c>
      <c r="E1073" s="120">
        <f t="array" ref="E1073:E1073">IF(F1073="","",IFERROR(INDEX('1.職能辭典'!$A:$A,MATCH(F1073,'1.職能辭典'!$C:$C,0)),""))</f>
        <v/>
      </c>
      <c r="F1073" s="94" t="n"/>
      <c r="G1073" s="120">
        <f t="array" ref="G1073:G1073">IF(OR(D1073="",F1073=""),"",IFERROR(IF(AND(OR(INDEX('1.職能辭典'!$J:$J,MATCH(F1073,'1.職能辭典'!$C:$C,0))="全部",INDEX('3.員工名單'!$H:$H,MATCH(A1073,'3.員工名單'!$A:$A,0))="兩款共用",INDEX('3.員工名單'!$H:$H,MATCH(A1073,'3.員工名單'!$A:$A,0))=INDEX('1.職能辭典'!$J:$J,MATCH(F1073,'1.職能辭典'!$C:$C,0))),OR(INDEX('1.職能辭典'!$K:$K,MATCH(F1073,'1.職能辭典'!$C:$C,0))="全部",SUMPRODUCT(ISNUMBER(SEARCH({"經營","管理","財務","企劃","營運","技術","數據","美術","測試","客服"},INDEX('3.員工名單'!$I:$I,MATCH(A1073,'3.員工名單'!$A:$A,0))))*ISNUMBER(SEARCH({"經營","管理","財務","企劃","營運","技術","數據","美術","測試","客服"},INDEX('1.職能辭典'!$K:$K,MATCH(F1073,'1.職能辭典'!$C:$C,0)))))&gt;0)),INDEX('2.職務職能需求'!$B$2:$F$28,MATCH(F1073,'2.職務職能需求'!$A$2:$A$28,0),MATCH(D1073,'2.職務職能需求'!$B$1:$F$1,0)),0),""))</f>
        <v/>
      </c>
      <c r="H1073" s="94" t="n"/>
      <c r="I1073" s="94" t="n"/>
      <c r="J1073" s="120">
        <f>IF(OR(G1073="",I1073="",G1073=0),"",I1073-G1073)</f>
        <v/>
      </c>
      <c r="K1073" s="120">
        <f>IF(G1073="","",IF(G1073=0,"不適用",IF(I1073="","待評核",IF(I1073&gt;=G1073,IF(I1073&gt;G1073,"超越","達標"),"待發展"))))</f>
        <v/>
      </c>
      <c r="L1073" s="91" t="n"/>
      <c r="M1073" s="91" t="n"/>
      <c r="N1073" s="88" t="n"/>
    </row>
    <row r="1074" ht="15.75" customHeight="1" s="64">
      <c r="A1074" s="88" t="n"/>
      <c r="B1074" s="120">
        <f t="array" ref="B1074:B1074">IF(A1074="","",IFERROR(INDEX('3.員工名單'!$B:$B,MATCH(A1074,'3.員工名單'!$A:$A,0)),"查無此員工"))</f>
        <v/>
      </c>
      <c r="C1074" s="120">
        <f t="array" ref="C1074:C1074">IF(A1074="","",IFERROR(INDEX('3.員工名單'!$C:$C,MATCH(A1074,'3.員工名單'!$A:$A,0)),""))</f>
        <v/>
      </c>
      <c r="D1074" s="120">
        <f t="array" ref="D1074:D1074">IF(A1074="","",IFERROR(INDEX('3.員工名單'!$D:$D,MATCH(A1074,'3.員工名單'!$A:$A,0)),""))</f>
        <v/>
      </c>
      <c r="E1074" s="120">
        <f t="array" ref="E1074:E1074">IF(F1074="","",IFERROR(INDEX('1.職能辭典'!$A:$A,MATCH(F1074,'1.職能辭典'!$C:$C,0)),""))</f>
        <v/>
      </c>
      <c r="F1074" s="94" t="n"/>
      <c r="G1074" s="120">
        <f t="array" ref="G1074:G1074">IF(OR(D1074="",F1074=""),"",IFERROR(IF(AND(OR(INDEX('1.職能辭典'!$J:$J,MATCH(F1074,'1.職能辭典'!$C:$C,0))="全部",INDEX('3.員工名單'!$H:$H,MATCH(A1074,'3.員工名單'!$A:$A,0))="兩款共用",INDEX('3.員工名單'!$H:$H,MATCH(A1074,'3.員工名單'!$A:$A,0))=INDEX('1.職能辭典'!$J:$J,MATCH(F1074,'1.職能辭典'!$C:$C,0))),OR(INDEX('1.職能辭典'!$K:$K,MATCH(F1074,'1.職能辭典'!$C:$C,0))="全部",SUMPRODUCT(ISNUMBER(SEARCH({"經營","管理","財務","企劃","營運","技術","數據","美術","測試","客服"},INDEX('3.員工名單'!$I:$I,MATCH(A1074,'3.員工名單'!$A:$A,0))))*ISNUMBER(SEARCH({"經營","管理","財務","企劃","營運","技術","數據","美術","測試","客服"},INDEX('1.職能辭典'!$K:$K,MATCH(F1074,'1.職能辭典'!$C:$C,0)))))&gt;0)),INDEX('2.職務職能需求'!$B$2:$F$28,MATCH(F1074,'2.職務職能需求'!$A$2:$A$28,0),MATCH(D1074,'2.職務職能需求'!$B$1:$F$1,0)),0),""))</f>
        <v/>
      </c>
      <c r="H1074" s="94" t="n"/>
      <c r="I1074" s="94" t="n"/>
      <c r="J1074" s="120">
        <f>IF(OR(G1074="",I1074="",G1074=0),"",I1074-G1074)</f>
        <v/>
      </c>
      <c r="K1074" s="120">
        <f>IF(G1074="","",IF(G1074=0,"不適用",IF(I1074="","待評核",IF(I1074&gt;=G1074,IF(I1074&gt;G1074,"超越","達標"),"待發展"))))</f>
        <v/>
      </c>
      <c r="L1074" s="91" t="n"/>
      <c r="M1074" s="91" t="n"/>
      <c r="N1074" s="88" t="n"/>
    </row>
    <row r="1075" ht="15.75" customHeight="1" s="64">
      <c r="A1075" s="88" t="n"/>
      <c r="B1075" s="120">
        <f t="array" ref="B1075:B1075">IF(A1075="","",IFERROR(INDEX('3.員工名單'!$B:$B,MATCH(A1075,'3.員工名單'!$A:$A,0)),"查無此員工"))</f>
        <v/>
      </c>
      <c r="C1075" s="120">
        <f t="array" ref="C1075:C1075">IF(A1075="","",IFERROR(INDEX('3.員工名單'!$C:$C,MATCH(A1075,'3.員工名單'!$A:$A,0)),""))</f>
        <v/>
      </c>
      <c r="D1075" s="120">
        <f t="array" ref="D1075:D1075">IF(A1075="","",IFERROR(INDEX('3.員工名單'!$D:$D,MATCH(A1075,'3.員工名單'!$A:$A,0)),""))</f>
        <v/>
      </c>
      <c r="E1075" s="120">
        <f t="array" ref="E1075:E1075">IF(F1075="","",IFERROR(INDEX('1.職能辭典'!$A:$A,MATCH(F1075,'1.職能辭典'!$C:$C,0)),""))</f>
        <v/>
      </c>
      <c r="F1075" s="94" t="n"/>
      <c r="G1075" s="120">
        <f t="array" ref="G1075:G1075">IF(OR(D1075="",F1075=""),"",IFERROR(IF(AND(OR(INDEX('1.職能辭典'!$J:$J,MATCH(F1075,'1.職能辭典'!$C:$C,0))="全部",INDEX('3.員工名單'!$H:$H,MATCH(A1075,'3.員工名單'!$A:$A,0))="兩款共用",INDEX('3.員工名單'!$H:$H,MATCH(A1075,'3.員工名單'!$A:$A,0))=INDEX('1.職能辭典'!$J:$J,MATCH(F1075,'1.職能辭典'!$C:$C,0))),OR(INDEX('1.職能辭典'!$K:$K,MATCH(F1075,'1.職能辭典'!$C:$C,0))="全部",SUMPRODUCT(ISNUMBER(SEARCH({"經營","管理","財務","企劃","營運","技術","數據","美術","測試","客服"},INDEX('3.員工名單'!$I:$I,MATCH(A1075,'3.員工名單'!$A:$A,0))))*ISNUMBER(SEARCH({"經營","管理","財務","企劃","營運","技術","數據","美術","測試","客服"},INDEX('1.職能辭典'!$K:$K,MATCH(F1075,'1.職能辭典'!$C:$C,0)))))&gt;0)),INDEX('2.職務職能需求'!$B$2:$F$28,MATCH(F1075,'2.職務職能需求'!$A$2:$A$28,0),MATCH(D1075,'2.職務職能需求'!$B$1:$F$1,0)),0),""))</f>
        <v/>
      </c>
      <c r="H1075" s="94" t="n"/>
      <c r="I1075" s="94" t="n"/>
      <c r="J1075" s="120">
        <f>IF(OR(G1075="",I1075="",G1075=0),"",I1075-G1075)</f>
        <v/>
      </c>
      <c r="K1075" s="120">
        <f>IF(G1075="","",IF(G1075=0,"不適用",IF(I1075="","待評核",IF(I1075&gt;=G1075,IF(I1075&gt;G1075,"超越","達標"),"待發展"))))</f>
        <v/>
      </c>
      <c r="L1075" s="91" t="n"/>
      <c r="M1075" s="91" t="n"/>
      <c r="N1075" s="88" t="n"/>
    </row>
    <row r="1076" ht="15.75" customHeight="1" s="64">
      <c r="A1076" s="88" t="n"/>
      <c r="B1076" s="120">
        <f t="array" ref="B1076:B1076">IF(A1076="","",IFERROR(INDEX('3.員工名單'!$B:$B,MATCH(A1076,'3.員工名單'!$A:$A,0)),"查無此員工"))</f>
        <v/>
      </c>
      <c r="C1076" s="120">
        <f t="array" ref="C1076:C1076">IF(A1076="","",IFERROR(INDEX('3.員工名單'!$C:$C,MATCH(A1076,'3.員工名單'!$A:$A,0)),""))</f>
        <v/>
      </c>
      <c r="D1076" s="120">
        <f t="array" ref="D1076:D1076">IF(A1076="","",IFERROR(INDEX('3.員工名單'!$D:$D,MATCH(A1076,'3.員工名單'!$A:$A,0)),""))</f>
        <v/>
      </c>
      <c r="E1076" s="120">
        <f t="array" ref="E1076:E1076">IF(F1076="","",IFERROR(INDEX('1.職能辭典'!$A:$A,MATCH(F1076,'1.職能辭典'!$C:$C,0)),""))</f>
        <v/>
      </c>
      <c r="F1076" s="94" t="n"/>
      <c r="G1076" s="120">
        <f t="array" ref="G1076:G1076">IF(OR(D1076="",F1076=""),"",IFERROR(IF(AND(OR(INDEX('1.職能辭典'!$J:$J,MATCH(F1076,'1.職能辭典'!$C:$C,0))="全部",INDEX('3.員工名單'!$H:$H,MATCH(A1076,'3.員工名單'!$A:$A,0))="兩款共用",INDEX('3.員工名單'!$H:$H,MATCH(A1076,'3.員工名單'!$A:$A,0))=INDEX('1.職能辭典'!$J:$J,MATCH(F1076,'1.職能辭典'!$C:$C,0))),OR(INDEX('1.職能辭典'!$K:$K,MATCH(F1076,'1.職能辭典'!$C:$C,0))="全部",SUMPRODUCT(ISNUMBER(SEARCH({"經營","管理","財務","企劃","營運","技術","數據","美術","測試","客服"},INDEX('3.員工名單'!$I:$I,MATCH(A1076,'3.員工名單'!$A:$A,0))))*ISNUMBER(SEARCH({"經營","管理","財務","企劃","營運","技術","數據","美術","測試","客服"},INDEX('1.職能辭典'!$K:$K,MATCH(F1076,'1.職能辭典'!$C:$C,0)))))&gt;0)),INDEX('2.職務職能需求'!$B$2:$F$28,MATCH(F1076,'2.職務職能需求'!$A$2:$A$28,0),MATCH(D1076,'2.職務職能需求'!$B$1:$F$1,0)),0),""))</f>
        <v/>
      </c>
      <c r="H1076" s="94" t="n"/>
      <c r="I1076" s="94" t="n"/>
      <c r="J1076" s="120">
        <f>IF(OR(G1076="",I1076="",G1076=0),"",I1076-G1076)</f>
        <v/>
      </c>
      <c r="K1076" s="120">
        <f>IF(G1076="","",IF(G1076=0,"不適用",IF(I1076="","待評核",IF(I1076&gt;=G1076,IF(I1076&gt;G1076,"超越","達標"),"待發展"))))</f>
        <v/>
      </c>
      <c r="L1076" s="91" t="n"/>
      <c r="M1076" s="91" t="n"/>
      <c r="N1076" s="88" t="n"/>
    </row>
    <row r="1077" ht="15.75" customHeight="1" s="64">
      <c r="A1077" s="88" t="n"/>
      <c r="B1077" s="120">
        <f t="array" ref="B1077:B1077">IF(A1077="","",IFERROR(INDEX('3.員工名單'!$B:$B,MATCH(A1077,'3.員工名單'!$A:$A,0)),"查無此員工"))</f>
        <v/>
      </c>
      <c r="C1077" s="120">
        <f t="array" ref="C1077:C1077">IF(A1077="","",IFERROR(INDEX('3.員工名單'!$C:$C,MATCH(A1077,'3.員工名單'!$A:$A,0)),""))</f>
        <v/>
      </c>
      <c r="D1077" s="120">
        <f t="array" ref="D1077:D1077">IF(A1077="","",IFERROR(INDEX('3.員工名單'!$D:$D,MATCH(A1077,'3.員工名單'!$A:$A,0)),""))</f>
        <v/>
      </c>
      <c r="E1077" s="120">
        <f t="array" ref="E1077:E1077">IF(F1077="","",IFERROR(INDEX('1.職能辭典'!$A:$A,MATCH(F1077,'1.職能辭典'!$C:$C,0)),""))</f>
        <v/>
      </c>
      <c r="F1077" s="94" t="n"/>
      <c r="G1077" s="120">
        <f t="array" ref="G1077:G1077">IF(OR(D1077="",F1077=""),"",IFERROR(IF(AND(OR(INDEX('1.職能辭典'!$J:$J,MATCH(F1077,'1.職能辭典'!$C:$C,0))="全部",INDEX('3.員工名單'!$H:$H,MATCH(A1077,'3.員工名單'!$A:$A,0))="兩款共用",INDEX('3.員工名單'!$H:$H,MATCH(A1077,'3.員工名單'!$A:$A,0))=INDEX('1.職能辭典'!$J:$J,MATCH(F1077,'1.職能辭典'!$C:$C,0))),OR(INDEX('1.職能辭典'!$K:$K,MATCH(F1077,'1.職能辭典'!$C:$C,0))="全部",SUMPRODUCT(ISNUMBER(SEARCH({"經營","管理","財務","企劃","營運","技術","數據","美術","測試","客服"},INDEX('3.員工名單'!$I:$I,MATCH(A1077,'3.員工名單'!$A:$A,0))))*ISNUMBER(SEARCH({"經營","管理","財務","企劃","營運","技術","數據","美術","測試","客服"},INDEX('1.職能辭典'!$K:$K,MATCH(F1077,'1.職能辭典'!$C:$C,0)))))&gt;0)),INDEX('2.職務職能需求'!$B$2:$F$28,MATCH(F1077,'2.職務職能需求'!$A$2:$A$28,0),MATCH(D1077,'2.職務職能需求'!$B$1:$F$1,0)),0),""))</f>
        <v/>
      </c>
      <c r="H1077" s="94" t="n"/>
      <c r="I1077" s="94" t="n"/>
      <c r="J1077" s="120">
        <f>IF(OR(G1077="",I1077="",G1077=0),"",I1077-G1077)</f>
        <v/>
      </c>
      <c r="K1077" s="120">
        <f>IF(G1077="","",IF(G1077=0,"不適用",IF(I1077="","待評核",IF(I1077&gt;=G1077,IF(I1077&gt;G1077,"超越","達標"),"待發展"))))</f>
        <v/>
      </c>
      <c r="L1077" s="91" t="n"/>
      <c r="M1077" s="91" t="n"/>
      <c r="N1077" s="88" t="n"/>
    </row>
    <row r="1078" ht="15.75" customHeight="1" s="64">
      <c r="A1078" s="88" t="n"/>
      <c r="B1078" s="120">
        <f t="array" ref="B1078:B1078">IF(A1078="","",IFERROR(INDEX('3.員工名單'!$B:$B,MATCH(A1078,'3.員工名單'!$A:$A,0)),"查無此員工"))</f>
        <v/>
      </c>
      <c r="C1078" s="120">
        <f t="array" ref="C1078:C1078">IF(A1078="","",IFERROR(INDEX('3.員工名單'!$C:$C,MATCH(A1078,'3.員工名單'!$A:$A,0)),""))</f>
        <v/>
      </c>
      <c r="D1078" s="120">
        <f t="array" ref="D1078:D1078">IF(A1078="","",IFERROR(INDEX('3.員工名單'!$D:$D,MATCH(A1078,'3.員工名單'!$A:$A,0)),""))</f>
        <v/>
      </c>
      <c r="E1078" s="120">
        <f t="array" ref="E1078:E1078">IF(F1078="","",IFERROR(INDEX('1.職能辭典'!$A:$A,MATCH(F1078,'1.職能辭典'!$C:$C,0)),""))</f>
        <v/>
      </c>
      <c r="F1078" s="94" t="n"/>
      <c r="G1078" s="120">
        <f t="array" ref="G1078:G1078">IF(OR(D1078="",F1078=""),"",IFERROR(IF(AND(OR(INDEX('1.職能辭典'!$J:$J,MATCH(F1078,'1.職能辭典'!$C:$C,0))="全部",INDEX('3.員工名單'!$H:$H,MATCH(A1078,'3.員工名單'!$A:$A,0))="兩款共用",INDEX('3.員工名單'!$H:$H,MATCH(A1078,'3.員工名單'!$A:$A,0))=INDEX('1.職能辭典'!$J:$J,MATCH(F1078,'1.職能辭典'!$C:$C,0))),OR(INDEX('1.職能辭典'!$K:$K,MATCH(F1078,'1.職能辭典'!$C:$C,0))="全部",SUMPRODUCT(ISNUMBER(SEARCH({"經營","管理","財務","企劃","營運","技術","數據","美術","測試","客服"},INDEX('3.員工名單'!$I:$I,MATCH(A1078,'3.員工名單'!$A:$A,0))))*ISNUMBER(SEARCH({"經營","管理","財務","企劃","營運","技術","數據","美術","測試","客服"},INDEX('1.職能辭典'!$K:$K,MATCH(F1078,'1.職能辭典'!$C:$C,0)))))&gt;0)),INDEX('2.職務職能需求'!$B$2:$F$28,MATCH(F1078,'2.職務職能需求'!$A$2:$A$28,0),MATCH(D1078,'2.職務職能需求'!$B$1:$F$1,0)),0),""))</f>
        <v/>
      </c>
      <c r="H1078" s="94" t="n"/>
      <c r="I1078" s="94" t="n"/>
      <c r="J1078" s="120">
        <f>IF(OR(G1078="",I1078="",G1078=0),"",I1078-G1078)</f>
        <v/>
      </c>
      <c r="K1078" s="120">
        <f>IF(G1078="","",IF(G1078=0,"不適用",IF(I1078="","待評核",IF(I1078&gt;=G1078,IF(I1078&gt;G1078,"超越","達標"),"待發展"))))</f>
        <v/>
      </c>
      <c r="L1078" s="91" t="n"/>
      <c r="M1078" s="91" t="n"/>
      <c r="N1078" s="88" t="n"/>
    </row>
    <row r="1079" ht="15.75" customHeight="1" s="64">
      <c r="A1079" s="88" t="n"/>
      <c r="B1079" s="120">
        <f t="array" ref="B1079:B1079">IF(A1079="","",IFERROR(INDEX('3.員工名單'!$B:$B,MATCH(A1079,'3.員工名單'!$A:$A,0)),"查無此員工"))</f>
        <v/>
      </c>
      <c r="C1079" s="120">
        <f t="array" ref="C1079:C1079">IF(A1079="","",IFERROR(INDEX('3.員工名單'!$C:$C,MATCH(A1079,'3.員工名單'!$A:$A,0)),""))</f>
        <v/>
      </c>
      <c r="D1079" s="120">
        <f t="array" ref="D1079:D1079">IF(A1079="","",IFERROR(INDEX('3.員工名單'!$D:$D,MATCH(A1079,'3.員工名單'!$A:$A,0)),""))</f>
        <v/>
      </c>
      <c r="E1079" s="120">
        <f t="array" ref="E1079:E1079">IF(F1079="","",IFERROR(INDEX('1.職能辭典'!$A:$A,MATCH(F1079,'1.職能辭典'!$C:$C,0)),""))</f>
        <v/>
      </c>
      <c r="F1079" s="94" t="n"/>
      <c r="G1079" s="120">
        <f t="array" ref="G1079:G1079">IF(OR(D1079="",F1079=""),"",IFERROR(IF(AND(OR(INDEX('1.職能辭典'!$J:$J,MATCH(F1079,'1.職能辭典'!$C:$C,0))="全部",INDEX('3.員工名單'!$H:$H,MATCH(A1079,'3.員工名單'!$A:$A,0))="兩款共用",INDEX('3.員工名單'!$H:$H,MATCH(A1079,'3.員工名單'!$A:$A,0))=INDEX('1.職能辭典'!$J:$J,MATCH(F1079,'1.職能辭典'!$C:$C,0))),OR(INDEX('1.職能辭典'!$K:$K,MATCH(F1079,'1.職能辭典'!$C:$C,0))="全部",SUMPRODUCT(ISNUMBER(SEARCH({"經營","管理","財務","企劃","營運","技術","數據","美術","測試","客服"},INDEX('3.員工名單'!$I:$I,MATCH(A1079,'3.員工名單'!$A:$A,0))))*ISNUMBER(SEARCH({"經營","管理","財務","企劃","營運","技術","數據","美術","測試","客服"},INDEX('1.職能辭典'!$K:$K,MATCH(F1079,'1.職能辭典'!$C:$C,0)))))&gt;0)),INDEX('2.職務職能需求'!$B$2:$F$28,MATCH(F1079,'2.職務職能需求'!$A$2:$A$28,0),MATCH(D1079,'2.職務職能需求'!$B$1:$F$1,0)),0),""))</f>
        <v/>
      </c>
      <c r="H1079" s="94" t="n"/>
      <c r="I1079" s="94" t="n"/>
      <c r="J1079" s="120">
        <f>IF(OR(G1079="",I1079="",G1079=0),"",I1079-G1079)</f>
        <v/>
      </c>
      <c r="K1079" s="120">
        <f>IF(G1079="","",IF(G1079=0,"不適用",IF(I1079="","待評核",IF(I1079&gt;=G1079,IF(I1079&gt;G1079,"超越","達標"),"待發展"))))</f>
        <v/>
      </c>
      <c r="L1079" s="91" t="n"/>
      <c r="M1079" s="91" t="n"/>
      <c r="N1079" s="88" t="n"/>
    </row>
    <row r="1080" ht="15.75" customHeight="1" s="64">
      <c r="A1080" s="88" t="n"/>
      <c r="B1080" s="120">
        <f t="array" ref="B1080:B1080">IF(A1080="","",IFERROR(INDEX('3.員工名單'!$B:$B,MATCH(A1080,'3.員工名單'!$A:$A,0)),"查無此員工"))</f>
        <v/>
      </c>
      <c r="C1080" s="120">
        <f t="array" ref="C1080:C1080">IF(A1080="","",IFERROR(INDEX('3.員工名單'!$C:$C,MATCH(A1080,'3.員工名單'!$A:$A,0)),""))</f>
        <v/>
      </c>
      <c r="D1080" s="120">
        <f t="array" ref="D1080:D1080">IF(A1080="","",IFERROR(INDEX('3.員工名單'!$D:$D,MATCH(A1080,'3.員工名單'!$A:$A,0)),""))</f>
        <v/>
      </c>
      <c r="E1080" s="120">
        <f t="array" ref="E1080:E1080">IF(F1080="","",IFERROR(INDEX('1.職能辭典'!$A:$A,MATCH(F1080,'1.職能辭典'!$C:$C,0)),""))</f>
        <v/>
      </c>
      <c r="F1080" s="94" t="n"/>
      <c r="G1080" s="120">
        <f t="array" ref="G1080:G1080">IF(OR(D1080="",F1080=""),"",IFERROR(IF(AND(OR(INDEX('1.職能辭典'!$J:$J,MATCH(F1080,'1.職能辭典'!$C:$C,0))="全部",INDEX('3.員工名單'!$H:$H,MATCH(A1080,'3.員工名單'!$A:$A,0))="兩款共用",INDEX('3.員工名單'!$H:$H,MATCH(A1080,'3.員工名單'!$A:$A,0))=INDEX('1.職能辭典'!$J:$J,MATCH(F1080,'1.職能辭典'!$C:$C,0))),OR(INDEX('1.職能辭典'!$K:$K,MATCH(F1080,'1.職能辭典'!$C:$C,0))="全部",SUMPRODUCT(ISNUMBER(SEARCH({"經營","管理","財務","企劃","營運","技術","數據","美術","測試","客服"},INDEX('3.員工名單'!$I:$I,MATCH(A1080,'3.員工名單'!$A:$A,0))))*ISNUMBER(SEARCH({"經營","管理","財務","企劃","營運","技術","數據","美術","測試","客服"},INDEX('1.職能辭典'!$K:$K,MATCH(F1080,'1.職能辭典'!$C:$C,0)))))&gt;0)),INDEX('2.職務職能需求'!$B$2:$F$28,MATCH(F1080,'2.職務職能需求'!$A$2:$A$28,0),MATCH(D1080,'2.職務職能需求'!$B$1:$F$1,0)),0),""))</f>
        <v/>
      </c>
      <c r="H1080" s="94" t="n"/>
      <c r="I1080" s="94" t="n"/>
      <c r="J1080" s="120">
        <f>IF(OR(G1080="",I1080="",G1080=0),"",I1080-G1080)</f>
        <v/>
      </c>
      <c r="K1080" s="120">
        <f>IF(G1080="","",IF(G1080=0,"不適用",IF(I1080="","待評核",IF(I1080&gt;=G1080,IF(I1080&gt;G1080,"超越","達標"),"待發展"))))</f>
        <v/>
      </c>
      <c r="L1080" s="91" t="n"/>
      <c r="M1080" s="91" t="n"/>
      <c r="N1080" s="88" t="n"/>
    </row>
    <row r="1081" ht="15.75" customHeight="1" s="64">
      <c r="A1081" s="88" t="n"/>
      <c r="B1081" s="120">
        <f t="array" ref="B1081:B1081">IF(A1081="","",IFERROR(INDEX('3.員工名單'!$B:$B,MATCH(A1081,'3.員工名單'!$A:$A,0)),"查無此員工"))</f>
        <v/>
      </c>
      <c r="C1081" s="120">
        <f t="array" ref="C1081:C1081">IF(A1081="","",IFERROR(INDEX('3.員工名單'!$C:$C,MATCH(A1081,'3.員工名單'!$A:$A,0)),""))</f>
        <v/>
      </c>
      <c r="D1081" s="120">
        <f t="array" ref="D1081:D1081">IF(A1081="","",IFERROR(INDEX('3.員工名單'!$D:$D,MATCH(A1081,'3.員工名單'!$A:$A,0)),""))</f>
        <v/>
      </c>
      <c r="E1081" s="120">
        <f t="array" ref="E1081:E1081">IF(F1081="","",IFERROR(INDEX('1.職能辭典'!$A:$A,MATCH(F1081,'1.職能辭典'!$C:$C,0)),""))</f>
        <v/>
      </c>
      <c r="F1081" s="94" t="n"/>
      <c r="G1081" s="120">
        <f t="array" ref="G1081:G1081">IF(OR(D1081="",F1081=""),"",IFERROR(IF(AND(OR(INDEX('1.職能辭典'!$J:$J,MATCH(F1081,'1.職能辭典'!$C:$C,0))="全部",INDEX('3.員工名單'!$H:$H,MATCH(A1081,'3.員工名單'!$A:$A,0))="兩款共用",INDEX('3.員工名單'!$H:$H,MATCH(A1081,'3.員工名單'!$A:$A,0))=INDEX('1.職能辭典'!$J:$J,MATCH(F1081,'1.職能辭典'!$C:$C,0))),OR(INDEX('1.職能辭典'!$K:$K,MATCH(F1081,'1.職能辭典'!$C:$C,0))="全部",SUMPRODUCT(ISNUMBER(SEARCH({"經營","管理","財務","企劃","營運","技術","數據","美術","測試","客服"},INDEX('3.員工名單'!$I:$I,MATCH(A1081,'3.員工名單'!$A:$A,0))))*ISNUMBER(SEARCH({"經營","管理","財務","企劃","營運","技術","數據","美術","測試","客服"},INDEX('1.職能辭典'!$K:$K,MATCH(F1081,'1.職能辭典'!$C:$C,0)))))&gt;0)),INDEX('2.職務職能需求'!$B$2:$F$28,MATCH(F1081,'2.職務職能需求'!$A$2:$A$28,0),MATCH(D1081,'2.職務職能需求'!$B$1:$F$1,0)),0),""))</f>
        <v/>
      </c>
      <c r="H1081" s="94" t="n"/>
      <c r="I1081" s="94" t="n"/>
      <c r="J1081" s="120">
        <f>IF(OR(G1081="",I1081="",G1081=0),"",I1081-G1081)</f>
        <v/>
      </c>
      <c r="K1081" s="120">
        <f>IF(G1081="","",IF(G1081=0,"不適用",IF(I1081="","待評核",IF(I1081&gt;=G1081,IF(I1081&gt;G1081,"超越","達標"),"待發展"))))</f>
        <v/>
      </c>
      <c r="L1081" s="91" t="n"/>
      <c r="M1081" s="91" t="n"/>
      <c r="N1081" s="88" t="n"/>
    </row>
    <row r="1082" ht="15.75" customHeight="1" s="64">
      <c r="A1082" s="88" t="n"/>
      <c r="B1082" s="120">
        <f t="array" ref="B1082:B1082">IF(A1082="","",IFERROR(INDEX('3.員工名單'!$B:$B,MATCH(A1082,'3.員工名單'!$A:$A,0)),"查無此員工"))</f>
        <v/>
      </c>
      <c r="C1082" s="120">
        <f t="array" ref="C1082:C1082">IF(A1082="","",IFERROR(INDEX('3.員工名單'!$C:$C,MATCH(A1082,'3.員工名單'!$A:$A,0)),""))</f>
        <v/>
      </c>
      <c r="D1082" s="120">
        <f t="array" ref="D1082:D1082">IF(A1082="","",IFERROR(INDEX('3.員工名單'!$D:$D,MATCH(A1082,'3.員工名單'!$A:$A,0)),""))</f>
        <v/>
      </c>
      <c r="E1082" s="120">
        <f t="array" ref="E1082:E1082">IF(F1082="","",IFERROR(INDEX('1.職能辭典'!$A:$A,MATCH(F1082,'1.職能辭典'!$C:$C,0)),""))</f>
        <v/>
      </c>
      <c r="F1082" s="94" t="n"/>
      <c r="G1082" s="120">
        <f t="array" ref="G1082:G1082">IF(OR(D1082="",F1082=""),"",IFERROR(IF(AND(OR(INDEX('1.職能辭典'!$J:$J,MATCH(F1082,'1.職能辭典'!$C:$C,0))="全部",INDEX('3.員工名單'!$H:$H,MATCH(A1082,'3.員工名單'!$A:$A,0))="兩款共用",INDEX('3.員工名單'!$H:$H,MATCH(A1082,'3.員工名單'!$A:$A,0))=INDEX('1.職能辭典'!$J:$J,MATCH(F1082,'1.職能辭典'!$C:$C,0))),OR(INDEX('1.職能辭典'!$K:$K,MATCH(F1082,'1.職能辭典'!$C:$C,0))="全部",SUMPRODUCT(ISNUMBER(SEARCH({"經營","管理","財務","企劃","營運","技術","數據","美術","測試","客服"},INDEX('3.員工名單'!$I:$I,MATCH(A1082,'3.員工名單'!$A:$A,0))))*ISNUMBER(SEARCH({"經營","管理","財務","企劃","營運","技術","數據","美術","測試","客服"},INDEX('1.職能辭典'!$K:$K,MATCH(F1082,'1.職能辭典'!$C:$C,0)))))&gt;0)),INDEX('2.職務職能需求'!$B$2:$F$28,MATCH(F1082,'2.職務職能需求'!$A$2:$A$28,0),MATCH(D1082,'2.職務職能需求'!$B$1:$F$1,0)),0),""))</f>
        <v/>
      </c>
      <c r="H1082" s="94" t="n"/>
      <c r="I1082" s="94" t="n"/>
      <c r="J1082" s="120">
        <f>IF(OR(G1082="",I1082="",G1082=0),"",I1082-G1082)</f>
        <v/>
      </c>
      <c r="K1082" s="120">
        <f>IF(G1082="","",IF(G1082=0,"不適用",IF(I1082="","待評核",IF(I1082&gt;=G1082,IF(I1082&gt;G1082,"超越","達標"),"待發展"))))</f>
        <v/>
      </c>
      <c r="L1082" s="91" t="n"/>
      <c r="M1082" s="91" t="n"/>
      <c r="N1082" s="88" t="n"/>
    </row>
    <row r="1083" ht="15.75" customHeight="1" s="64">
      <c r="A1083" s="88" t="n"/>
      <c r="B1083" s="120">
        <f t="array" ref="B1083:B1083">IF(A1083="","",IFERROR(INDEX('3.員工名單'!$B:$B,MATCH(A1083,'3.員工名單'!$A:$A,0)),"查無此員工"))</f>
        <v/>
      </c>
      <c r="C1083" s="120">
        <f t="array" ref="C1083:C1083">IF(A1083="","",IFERROR(INDEX('3.員工名單'!$C:$C,MATCH(A1083,'3.員工名單'!$A:$A,0)),""))</f>
        <v/>
      </c>
      <c r="D1083" s="120">
        <f t="array" ref="D1083:D1083">IF(A1083="","",IFERROR(INDEX('3.員工名單'!$D:$D,MATCH(A1083,'3.員工名單'!$A:$A,0)),""))</f>
        <v/>
      </c>
      <c r="E1083" s="120">
        <f t="array" ref="E1083:E1083">IF(F1083="","",IFERROR(INDEX('1.職能辭典'!$A:$A,MATCH(F1083,'1.職能辭典'!$C:$C,0)),""))</f>
        <v/>
      </c>
      <c r="F1083" s="94" t="n"/>
      <c r="G1083" s="120">
        <f t="array" ref="G1083:G1083">IF(OR(D1083="",F1083=""),"",IFERROR(IF(AND(OR(INDEX('1.職能辭典'!$J:$J,MATCH(F1083,'1.職能辭典'!$C:$C,0))="全部",INDEX('3.員工名單'!$H:$H,MATCH(A1083,'3.員工名單'!$A:$A,0))="兩款共用",INDEX('3.員工名單'!$H:$H,MATCH(A1083,'3.員工名單'!$A:$A,0))=INDEX('1.職能辭典'!$J:$J,MATCH(F1083,'1.職能辭典'!$C:$C,0))),OR(INDEX('1.職能辭典'!$K:$K,MATCH(F1083,'1.職能辭典'!$C:$C,0))="全部",SUMPRODUCT(ISNUMBER(SEARCH({"經營","管理","財務","企劃","營運","技術","數據","美術","測試","客服"},INDEX('3.員工名單'!$I:$I,MATCH(A1083,'3.員工名單'!$A:$A,0))))*ISNUMBER(SEARCH({"經營","管理","財務","企劃","營運","技術","數據","美術","測試","客服"},INDEX('1.職能辭典'!$K:$K,MATCH(F1083,'1.職能辭典'!$C:$C,0)))))&gt;0)),INDEX('2.職務職能需求'!$B$2:$F$28,MATCH(F1083,'2.職務職能需求'!$A$2:$A$28,0),MATCH(D1083,'2.職務職能需求'!$B$1:$F$1,0)),0),""))</f>
        <v/>
      </c>
      <c r="H1083" s="94" t="n"/>
      <c r="I1083" s="94" t="n"/>
      <c r="J1083" s="120">
        <f>IF(OR(G1083="",I1083="",G1083=0),"",I1083-G1083)</f>
        <v/>
      </c>
      <c r="K1083" s="120">
        <f>IF(G1083="","",IF(G1083=0,"不適用",IF(I1083="","待評核",IF(I1083&gt;=G1083,IF(I1083&gt;G1083,"超越","達標"),"待發展"))))</f>
        <v/>
      </c>
      <c r="L1083" s="91" t="n"/>
      <c r="M1083" s="91" t="n"/>
      <c r="N1083" s="88" t="n"/>
    </row>
    <row r="1084" ht="15.75" customHeight="1" s="64">
      <c r="A1084" s="88" t="n"/>
      <c r="B1084" s="120">
        <f t="array" ref="B1084:B1084">IF(A1084="","",IFERROR(INDEX('3.員工名單'!$B:$B,MATCH(A1084,'3.員工名單'!$A:$A,0)),"查無此員工"))</f>
        <v/>
      </c>
      <c r="C1084" s="120">
        <f t="array" ref="C1084:C1084">IF(A1084="","",IFERROR(INDEX('3.員工名單'!$C:$C,MATCH(A1084,'3.員工名單'!$A:$A,0)),""))</f>
        <v/>
      </c>
      <c r="D1084" s="120">
        <f t="array" ref="D1084:D1084">IF(A1084="","",IFERROR(INDEX('3.員工名單'!$D:$D,MATCH(A1084,'3.員工名單'!$A:$A,0)),""))</f>
        <v/>
      </c>
      <c r="E1084" s="120">
        <f t="array" ref="E1084:E1084">IF(F1084="","",IFERROR(INDEX('1.職能辭典'!$A:$A,MATCH(F1084,'1.職能辭典'!$C:$C,0)),""))</f>
        <v/>
      </c>
      <c r="F1084" s="94" t="n"/>
      <c r="G1084" s="120">
        <f t="array" ref="G1084:G1084">IF(OR(D1084="",F1084=""),"",IFERROR(IF(AND(OR(INDEX('1.職能辭典'!$J:$J,MATCH(F1084,'1.職能辭典'!$C:$C,0))="全部",INDEX('3.員工名單'!$H:$H,MATCH(A1084,'3.員工名單'!$A:$A,0))="兩款共用",INDEX('3.員工名單'!$H:$H,MATCH(A1084,'3.員工名單'!$A:$A,0))=INDEX('1.職能辭典'!$J:$J,MATCH(F1084,'1.職能辭典'!$C:$C,0))),OR(INDEX('1.職能辭典'!$K:$K,MATCH(F1084,'1.職能辭典'!$C:$C,0))="全部",SUMPRODUCT(ISNUMBER(SEARCH({"經營","管理","財務","企劃","營運","技術","數據","美術","測試","客服"},INDEX('3.員工名單'!$I:$I,MATCH(A1084,'3.員工名單'!$A:$A,0))))*ISNUMBER(SEARCH({"經營","管理","財務","企劃","營運","技術","數據","美術","測試","客服"},INDEX('1.職能辭典'!$K:$K,MATCH(F1084,'1.職能辭典'!$C:$C,0)))))&gt;0)),INDEX('2.職務職能需求'!$B$2:$F$28,MATCH(F1084,'2.職務職能需求'!$A$2:$A$28,0),MATCH(D1084,'2.職務職能需求'!$B$1:$F$1,0)),0),""))</f>
        <v/>
      </c>
      <c r="H1084" s="94" t="n"/>
      <c r="I1084" s="94" t="n"/>
      <c r="J1084" s="120">
        <f>IF(OR(G1084="",I1084="",G1084=0),"",I1084-G1084)</f>
        <v/>
      </c>
      <c r="K1084" s="120">
        <f>IF(G1084="","",IF(G1084=0,"不適用",IF(I1084="","待評核",IF(I1084&gt;=G1084,IF(I1084&gt;G1084,"超越","達標"),"待發展"))))</f>
        <v/>
      </c>
      <c r="L1084" s="91" t="n"/>
      <c r="M1084" s="91" t="n"/>
      <c r="N1084" s="88" t="n"/>
    </row>
    <row r="1085" ht="15.75" customHeight="1" s="64">
      <c r="A1085" s="88" t="n"/>
      <c r="B1085" s="120">
        <f t="array" ref="B1085:B1085">IF(A1085="","",IFERROR(INDEX('3.員工名單'!$B:$B,MATCH(A1085,'3.員工名單'!$A:$A,0)),"查無此員工"))</f>
        <v/>
      </c>
      <c r="C1085" s="120">
        <f t="array" ref="C1085:C1085">IF(A1085="","",IFERROR(INDEX('3.員工名單'!$C:$C,MATCH(A1085,'3.員工名單'!$A:$A,0)),""))</f>
        <v/>
      </c>
      <c r="D1085" s="120">
        <f t="array" ref="D1085:D1085">IF(A1085="","",IFERROR(INDEX('3.員工名單'!$D:$D,MATCH(A1085,'3.員工名單'!$A:$A,0)),""))</f>
        <v/>
      </c>
      <c r="E1085" s="120">
        <f t="array" ref="E1085:E1085">IF(F1085="","",IFERROR(INDEX('1.職能辭典'!$A:$A,MATCH(F1085,'1.職能辭典'!$C:$C,0)),""))</f>
        <v/>
      </c>
      <c r="F1085" s="94" t="n"/>
      <c r="G1085" s="120">
        <f t="array" ref="G1085:G1085">IF(OR(D1085="",F1085=""),"",IFERROR(IF(AND(OR(INDEX('1.職能辭典'!$J:$J,MATCH(F1085,'1.職能辭典'!$C:$C,0))="全部",INDEX('3.員工名單'!$H:$H,MATCH(A1085,'3.員工名單'!$A:$A,0))="兩款共用",INDEX('3.員工名單'!$H:$H,MATCH(A1085,'3.員工名單'!$A:$A,0))=INDEX('1.職能辭典'!$J:$J,MATCH(F1085,'1.職能辭典'!$C:$C,0))),OR(INDEX('1.職能辭典'!$K:$K,MATCH(F1085,'1.職能辭典'!$C:$C,0))="全部",SUMPRODUCT(ISNUMBER(SEARCH({"經營","管理","財務","企劃","營運","技術","數據","美術","測試","客服"},INDEX('3.員工名單'!$I:$I,MATCH(A1085,'3.員工名單'!$A:$A,0))))*ISNUMBER(SEARCH({"經營","管理","財務","企劃","營運","技術","數據","美術","測試","客服"},INDEX('1.職能辭典'!$K:$K,MATCH(F1085,'1.職能辭典'!$C:$C,0)))))&gt;0)),INDEX('2.職務職能需求'!$B$2:$F$28,MATCH(F1085,'2.職務職能需求'!$A$2:$A$28,0),MATCH(D1085,'2.職務職能需求'!$B$1:$F$1,0)),0),""))</f>
        <v/>
      </c>
      <c r="H1085" s="94" t="n"/>
      <c r="I1085" s="94" t="n"/>
      <c r="J1085" s="120">
        <f>IF(OR(G1085="",I1085="",G1085=0),"",I1085-G1085)</f>
        <v/>
      </c>
      <c r="K1085" s="120">
        <f>IF(G1085="","",IF(G1085=0,"不適用",IF(I1085="","待評核",IF(I1085&gt;=G1085,IF(I1085&gt;G1085,"超越","達標"),"待發展"))))</f>
        <v/>
      </c>
      <c r="L1085" s="91" t="n"/>
      <c r="M1085" s="91" t="n"/>
      <c r="N1085" s="88" t="n"/>
    </row>
    <row r="1086" ht="15.75" customHeight="1" s="64">
      <c r="A1086" s="88" t="n"/>
      <c r="B1086" s="120">
        <f t="array" ref="B1086:B1086">IF(A1086="","",IFERROR(INDEX('3.員工名單'!$B:$B,MATCH(A1086,'3.員工名單'!$A:$A,0)),"查無此員工"))</f>
        <v/>
      </c>
      <c r="C1086" s="120">
        <f t="array" ref="C1086:C1086">IF(A1086="","",IFERROR(INDEX('3.員工名單'!$C:$C,MATCH(A1086,'3.員工名單'!$A:$A,0)),""))</f>
        <v/>
      </c>
      <c r="D1086" s="120">
        <f t="array" ref="D1086:D1086">IF(A1086="","",IFERROR(INDEX('3.員工名單'!$D:$D,MATCH(A1086,'3.員工名單'!$A:$A,0)),""))</f>
        <v/>
      </c>
      <c r="E1086" s="120">
        <f t="array" ref="E1086:E1086">IF(F1086="","",IFERROR(INDEX('1.職能辭典'!$A:$A,MATCH(F1086,'1.職能辭典'!$C:$C,0)),""))</f>
        <v/>
      </c>
      <c r="F1086" s="94" t="n"/>
      <c r="G1086" s="120">
        <f t="array" ref="G1086:G1086">IF(OR(D1086="",F1086=""),"",IFERROR(IF(AND(OR(INDEX('1.職能辭典'!$J:$J,MATCH(F1086,'1.職能辭典'!$C:$C,0))="全部",INDEX('3.員工名單'!$H:$H,MATCH(A1086,'3.員工名單'!$A:$A,0))="兩款共用",INDEX('3.員工名單'!$H:$H,MATCH(A1086,'3.員工名單'!$A:$A,0))=INDEX('1.職能辭典'!$J:$J,MATCH(F1086,'1.職能辭典'!$C:$C,0))),OR(INDEX('1.職能辭典'!$K:$K,MATCH(F1086,'1.職能辭典'!$C:$C,0))="全部",SUMPRODUCT(ISNUMBER(SEARCH({"經營","管理","財務","企劃","營運","技術","數據","美術","測試","客服"},INDEX('3.員工名單'!$I:$I,MATCH(A1086,'3.員工名單'!$A:$A,0))))*ISNUMBER(SEARCH({"經營","管理","財務","企劃","營運","技術","數據","美術","測試","客服"},INDEX('1.職能辭典'!$K:$K,MATCH(F1086,'1.職能辭典'!$C:$C,0)))))&gt;0)),INDEX('2.職務職能需求'!$B$2:$F$28,MATCH(F1086,'2.職務職能需求'!$A$2:$A$28,0),MATCH(D1086,'2.職務職能需求'!$B$1:$F$1,0)),0),""))</f>
        <v/>
      </c>
      <c r="H1086" s="94" t="n"/>
      <c r="I1086" s="94" t="n"/>
      <c r="J1086" s="120">
        <f>IF(OR(G1086="",I1086="",G1086=0),"",I1086-G1086)</f>
        <v/>
      </c>
      <c r="K1086" s="120">
        <f>IF(G1086="","",IF(G1086=0,"不適用",IF(I1086="","待評核",IF(I1086&gt;=G1086,IF(I1086&gt;G1086,"超越","達標"),"待發展"))))</f>
        <v/>
      </c>
      <c r="L1086" s="91" t="n"/>
      <c r="M1086" s="91" t="n"/>
      <c r="N1086" s="88" t="n"/>
    </row>
    <row r="1087" ht="15.75" customHeight="1" s="64">
      <c r="A1087" s="88" t="n"/>
      <c r="B1087" s="120">
        <f t="array" ref="B1087:B1087">IF(A1087="","",IFERROR(INDEX('3.員工名單'!$B:$B,MATCH(A1087,'3.員工名單'!$A:$A,0)),"查無此員工"))</f>
        <v/>
      </c>
      <c r="C1087" s="120">
        <f t="array" ref="C1087:C1087">IF(A1087="","",IFERROR(INDEX('3.員工名單'!$C:$C,MATCH(A1087,'3.員工名單'!$A:$A,0)),""))</f>
        <v/>
      </c>
      <c r="D1087" s="120">
        <f t="array" ref="D1087:D1087">IF(A1087="","",IFERROR(INDEX('3.員工名單'!$D:$D,MATCH(A1087,'3.員工名單'!$A:$A,0)),""))</f>
        <v/>
      </c>
      <c r="E1087" s="120">
        <f t="array" ref="E1087:E1087">IF(F1087="","",IFERROR(INDEX('1.職能辭典'!$A:$A,MATCH(F1087,'1.職能辭典'!$C:$C,0)),""))</f>
        <v/>
      </c>
      <c r="F1087" s="94" t="n"/>
      <c r="G1087" s="120">
        <f t="array" ref="G1087:G1087">IF(OR(D1087="",F1087=""),"",IFERROR(IF(AND(OR(INDEX('1.職能辭典'!$J:$J,MATCH(F1087,'1.職能辭典'!$C:$C,0))="全部",INDEX('3.員工名單'!$H:$H,MATCH(A1087,'3.員工名單'!$A:$A,0))="兩款共用",INDEX('3.員工名單'!$H:$H,MATCH(A1087,'3.員工名單'!$A:$A,0))=INDEX('1.職能辭典'!$J:$J,MATCH(F1087,'1.職能辭典'!$C:$C,0))),OR(INDEX('1.職能辭典'!$K:$K,MATCH(F1087,'1.職能辭典'!$C:$C,0))="全部",SUMPRODUCT(ISNUMBER(SEARCH({"經營","管理","財務","企劃","營運","技術","數據","美術","測試","客服"},INDEX('3.員工名單'!$I:$I,MATCH(A1087,'3.員工名單'!$A:$A,0))))*ISNUMBER(SEARCH({"經營","管理","財務","企劃","營運","技術","數據","美術","測試","客服"},INDEX('1.職能辭典'!$K:$K,MATCH(F1087,'1.職能辭典'!$C:$C,0)))))&gt;0)),INDEX('2.職務職能需求'!$B$2:$F$28,MATCH(F1087,'2.職務職能需求'!$A$2:$A$28,0),MATCH(D1087,'2.職務職能需求'!$B$1:$F$1,0)),0),""))</f>
        <v/>
      </c>
      <c r="H1087" s="94" t="n"/>
      <c r="I1087" s="94" t="n"/>
      <c r="J1087" s="120">
        <f>IF(OR(G1087="",I1087="",G1087=0),"",I1087-G1087)</f>
        <v/>
      </c>
      <c r="K1087" s="120">
        <f>IF(G1087="","",IF(G1087=0,"不適用",IF(I1087="","待評核",IF(I1087&gt;=G1087,IF(I1087&gt;G1087,"超越","達標"),"待發展"))))</f>
        <v/>
      </c>
      <c r="L1087" s="91" t="n"/>
      <c r="M1087" s="91" t="n"/>
      <c r="N1087" s="88" t="n"/>
    </row>
    <row r="1088" ht="15.75" customHeight="1" s="64">
      <c r="A1088" s="88" t="n"/>
      <c r="B1088" s="120">
        <f t="array" ref="B1088:B1088">IF(A1088="","",IFERROR(INDEX('3.員工名單'!$B:$B,MATCH(A1088,'3.員工名單'!$A:$A,0)),"查無此員工"))</f>
        <v/>
      </c>
      <c r="C1088" s="120">
        <f t="array" ref="C1088:C1088">IF(A1088="","",IFERROR(INDEX('3.員工名單'!$C:$C,MATCH(A1088,'3.員工名單'!$A:$A,0)),""))</f>
        <v/>
      </c>
      <c r="D1088" s="120">
        <f t="array" ref="D1088:D1088">IF(A1088="","",IFERROR(INDEX('3.員工名單'!$D:$D,MATCH(A1088,'3.員工名單'!$A:$A,0)),""))</f>
        <v/>
      </c>
      <c r="E1088" s="120">
        <f t="array" ref="E1088:E1088">IF(F1088="","",IFERROR(INDEX('1.職能辭典'!$A:$A,MATCH(F1088,'1.職能辭典'!$C:$C,0)),""))</f>
        <v/>
      </c>
      <c r="F1088" s="94" t="n"/>
      <c r="G1088" s="120">
        <f t="array" ref="G1088:G1088">IF(OR(D1088="",F1088=""),"",IFERROR(IF(AND(OR(INDEX('1.職能辭典'!$J:$J,MATCH(F1088,'1.職能辭典'!$C:$C,0))="全部",INDEX('3.員工名單'!$H:$H,MATCH(A1088,'3.員工名單'!$A:$A,0))="兩款共用",INDEX('3.員工名單'!$H:$H,MATCH(A1088,'3.員工名單'!$A:$A,0))=INDEX('1.職能辭典'!$J:$J,MATCH(F1088,'1.職能辭典'!$C:$C,0))),OR(INDEX('1.職能辭典'!$K:$K,MATCH(F1088,'1.職能辭典'!$C:$C,0))="全部",SUMPRODUCT(ISNUMBER(SEARCH({"經營","管理","財務","企劃","營運","技術","數據","美術","測試","客服"},INDEX('3.員工名單'!$I:$I,MATCH(A1088,'3.員工名單'!$A:$A,0))))*ISNUMBER(SEARCH({"經營","管理","財務","企劃","營運","技術","數據","美術","測試","客服"},INDEX('1.職能辭典'!$K:$K,MATCH(F1088,'1.職能辭典'!$C:$C,0)))))&gt;0)),INDEX('2.職務職能需求'!$B$2:$F$28,MATCH(F1088,'2.職務職能需求'!$A$2:$A$28,0),MATCH(D1088,'2.職務職能需求'!$B$1:$F$1,0)),0),""))</f>
        <v/>
      </c>
      <c r="H1088" s="94" t="n"/>
      <c r="I1088" s="94" t="n"/>
      <c r="J1088" s="120">
        <f>IF(OR(G1088="",I1088="",G1088=0),"",I1088-G1088)</f>
        <v/>
      </c>
      <c r="K1088" s="120">
        <f>IF(G1088="","",IF(G1088=0,"不適用",IF(I1088="","待評核",IF(I1088&gt;=G1088,IF(I1088&gt;G1088,"超越","達標"),"待發展"))))</f>
        <v/>
      </c>
      <c r="L1088" s="91" t="n"/>
      <c r="M1088" s="91" t="n"/>
      <c r="N1088" s="88" t="n"/>
    </row>
    <row r="1089" ht="15.75" customHeight="1" s="64">
      <c r="A1089" s="88" t="n"/>
      <c r="B1089" s="120">
        <f t="array" ref="B1089:B1089">IF(A1089="","",IFERROR(INDEX('3.員工名單'!$B:$B,MATCH(A1089,'3.員工名單'!$A:$A,0)),"查無此員工"))</f>
        <v/>
      </c>
      <c r="C1089" s="120">
        <f t="array" ref="C1089:C1089">IF(A1089="","",IFERROR(INDEX('3.員工名單'!$C:$C,MATCH(A1089,'3.員工名單'!$A:$A,0)),""))</f>
        <v/>
      </c>
      <c r="D1089" s="120">
        <f t="array" ref="D1089:D1089">IF(A1089="","",IFERROR(INDEX('3.員工名單'!$D:$D,MATCH(A1089,'3.員工名單'!$A:$A,0)),""))</f>
        <v/>
      </c>
      <c r="E1089" s="120">
        <f t="array" ref="E1089:E1089">IF(F1089="","",IFERROR(INDEX('1.職能辭典'!$A:$A,MATCH(F1089,'1.職能辭典'!$C:$C,0)),""))</f>
        <v/>
      </c>
      <c r="F1089" s="94" t="n"/>
      <c r="G1089" s="120">
        <f t="array" ref="G1089:G1089">IF(OR(D1089="",F1089=""),"",IFERROR(IF(AND(OR(INDEX('1.職能辭典'!$J:$J,MATCH(F1089,'1.職能辭典'!$C:$C,0))="全部",INDEX('3.員工名單'!$H:$H,MATCH(A1089,'3.員工名單'!$A:$A,0))="兩款共用",INDEX('3.員工名單'!$H:$H,MATCH(A1089,'3.員工名單'!$A:$A,0))=INDEX('1.職能辭典'!$J:$J,MATCH(F1089,'1.職能辭典'!$C:$C,0))),OR(INDEX('1.職能辭典'!$K:$K,MATCH(F1089,'1.職能辭典'!$C:$C,0))="全部",SUMPRODUCT(ISNUMBER(SEARCH({"經營","管理","財務","企劃","營運","技術","數據","美術","測試","客服"},INDEX('3.員工名單'!$I:$I,MATCH(A1089,'3.員工名單'!$A:$A,0))))*ISNUMBER(SEARCH({"經營","管理","財務","企劃","營運","技術","數據","美術","測試","客服"},INDEX('1.職能辭典'!$K:$K,MATCH(F1089,'1.職能辭典'!$C:$C,0)))))&gt;0)),INDEX('2.職務職能需求'!$B$2:$F$28,MATCH(F1089,'2.職務職能需求'!$A$2:$A$28,0),MATCH(D1089,'2.職務職能需求'!$B$1:$F$1,0)),0),""))</f>
        <v/>
      </c>
      <c r="H1089" s="94" t="n"/>
      <c r="I1089" s="94" t="n"/>
      <c r="J1089" s="120">
        <f>IF(OR(G1089="",I1089="",G1089=0),"",I1089-G1089)</f>
        <v/>
      </c>
      <c r="K1089" s="120">
        <f>IF(G1089="","",IF(G1089=0,"不適用",IF(I1089="","待評核",IF(I1089&gt;=G1089,IF(I1089&gt;G1089,"超越","達標"),"待發展"))))</f>
        <v/>
      </c>
      <c r="L1089" s="91" t="n"/>
      <c r="M1089" s="91" t="n"/>
      <c r="N1089" s="88" t="n"/>
    </row>
    <row r="1090" ht="15.75" customHeight="1" s="64">
      <c r="A1090" s="88" t="n"/>
      <c r="B1090" s="120">
        <f t="array" ref="B1090:B1090">IF(A1090="","",IFERROR(INDEX('3.員工名單'!$B:$B,MATCH(A1090,'3.員工名單'!$A:$A,0)),"查無此員工"))</f>
        <v/>
      </c>
      <c r="C1090" s="120">
        <f t="array" ref="C1090:C1090">IF(A1090="","",IFERROR(INDEX('3.員工名單'!$C:$C,MATCH(A1090,'3.員工名單'!$A:$A,0)),""))</f>
        <v/>
      </c>
      <c r="D1090" s="120">
        <f t="array" ref="D1090:D1090">IF(A1090="","",IFERROR(INDEX('3.員工名單'!$D:$D,MATCH(A1090,'3.員工名單'!$A:$A,0)),""))</f>
        <v/>
      </c>
      <c r="E1090" s="120">
        <f t="array" ref="E1090:E1090">IF(F1090="","",IFERROR(INDEX('1.職能辭典'!$A:$A,MATCH(F1090,'1.職能辭典'!$C:$C,0)),""))</f>
        <v/>
      </c>
      <c r="F1090" s="94" t="n"/>
      <c r="G1090" s="120">
        <f t="array" ref="G1090:G1090">IF(OR(D1090="",F1090=""),"",IFERROR(IF(AND(OR(INDEX('1.職能辭典'!$J:$J,MATCH(F1090,'1.職能辭典'!$C:$C,0))="全部",INDEX('3.員工名單'!$H:$H,MATCH(A1090,'3.員工名單'!$A:$A,0))="兩款共用",INDEX('3.員工名單'!$H:$H,MATCH(A1090,'3.員工名單'!$A:$A,0))=INDEX('1.職能辭典'!$J:$J,MATCH(F1090,'1.職能辭典'!$C:$C,0))),OR(INDEX('1.職能辭典'!$K:$K,MATCH(F1090,'1.職能辭典'!$C:$C,0))="全部",SUMPRODUCT(ISNUMBER(SEARCH({"經營","管理","財務","企劃","營運","技術","數據","美術","測試","客服"},INDEX('3.員工名單'!$I:$I,MATCH(A1090,'3.員工名單'!$A:$A,0))))*ISNUMBER(SEARCH({"經營","管理","財務","企劃","營運","技術","數據","美術","測試","客服"},INDEX('1.職能辭典'!$K:$K,MATCH(F1090,'1.職能辭典'!$C:$C,0)))))&gt;0)),INDEX('2.職務職能需求'!$B$2:$F$28,MATCH(F1090,'2.職務職能需求'!$A$2:$A$28,0),MATCH(D1090,'2.職務職能需求'!$B$1:$F$1,0)),0),""))</f>
        <v/>
      </c>
      <c r="H1090" s="94" t="n"/>
      <c r="I1090" s="94" t="n"/>
      <c r="J1090" s="120">
        <f>IF(OR(G1090="",I1090="",G1090=0),"",I1090-G1090)</f>
        <v/>
      </c>
      <c r="K1090" s="120">
        <f>IF(G1090="","",IF(G1090=0,"不適用",IF(I1090="","待評核",IF(I1090&gt;=G1090,IF(I1090&gt;G1090,"超越","達標"),"待發展"))))</f>
        <v/>
      </c>
      <c r="L1090" s="91" t="n"/>
      <c r="M1090" s="91" t="n"/>
      <c r="N1090" s="88" t="n"/>
    </row>
    <row r="1091" ht="15.75" customHeight="1" s="64">
      <c r="A1091" s="88" t="n"/>
      <c r="B1091" s="120">
        <f t="array" ref="B1091:B1091">IF(A1091="","",IFERROR(INDEX('3.員工名單'!$B:$B,MATCH(A1091,'3.員工名單'!$A:$A,0)),"查無此員工"))</f>
        <v/>
      </c>
      <c r="C1091" s="120">
        <f t="array" ref="C1091:C1091">IF(A1091="","",IFERROR(INDEX('3.員工名單'!$C:$C,MATCH(A1091,'3.員工名單'!$A:$A,0)),""))</f>
        <v/>
      </c>
      <c r="D1091" s="120">
        <f t="array" ref="D1091:D1091">IF(A1091="","",IFERROR(INDEX('3.員工名單'!$D:$D,MATCH(A1091,'3.員工名單'!$A:$A,0)),""))</f>
        <v/>
      </c>
      <c r="E1091" s="120">
        <f t="array" ref="E1091:E1091">IF(F1091="","",IFERROR(INDEX('1.職能辭典'!$A:$A,MATCH(F1091,'1.職能辭典'!$C:$C,0)),""))</f>
        <v/>
      </c>
      <c r="F1091" s="94" t="n"/>
      <c r="G1091" s="120">
        <f t="array" ref="G1091:G1091">IF(OR(D1091="",F1091=""),"",IFERROR(IF(AND(OR(INDEX('1.職能辭典'!$J:$J,MATCH(F1091,'1.職能辭典'!$C:$C,0))="全部",INDEX('3.員工名單'!$H:$H,MATCH(A1091,'3.員工名單'!$A:$A,0))="兩款共用",INDEX('3.員工名單'!$H:$H,MATCH(A1091,'3.員工名單'!$A:$A,0))=INDEX('1.職能辭典'!$J:$J,MATCH(F1091,'1.職能辭典'!$C:$C,0))),OR(INDEX('1.職能辭典'!$K:$K,MATCH(F1091,'1.職能辭典'!$C:$C,0))="全部",SUMPRODUCT(ISNUMBER(SEARCH({"經營","管理","財務","企劃","營運","技術","數據","美術","測試","客服"},INDEX('3.員工名單'!$I:$I,MATCH(A1091,'3.員工名單'!$A:$A,0))))*ISNUMBER(SEARCH({"經營","管理","財務","企劃","營運","技術","數據","美術","測試","客服"},INDEX('1.職能辭典'!$K:$K,MATCH(F1091,'1.職能辭典'!$C:$C,0)))))&gt;0)),INDEX('2.職務職能需求'!$B$2:$F$28,MATCH(F1091,'2.職務職能需求'!$A$2:$A$28,0),MATCH(D1091,'2.職務職能需求'!$B$1:$F$1,0)),0),""))</f>
        <v/>
      </c>
      <c r="H1091" s="94" t="n"/>
      <c r="I1091" s="94" t="n"/>
      <c r="J1091" s="120">
        <f>IF(OR(G1091="",I1091="",G1091=0),"",I1091-G1091)</f>
        <v/>
      </c>
      <c r="K1091" s="120">
        <f>IF(G1091="","",IF(G1091=0,"不適用",IF(I1091="","待評核",IF(I1091&gt;=G1091,IF(I1091&gt;G1091,"超越","達標"),"待發展"))))</f>
        <v/>
      </c>
      <c r="L1091" s="91" t="n"/>
      <c r="M1091" s="91" t="n"/>
      <c r="N1091" s="88" t="n"/>
    </row>
    <row r="1092" ht="15.75" customHeight="1" s="64">
      <c r="A1092" s="88" t="n"/>
      <c r="B1092" s="120">
        <f t="array" ref="B1092:B1092">IF(A1092="","",IFERROR(INDEX('3.員工名單'!$B:$B,MATCH(A1092,'3.員工名單'!$A:$A,0)),"查無此員工"))</f>
        <v/>
      </c>
      <c r="C1092" s="120">
        <f t="array" ref="C1092:C1092">IF(A1092="","",IFERROR(INDEX('3.員工名單'!$C:$C,MATCH(A1092,'3.員工名單'!$A:$A,0)),""))</f>
        <v/>
      </c>
      <c r="D1092" s="120">
        <f t="array" ref="D1092:D1092">IF(A1092="","",IFERROR(INDEX('3.員工名單'!$D:$D,MATCH(A1092,'3.員工名單'!$A:$A,0)),""))</f>
        <v/>
      </c>
      <c r="E1092" s="120">
        <f t="array" ref="E1092:E1092">IF(F1092="","",IFERROR(INDEX('1.職能辭典'!$A:$A,MATCH(F1092,'1.職能辭典'!$C:$C,0)),""))</f>
        <v/>
      </c>
      <c r="F1092" s="94" t="n"/>
      <c r="G1092" s="120">
        <f t="array" ref="G1092:G1092">IF(OR(D1092="",F1092=""),"",IFERROR(IF(AND(OR(INDEX('1.職能辭典'!$J:$J,MATCH(F1092,'1.職能辭典'!$C:$C,0))="全部",INDEX('3.員工名單'!$H:$H,MATCH(A1092,'3.員工名單'!$A:$A,0))="兩款共用",INDEX('3.員工名單'!$H:$H,MATCH(A1092,'3.員工名單'!$A:$A,0))=INDEX('1.職能辭典'!$J:$J,MATCH(F1092,'1.職能辭典'!$C:$C,0))),OR(INDEX('1.職能辭典'!$K:$K,MATCH(F1092,'1.職能辭典'!$C:$C,0))="全部",SUMPRODUCT(ISNUMBER(SEARCH({"經營","管理","財務","企劃","營運","技術","數據","美術","測試","客服"},INDEX('3.員工名單'!$I:$I,MATCH(A1092,'3.員工名單'!$A:$A,0))))*ISNUMBER(SEARCH({"經營","管理","財務","企劃","營運","技術","數據","美術","測試","客服"},INDEX('1.職能辭典'!$K:$K,MATCH(F1092,'1.職能辭典'!$C:$C,0)))))&gt;0)),INDEX('2.職務職能需求'!$B$2:$F$28,MATCH(F1092,'2.職務職能需求'!$A$2:$A$28,0),MATCH(D1092,'2.職務職能需求'!$B$1:$F$1,0)),0),""))</f>
        <v/>
      </c>
      <c r="H1092" s="94" t="n"/>
      <c r="I1092" s="94" t="n"/>
      <c r="J1092" s="120">
        <f>IF(OR(G1092="",I1092="",G1092=0),"",I1092-G1092)</f>
        <v/>
      </c>
      <c r="K1092" s="120">
        <f>IF(G1092="","",IF(G1092=0,"不適用",IF(I1092="","待評核",IF(I1092&gt;=G1092,IF(I1092&gt;G1092,"超越","達標"),"待發展"))))</f>
        <v/>
      </c>
      <c r="L1092" s="91" t="n"/>
      <c r="M1092" s="91" t="n"/>
      <c r="N1092" s="88" t="n"/>
    </row>
    <row r="1093" ht="15.75" customHeight="1" s="64">
      <c r="A1093" s="88" t="n"/>
      <c r="B1093" s="120">
        <f t="array" ref="B1093:B1093">IF(A1093="","",IFERROR(INDEX('3.員工名單'!$B:$B,MATCH(A1093,'3.員工名單'!$A:$A,0)),"查無此員工"))</f>
        <v/>
      </c>
      <c r="C1093" s="120">
        <f t="array" ref="C1093:C1093">IF(A1093="","",IFERROR(INDEX('3.員工名單'!$C:$C,MATCH(A1093,'3.員工名單'!$A:$A,0)),""))</f>
        <v/>
      </c>
      <c r="D1093" s="120">
        <f t="array" ref="D1093:D1093">IF(A1093="","",IFERROR(INDEX('3.員工名單'!$D:$D,MATCH(A1093,'3.員工名單'!$A:$A,0)),""))</f>
        <v/>
      </c>
      <c r="E1093" s="120">
        <f t="array" ref="E1093:E1093">IF(F1093="","",IFERROR(INDEX('1.職能辭典'!$A:$A,MATCH(F1093,'1.職能辭典'!$C:$C,0)),""))</f>
        <v/>
      </c>
      <c r="F1093" s="94" t="n"/>
      <c r="G1093" s="120">
        <f t="array" ref="G1093:G1093">IF(OR(D1093="",F1093=""),"",IFERROR(IF(AND(OR(INDEX('1.職能辭典'!$J:$J,MATCH(F1093,'1.職能辭典'!$C:$C,0))="全部",INDEX('3.員工名單'!$H:$H,MATCH(A1093,'3.員工名單'!$A:$A,0))="兩款共用",INDEX('3.員工名單'!$H:$H,MATCH(A1093,'3.員工名單'!$A:$A,0))=INDEX('1.職能辭典'!$J:$J,MATCH(F1093,'1.職能辭典'!$C:$C,0))),OR(INDEX('1.職能辭典'!$K:$K,MATCH(F1093,'1.職能辭典'!$C:$C,0))="全部",SUMPRODUCT(ISNUMBER(SEARCH({"經營","管理","財務","企劃","營運","技術","數據","美術","測試","客服"},INDEX('3.員工名單'!$I:$I,MATCH(A1093,'3.員工名單'!$A:$A,0))))*ISNUMBER(SEARCH({"經營","管理","財務","企劃","營運","技術","數據","美術","測試","客服"},INDEX('1.職能辭典'!$K:$K,MATCH(F1093,'1.職能辭典'!$C:$C,0)))))&gt;0)),INDEX('2.職務職能需求'!$B$2:$F$28,MATCH(F1093,'2.職務職能需求'!$A$2:$A$28,0),MATCH(D1093,'2.職務職能需求'!$B$1:$F$1,0)),0),""))</f>
        <v/>
      </c>
      <c r="H1093" s="94" t="n"/>
      <c r="I1093" s="94" t="n"/>
      <c r="J1093" s="120">
        <f>IF(OR(G1093="",I1093="",G1093=0),"",I1093-G1093)</f>
        <v/>
      </c>
      <c r="K1093" s="120">
        <f>IF(G1093="","",IF(G1093=0,"不適用",IF(I1093="","待評核",IF(I1093&gt;=G1093,IF(I1093&gt;G1093,"超越","達標"),"待發展"))))</f>
        <v/>
      </c>
      <c r="L1093" s="91" t="n"/>
      <c r="M1093" s="91" t="n"/>
      <c r="N1093" s="88" t="n"/>
    </row>
    <row r="1094" ht="15.75" customHeight="1" s="64">
      <c r="A1094" s="88" t="n"/>
      <c r="B1094" s="120">
        <f t="array" ref="B1094:B1094">IF(A1094="","",IFERROR(INDEX('3.員工名單'!$B:$B,MATCH(A1094,'3.員工名單'!$A:$A,0)),"查無此員工"))</f>
        <v/>
      </c>
      <c r="C1094" s="120">
        <f t="array" ref="C1094:C1094">IF(A1094="","",IFERROR(INDEX('3.員工名單'!$C:$C,MATCH(A1094,'3.員工名單'!$A:$A,0)),""))</f>
        <v/>
      </c>
      <c r="D1094" s="120">
        <f t="array" ref="D1094:D1094">IF(A1094="","",IFERROR(INDEX('3.員工名單'!$D:$D,MATCH(A1094,'3.員工名單'!$A:$A,0)),""))</f>
        <v/>
      </c>
      <c r="E1094" s="120">
        <f t="array" ref="E1094:E1094">IF(F1094="","",IFERROR(INDEX('1.職能辭典'!$A:$A,MATCH(F1094,'1.職能辭典'!$C:$C,0)),""))</f>
        <v/>
      </c>
      <c r="F1094" s="94" t="n"/>
      <c r="G1094" s="120">
        <f t="array" ref="G1094:G1094">IF(OR(D1094="",F1094=""),"",IFERROR(IF(AND(OR(INDEX('1.職能辭典'!$J:$J,MATCH(F1094,'1.職能辭典'!$C:$C,0))="全部",INDEX('3.員工名單'!$H:$H,MATCH(A1094,'3.員工名單'!$A:$A,0))="兩款共用",INDEX('3.員工名單'!$H:$H,MATCH(A1094,'3.員工名單'!$A:$A,0))=INDEX('1.職能辭典'!$J:$J,MATCH(F1094,'1.職能辭典'!$C:$C,0))),OR(INDEX('1.職能辭典'!$K:$K,MATCH(F1094,'1.職能辭典'!$C:$C,0))="全部",SUMPRODUCT(ISNUMBER(SEARCH({"經營","管理","財務","企劃","營運","技術","數據","美術","測試","客服"},INDEX('3.員工名單'!$I:$I,MATCH(A1094,'3.員工名單'!$A:$A,0))))*ISNUMBER(SEARCH({"經營","管理","財務","企劃","營運","技術","數據","美術","測試","客服"},INDEX('1.職能辭典'!$K:$K,MATCH(F1094,'1.職能辭典'!$C:$C,0)))))&gt;0)),INDEX('2.職務職能需求'!$B$2:$F$28,MATCH(F1094,'2.職務職能需求'!$A$2:$A$28,0),MATCH(D1094,'2.職務職能需求'!$B$1:$F$1,0)),0),""))</f>
        <v/>
      </c>
      <c r="H1094" s="94" t="n"/>
      <c r="I1094" s="94" t="n"/>
      <c r="J1094" s="120">
        <f>IF(OR(G1094="",I1094="",G1094=0),"",I1094-G1094)</f>
        <v/>
      </c>
      <c r="K1094" s="120">
        <f>IF(G1094="","",IF(G1094=0,"不適用",IF(I1094="","待評核",IF(I1094&gt;=G1094,IF(I1094&gt;G1094,"超越","達標"),"待發展"))))</f>
        <v/>
      </c>
      <c r="L1094" s="91" t="n"/>
      <c r="M1094" s="91" t="n"/>
      <c r="N1094" s="88" t="n"/>
    </row>
    <row r="1095" ht="15.75" customHeight="1" s="64">
      <c r="A1095" s="88" t="n"/>
      <c r="B1095" s="120">
        <f t="array" ref="B1095:B1095">IF(A1095="","",IFERROR(INDEX('3.員工名單'!$B:$B,MATCH(A1095,'3.員工名單'!$A:$A,0)),"查無此員工"))</f>
        <v/>
      </c>
      <c r="C1095" s="120">
        <f t="array" ref="C1095:C1095">IF(A1095="","",IFERROR(INDEX('3.員工名單'!$C:$C,MATCH(A1095,'3.員工名單'!$A:$A,0)),""))</f>
        <v/>
      </c>
      <c r="D1095" s="120">
        <f t="array" ref="D1095:D1095">IF(A1095="","",IFERROR(INDEX('3.員工名單'!$D:$D,MATCH(A1095,'3.員工名單'!$A:$A,0)),""))</f>
        <v/>
      </c>
      <c r="E1095" s="120">
        <f t="array" ref="E1095:E1095">IF(F1095="","",IFERROR(INDEX('1.職能辭典'!$A:$A,MATCH(F1095,'1.職能辭典'!$C:$C,0)),""))</f>
        <v/>
      </c>
      <c r="F1095" s="94" t="n"/>
      <c r="G1095" s="120">
        <f t="array" ref="G1095:G1095">IF(OR(D1095="",F1095=""),"",IFERROR(IF(AND(OR(INDEX('1.職能辭典'!$J:$J,MATCH(F1095,'1.職能辭典'!$C:$C,0))="全部",INDEX('3.員工名單'!$H:$H,MATCH(A1095,'3.員工名單'!$A:$A,0))="兩款共用",INDEX('3.員工名單'!$H:$H,MATCH(A1095,'3.員工名單'!$A:$A,0))=INDEX('1.職能辭典'!$J:$J,MATCH(F1095,'1.職能辭典'!$C:$C,0))),OR(INDEX('1.職能辭典'!$K:$K,MATCH(F1095,'1.職能辭典'!$C:$C,0))="全部",SUMPRODUCT(ISNUMBER(SEARCH({"經營","管理","財務","企劃","營運","技術","數據","美術","測試","客服"},INDEX('3.員工名單'!$I:$I,MATCH(A1095,'3.員工名單'!$A:$A,0))))*ISNUMBER(SEARCH({"經營","管理","財務","企劃","營運","技術","數據","美術","測試","客服"},INDEX('1.職能辭典'!$K:$K,MATCH(F1095,'1.職能辭典'!$C:$C,0)))))&gt;0)),INDEX('2.職務職能需求'!$B$2:$F$28,MATCH(F1095,'2.職務職能需求'!$A$2:$A$28,0),MATCH(D1095,'2.職務職能需求'!$B$1:$F$1,0)),0),""))</f>
        <v/>
      </c>
      <c r="H1095" s="94" t="n"/>
      <c r="I1095" s="94" t="n"/>
      <c r="J1095" s="120">
        <f>IF(OR(G1095="",I1095="",G1095=0),"",I1095-G1095)</f>
        <v/>
      </c>
      <c r="K1095" s="120">
        <f>IF(G1095="","",IF(G1095=0,"不適用",IF(I1095="","待評核",IF(I1095&gt;=G1095,IF(I1095&gt;G1095,"超越","達標"),"待發展"))))</f>
        <v/>
      </c>
      <c r="L1095" s="91" t="n"/>
      <c r="M1095" s="91" t="n"/>
      <c r="N1095" s="88" t="n"/>
    </row>
    <row r="1096" ht="15.75" customHeight="1" s="64">
      <c r="A1096" s="88" t="n"/>
      <c r="B1096" s="120">
        <f t="array" ref="B1096:B1096">IF(A1096="","",IFERROR(INDEX('3.員工名單'!$B:$B,MATCH(A1096,'3.員工名單'!$A:$A,0)),"查無此員工"))</f>
        <v/>
      </c>
      <c r="C1096" s="120">
        <f t="array" ref="C1096:C1096">IF(A1096="","",IFERROR(INDEX('3.員工名單'!$C:$C,MATCH(A1096,'3.員工名單'!$A:$A,0)),""))</f>
        <v/>
      </c>
      <c r="D1096" s="120">
        <f t="array" ref="D1096:D1096">IF(A1096="","",IFERROR(INDEX('3.員工名單'!$D:$D,MATCH(A1096,'3.員工名單'!$A:$A,0)),""))</f>
        <v/>
      </c>
      <c r="E1096" s="120">
        <f t="array" ref="E1096:E1096">IF(F1096="","",IFERROR(INDEX('1.職能辭典'!$A:$A,MATCH(F1096,'1.職能辭典'!$C:$C,0)),""))</f>
        <v/>
      </c>
      <c r="F1096" s="94" t="n"/>
      <c r="G1096" s="120">
        <f t="array" ref="G1096:G1096">IF(OR(D1096="",F1096=""),"",IFERROR(IF(AND(OR(INDEX('1.職能辭典'!$J:$J,MATCH(F1096,'1.職能辭典'!$C:$C,0))="全部",INDEX('3.員工名單'!$H:$H,MATCH(A1096,'3.員工名單'!$A:$A,0))="兩款共用",INDEX('3.員工名單'!$H:$H,MATCH(A1096,'3.員工名單'!$A:$A,0))=INDEX('1.職能辭典'!$J:$J,MATCH(F1096,'1.職能辭典'!$C:$C,0))),OR(INDEX('1.職能辭典'!$K:$K,MATCH(F1096,'1.職能辭典'!$C:$C,0))="全部",SUMPRODUCT(ISNUMBER(SEARCH({"經營","管理","財務","企劃","營運","技術","數據","美術","測試","客服"},INDEX('3.員工名單'!$I:$I,MATCH(A1096,'3.員工名單'!$A:$A,0))))*ISNUMBER(SEARCH({"經營","管理","財務","企劃","營運","技術","數據","美術","測試","客服"},INDEX('1.職能辭典'!$K:$K,MATCH(F1096,'1.職能辭典'!$C:$C,0)))))&gt;0)),INDEX('2.職務職能需求'!$B$2:$F$28,MATCH(F1096,'2.職務職能需求'!$A$2:$A$28,0),MATCH(D1096,'2.職務職能需求'!$B$1:$F$1,0)),0),""))</f>
        <v/>
      </c>
      <c r="H1096" s="94" t="n"/>
      <c r="I1096" s="94" t="n"/>
      <c r="J1096" s="120">
        <f>IF(OR(G1096="",I1096="",G1096=0),"",I1096-G1096)</f>
        <v/>
      </c>
      <c r="K1096" s="120">
        <f>IF(G1096="","",IF(G1096=0,"不適用",IF(I1096="","待評核",IF(I1096&gt;=G1096,IF(I1096&gt;G1096,"超越","達標"),"待發展"))))</f>
        <v/>
      </c>
      <c r="L1096" s="91" t="n"/>
      <c r="M1096" s="91" t="n"/>
      <c r="N1096" s="88" t="n"/>
    </row>
    <row r="1097" ht="15.75" customHeight="1" s="64">
      <c r="A1097" s="88" t="n"/>
      <c r="B1097" s="120">
        <f t="array" ref="B1097:B1097">IF(A1097="","",IFERROR(INDEX('3.員工名單'!$B:$B,MATCH(A1097,'3.員工名單'!$A:$A,0)),"查無此員工"))</f>
        <v/>
      </c>
      <c r="C1097" s="120">
        <f t="array" ref="C1097:C1097">IF(A1097="","",IFERROR(INDEX('3.員工名單'!$C:$C,MATCH(A1097,'3.員工名單'!$A:$A,0)),""))</f>
        <v/>
      </c>
      <c r="D1097" s="120">
        <f t="array" ref="D1097:D1097">IF(A1097="","",IFERROR(INDEX('3.員工名單'!$D:$D,MATCH(A1097,'3.員工名單'!$A:$A,0)),""))</f>
        <v/>
      </c>
      <c r="E1097" s="120">
        <f t="array" ref="E1097:E1097">IF(F1097="","",IFERROR(INDEX('1.職能辭典'!$A:$A,MATCH(F1097,'1.職能辭典'!$C:$C,0)),""))</f>
        <v/>
      </c>
      <c r="F1097" s="94" t="n"/>
      <c r="G1097" s="120">
        <f t="array" ref="G1097:G1097">IF(OR(D1097="",F1097=""),"",IFERROR(IF(AND(OR(INDEX('1.職能辭典'!$J:$J,MATCH(F1097,'1.職能辭典'!$C:$C,0))="全部",INDEX('3.員工名單'!$H:$H,MATCH(A1097,'3.員工名單'!$A:$A,0))="兩款共用",INDEX('3.員工名單'!$H:$H,MATCH(A1097,'3.員工名單'!$A:$A,0))=INDEX('1.職能辭典'!$J:$J,MATCH(F1097,'1.職能辭典'!$C:$C,0))),OR(INDEX('1.職能辭典'!$K:$K,MATCH(F1097,'1.職能辭典'!$C:$C,0))="全部",SUMPRODUCT(ISNUMBER(SEARCH({"經營","管理","財務","企劃","營運","技術","數據","美術","測試","客服"},INDEX('3.員工名單'!$I:$I,MATCH(A1097,'3.員工名單'!$A:$A,0))))*ISNUMBER(SEARCH({"經營","管理","財務","企劃","營運","技術","數據","美術","測試","客服"},INDEX('1.職能辭典'!$K:$K,MATCH(F1097,'1.職能辭典'!$C:$C,0)))))&gt;0)),INDEX('2.職務職能需求'!$B$2:$F$28,MATCH(F1097,'2.職務職能需求'!$A$2:$A$28,0),MATCH(D1097,'2.職務職能需求'!$B$1:$F$1,0)),0),""))</f>
        <v/>
      </c>
      <c r="H1097" s="94" t="n"/>
      <c r="I1097" s="94" t="n"/>
      <c r="J1097" s="120">
        <f>IF(OR(G1097="",I1097="",G1097=0),"",I1097-G1097)</f>
        <v/>
      </c>
      <c r="K1097" s="120">
        <f>IF(G1097="","",IF(G1097=0,"不適用",IF(I1097="","待評核",IF(I1097&gt;=G1097,IF(I1097&gt;G1097,"超越","達標"),"待發展"))))</f>
        <v/>
      </c>
      <c r="L1097" s="91" t="n"/>
      <c r="M1097" s="91" t="n"/>
      <c r="N1097" s="88" t="n"/>
    </row>
    <row r="1098" ht="15.75" customHeight="1" s="64">
      <c r="A1098" s="88" t="n"/>
      <c r="B1098" s="120">
        <f t="array" ref="B1098:B1098">IF(A1098="","",IFERROR(INDEX('3.員工名單'!$B:$B,MATCH(A1098,'3.員工名單'!$A:$A,0)),"查無此員工"))</f>
        <v/>
      </c>
      <c r="C1098" s="120">
        <f t="array" ref="C1098:C1098">IF(A1098="","",IFERROR(INDEX('3.員工名單'!$C:$C,MATCH(A1098,'3.員工名單'!$A:$A,0)),""))</f>
        <v/>
      </c>
      <c r="D1098" s="120">
        <f t="array" ref="D1098:D1098">IF(A1098="","",IFERROR(INDEX('3.員工名單'!$D:$D,MATCH(A1098,'3.員工名單'!$A:$A,0)),""))</f>
        <v/>
      </c>
      <c r="E1098" s="120">
        <f t="array" ref="E1098:E1098">IF(F1098="","",IFERROR(INDEX('1.職能辭典'!$A:$A,MATCH(F1098,'1.職能辭典'!$C:$C,0)),""))</f>
        <v/>
      </c>
      <c r="F1098" s="94" t="n"/>
      <c r="G1098" s="120">
        <f t="array" ref="G1098:G1098">IF(OR(D1098="",F1098=""),"",IFERROR(IF(AND(OR(INDEX('1.職能辭典'!$J:$J,MATCH(F1098,'1.職能辭典'!$C:$C,0))="全部",INDEX('3.員工名單'!$H:$H,MATCH(A1098,'3.員工名單'!$A:$A,0))="兩款共用",INDEX('3.員工名單'!$H:$H,MATCH(A1098,'3.員工名單'!$A:$A,0))=INDEX('1.職能辭典'!$J:$J,MATCH(F1098,'1.職能辭典'!$C:$C,0))),OR(INDEX('1.職能辭典'!$K:$K,MATCH(F1098,'1.職能辭典'!$C:$C,0))="全部",SUMPRODUCT(ISNUMBER(SEARCH({"經營","管理","財務","企劃","營運","技術","數據","美術","測試","客服"},INDEX('3.員工名單'!$I:$I,MATCH(A1098,'3.員工名單'!$A:$A,0))))*ISNUMBER(SEARCH({"經營","管理","財務","企劃","營運","技術","數據","美術","測試","客服"},INDEX('1.職能辭典'!$K:$K,MATCH(F1098,'1.職能辭典'!$C:$C,0)))))&gt;0)),INDEX('2.職務職能需求'!$B$2:$F$28,MATCH(F1098,'2.職務職能需求'!$A$2:$A$28,0),MATCH(D1098,'2.職務職能需求'!$B$1:$F$1,0)),0),""))</f>
        <v/>
      </c>
      <c r="H1098" s="94" t="n"/>
      <c r="I1098" s="94" t="n"/>
      <c r="J1098" s="120">
        <f>IF(OR(G1098="",I1098="",G1098=0),"",I1098-G1098)</f>
        <v/>
      </c>
      <c r="K1098" s="120">
        <f>IF(G1098="","",IF(G1098=0,"不適用",IF(I1098="","待評核",IF(I1098&gt;=G1098,IF(I1098&gt;G1098,"超越","達標"),"待發展"))))</f>
        <v/>
      </c>
      <c r="L1098" s="91" t="n"/>
      <c r="M1098" s="91" t="n"/>
      <c r="N1098" s="88" t="n"/>
    </row>
    <row r="1099" ht="15.75" customHeight="1" s="64">
      <c r="A1099" s="88" t="n"/>
      <c r="B1099" s="120">
        <f t="array" ref="B1099:B1099">IF(A1099="","",IFERROR(INDEX('3.員工名單'!$B:$B,MATCH(A1099,'3.員工名單'!$A:$A,0)),"查無此員工"))</f>
        <v/>
      </c>
      <c r="C1099" s="120">
        <f t="array" ref="C1099:C1099">IF(A1099="","",IFERROR(INDEX('3.員工名單'!$C:$C,MATCH(A1099,'3.員工名單'!$A:$A,0)),""))</f>
        <v/>
      </c>
      <c r="D1099" s="120">
        <f t="array" ref="D1099:D1099">IF(A1099="","",IFERROR(INDEX('3.員工名單'!$D:$D,MATCH(A1099,'3.員工名單'!$A:$A,0)),""))</f>
        <v/>
      </c>
      <c r="E1099" s="120">
        <f t="array" ref="E1099:E1099">IF(F1099="","",IFERROR(INDEX('1.職能辭典'!$A:$A,MATCH(F1099,'1.職能辭典'!$C:$C,0)),""))</f>
        <v/>
      </c>
      <c r="F1099" s="94" t="n"/>
      <c r="G1099" s="120">
        <f t="array" ref="G1099:G1099">IF(OR(D1099="",F1099=""),"",IFERROR(IF(AND(OR(INDEX('1.職能辭典'!$J:$J,MATCH(F1099,'1.職能辭典'!$C:$C,0))="全部",INDEX('3.員工名單'!$H:$H,MATCH(A1099,'3.員工名單'!$A:$A,0))="兩款共用",INDEX('3.員工名單'!$H:$H,MATCH(A1099,'3.員工名單'!$A:$A,0))=INDEX('1.職能辭典'!$J:$J,MATCH(F1099,'1.職能辭典'!$C:$C,0))),OR(INDEX('1.職能辭典'!$K:$K,MATCH(F1099,'1.職能辭典'!$C:$C,0))="全部",SUMPRODUCT(ISNUMBER(SEARCH({"經營","管理","財務","企劃","營運","技術","數據","美術","測試","客服"},INDEX('3.員工名單'!$I:$I,MATCH(A1099,'3.員工名單'!$A:$A,0))))*ISNUMBER(SEARCH({"經營","管理","財務","企劃","營運","技術","數據","美術","測試","客服"},INDEX('1.職能辭典'!$K:$K,MATCH(F1099,'1.職能辭典'!$C:$C,0)))))&gt;0)),INDEX('2.職務職能需求'!$B$2:$F$28,MATCH(F1099,'2.職務職能需求'!$A$2:$A$28,0),MATCH(D1099,'2.職務職能需求'!$B$1:$F$1,0)),0),""))</f>
        <v/>
      </c>
      <c r="H1099" s="94" t="n"/>
      <c r="I1099" s="94" t="n"/>
      <c r="J1099" s="120">
        <f>IF(OR(G1099="",I1099="",G1099=0),"",I1099-G1099)</f>
        <v/>
      </c>
      <c r="K1099" s="120">
        <f>IF(G1099="","",IF(G1099=0,"不適用",IF(I1099="","待評核",IF(I1099&gt;=G1099,IF(I1099&gt;G1099,"超越","達標"),"待發展"))))</f>
        <v/>
      </c>
      <c r="L1099" s="91" t="n"/>
      <c r="M1099" s="91" t="n"/>
      <c r="N1099" s="88" t="n"/>
    </row>
    <row r="1100" ht="15.75" customHeight="1" s="64">
      <c r="A1100" s="88" t="n"/>
      <c r="B1100" s="120">
        <f t="array" ref="B1100:B1100">IF(A1100="","",IFERROR(INDEX('3.員工名單'!$B:$B,MATCH(A1100,'3.員工名單'!$A:$A,0)),"查無此員工"))</f>
        <v/>
      </c>
      <c r="C1100" s="120">
        <f t="array" ref="C1100:C1100">IF(A1100="","",IFERROR(INDEX('3.員工名單'!$C:$C,MATCH(A1100,'3.員工名單'!$A:$A,0)),""))</f>
        <v/>
      </c>
      <c r="D1100" s="120">
        <f t="array" ref="D1100:D1100">IF(A1100="","",IFERROR(INDEX('3.員工名單'!$D:$D,MATCH(A1100,'3.員工名單'!$A:$A,0)),""))</f>
        <v/>
      </c>
      <c r="E1100" s="120">
        <f t="array" ref="E1100:E1100">IF(F1100="","",IFERROR(INDEX('1.職能辭典'!$A:$A,MATCH(F1100,'1.職能辭典'!$C:$C,0)),""))</f>
        <v/>
      </c>
      <c r="F1100" s="94" t="n"/>
      <c r="G1100" s="120">
        <f t="array" ref="G1100:G1100">IF(OR(D1100="",F1100=""),"",IFERROR(IF(AND(OR(INDEX('1.職能辭典'!$J:$J,MATCH(F1100,'1.職能辭典'!$C:$C,0))="全部",INDEX('3.員工名單'!$H:$H,MATCH(A1100,'3.員工名單'!$A:$A,0))="兩款共用",INDEX('3.員工名單'!$H:$H,MATCH(A1100,'3.員工名單'!$A:$A,0))=INDEX('1.職能辭典'!$J:$J,MATCH(F1100,'1.職能辭典'!$C:$C,0))),OR(INDEX('1.職能辭典'!$K:$K,MATCH(F1100,'1.職能辭典'!$C:$C,0))="全部",SUMPRODUCT(ISNUMBER(SEARCH({"經營","管理","財務","企劃","營運","技術","數據","美術","測試","客服"},INDEX('3.員工名單'!$I:$I,MATCH(A1100,'3.員工名單'!$A:$A,0))))*ISNUMBER(SEARCH({"經營","管理","財務","企劃","營運","技術","數據","美術","測試","客服"},INDEX('1.職能辭典'!$K:$K,MATCH(F1100,'1.職能辭典'!$C:$C,0)))))&gt;0)),INDEX('2.職務職能需求'!$B$2:$F$28,MATCH(F1100,'2.職務職能需求'!$A$2:$A$28,0),MATCH(D1100,'2.職務職能需求'!$B$1:$F$1,0)),0),""))</f>
        <v/>
      </c>
      <c r="H1100" s="94" t="n"/>
      <c r="I1100" s="94" t="n"/>
      <c r="J1100" s="120">
        <f>IF(OR(G1100="",I1100="",G1100=0),"",I1100-G1100)</f>
        <v/>
      </c>
      <c r="K1100" s="120">
        <f>IF(G1100="","",IF(G1100=0,"不適用",IF(I1100="","待評核",IF(I1100&gt;=G1100,IF(I1100&gt;G1100,"超越","達標"),"待發展"))))</f>
        <v/>
      </c>
      <c r="L1100" s="91" t="n"/>
      <c r="M1100" s="91" t="n"/>
      <c r="N1100" s="88" t="n"/>
    </row>
    <row r="1101" ht="15.75" customHeight="1" s="64">
      <c r="A1101" s="88" t="n"/>
      <c r="B1101" s="120">
        <f t="array" ref="B1101:B1101">IF(A1101="","",IFERROR(INDEX('3.員工名單'!$B:$B,MATCH(A1101,'3.員工名單'!$A:$A,0)),"查無此員工"))</f>
        <v/>
      </c>
      <c r="C1101" s="120">
        <f t="array" ref="C1101:C1101">IF(A1101="","",IFERROR(INDEX('3.員工名單'!$C:$C,MATCH(A1101,'3.員工名單'!$A:$A,0)),""))</f>
        <v/>
      </c>
      <c r="D1101" s="120">
        <f t="array" ref="D1101:D1101">IF(A1101="","",IFERROR(INDEX('3.員工名單'!$D:$D,MATCH(A1101,'3.員工名單'!$A:$A,0)),""))</f>
        <v/>
      </c>
      <c r="E1101" s="120">
        <f t="array" ref="E1101:E1101">IF(F1101="","",IFERROR(INDEX('1.職能辭典'!$A:$A,MATCH(F1101,'1.職能辭典'!$C:$C,0)),""))</f>
        <v/>
      </c>
      <c r="F1101" s="94" t="n"/>
      <c r="G1101" s="120">
        <f t="array" ref="G1101:G1101">IF(OR(D1101="",F1101=""),"",IFERROR(IF(AND(OR(INDEX('1.職能辭典'!$J:$J,MATCH(F1101,'1.職能辭典'!$C:$C,0))="全部",INDEX('3.員工名單'!$H:$H,MATCH(A1101,'3.員工名單'!$A:$A,0))="兩款共用",INDEX('3.員工名單'!$H:$H,MATCH(A1101,'3.員工名單'!$A:$A,0))=INDEX('1.職能辭典'!$J:$J,MATCH(F1101,'1.職能辭典'!$C:$C,0))),OR(INDEX('1.職能辭典'!$K:$K,MATCH(F1101,'1.職能辭典'!$C:$C,0))="全部",SUMPRODUCT(ISNUMBER(SEARCH({"經營","管理","財務","企劃","營運","技術","數據","美術","測試","客服"},INDEX('3.員工名單'!$I:$I,MATCH(A1101,'3.員工名單'!$A:$A,0))))*ISNUMBER(SEARCH({"經營","管理","財務","企劃","營運","技術","數據","美術","測試","客服"},INDEX('1.職能辭典'!$K:$K,MATCH(F1101,'1.職能辭典'!$C:$C,0)))))&gt;0)),INDEX('2.職務職能需求'!$B$2:$F$28,MATCH(F1101,'2.職務職能需求'!$A$2:$A$28,0),MATCH(D1101,'2.職務職能需求'!$B$1:$F$1,0)),0),""))</f>
        <v/>
      </c>
      <c r="H1101" s="94" t="n"/>
      <c r="I1101" s="94" t="n"/>
      <c r="J1101" s="120">
        <f>IF(OR(G1101="",I1101="",G1101=0),"",I1101-G1101)</f>
        <v/>
      </c>
      <c r="K1101" s="120">
        <f>IF(G1101="","",IF(G1101=0,"不適用",IF(I1101="","待評核",IF(I1101&gt;=G1101,IF(I1101&gt;G1101,"超越","達標"),"待發展"))))</f>
        <v/>
      </c>
      <c r="L1101" s="91" t="n"/>
      <c r="M1101" s="91" t="n"/>
      <c r="N1101" s="88" t="n"/>
    </row>
    <row r="1102" ht="15.75" customHeight="1" s="64">
      <c r="A1102" s="88" t="n"/>
      <c r="B1102" s="120">
        <f t="array" ref="B1102:B1102">IF(A1102="","",IFERROR(INDEX('3.員工名單'!$B:$B,MATCH(A1102,'3.員工名單'!$A:$A,0)),"查無此員工"))</f>
        <v/>
      </c>
      <c r="C1102" s="120">
        <f t="array" ref="C1102:C1102">IF(A1102="","",IFERROR(INDEX('3.員工名單'!$C:$C,MATCH(A1102,'3.員工名單'!$A:$A,0)),""))</f>
        <v/>
      </c>
      <c r="D1102" s="120">
        <f t="array" ref="D1102:D1102">IF(A1102="","",IFERROR(INDEX('3.員工名單'!$D:$D,MATCH(A1102,'3.員工名單'!$A:$A,0)),""))</f>
        <v/>
      </c>
      <c r="E1102" s="120">
        <f t="array" ref="E1102:E1102">IF(F1102="","",IFERROR(INDEX('1.職能辭典'!$A:$A,MATCH(F1102,'1.職能辭典'!$C:$C,0)),""))</f>
        <v/>
      </c>
      <c r="F1102" s="94" t="n"/>
      <c r="G1102" s="120">
        <f t="array" ref="G1102:G1102">IF(OR(D1102="",F1102=""),"",IFERROR(IF(AND(OR(INDEX('1.職能辭典'!$J:$J,MATCH(F1102,'1.職能辭典'!$C:$C,0))="全部",INDEX('3.員工名單'!$H:$H,MATCH(A1102,'3.員工名單'!$A:$A,0))="兩款共用",INDEX('3.員工名單'!$H:$H,MATCH(A1102,'3.員工名單'!$A:$A,0))=INDEX('1.職能辭典'!$J:$J,MATCH(F1102,'1.職能辭典'!$C:$C,0))),OR(INDEX('1.職能辭典'!$K:$K,MATCH(F1102,'1.職能辭典'!$C:$C,0))="全部",SUMPRODUCT(ISNUMBER(SEARCH({"經營","管理","財務","企劃","營運","技術","數據","美術","測試","客服"},INDEX('3.員工名單'!$I:$I,MATCH(A1102,'3.員工名單'!$A:$A,0))))*ISNUMBER(SEARCH({"經營","管理","財務","企劃","營運","技術","數據","美術","測試","客服"},INDEX('1.職能辭典'!$K:$K,MATCH(F1102,'1.職能辭典'!$C:$C,0)))))&gt;0)),INDEX('2.職務職能需求'!$B$2:$F$28,MATCH(F1102,'2.職務職能需求'!$A$2:$A$28,0),MATCH(D1102,'2.職務職能需求'!$B$1:$F$1,0)),0),""))</f>
        <v/>
      </c>
      <c r="H1102" s="94" t="n"/>
      <c r="I1102" s="94" t="n"/>
      <c r="J1102" s="120">
        <f>IF(OR(G1102="",I1102="",G1102=0),"",I1102-G1102)</f>
        <v/>
      </c>
      <c r="K1102" s="120">
        <f>IF(G1102="","",IF(G1102=0,"不適用",IF(I1102="","待評核",IF(I1102&gt;=G1102,IF(I1102&gt;G1102,"超越","達標"),"待發展"))))</f>
        <v/>
      </c>
      <c r="L1102" s="91" t="n"/>
      <c r="M1102" s="91" t="n"/>
      <c r="N1102" s="88" t="n"/>
    </row>
    <row r="1103" ht="15.75" customHeight="1" s="64">
      <c r="A1103" s="88" t="n"/>
      <c r="B1103" s="120">
        <f t="array" ref="B1103:B1103">IF(A1103="","",IFERROR(INDEX('3.員工名單'!$B:$B,MATCH(A1103,'3.員工名單'!$A:$A,0)),"查無此員工"))</f>
        <v/>
      </c>
      <c r="C1103" s="120">
        <f t="array" ref="C1103:C1103">IF(A1103="","",IFERROR(INDEX('3.員工名單'!$C:$C,MATCH(A1103,'3.員工名單'!$A:$A,0)),""))</f>
        <v/>
      </c>
      <c r="D1103" s="120">
        <f t="array" ref="D1103:D1103">IF(A1103="","",IFERROR(INDEX('3.員工名單'!$D:$D,MATCH(A1103,'3.員工名單'!$A:$A,0)),""))</f>
        <v/>
      </c>
      <c r="E1103" s="120">
        <f t="array" ref="E1103:E1103">IF(F1103="","",IFERROR(INDEX('1.職能辭典'!$A:$A,MATCH(F1103,'1.職能辭典'!$C:$C,0)),""))</f>
        <v/>
      </c>
      <c r="F1103" s="94" t="n"/>
      <c r="G1103" s="120">
        <f t="array" ref="G1103:G1103">IF(OR(D1103="",F1103=""),"",IFERROR(IF(AND(OR(INDEX('1.職能辭典'!$J:$J,MATCH(F1103,'1.職能辭典'!$C:$C,0))="全部",INDEX('3.員工名單'!$H:$H,MATCH(A1103,'3.員工名單'!$A:$A,0))="兩款共用",INDEX('3.員工名單'!$H:$H,MATCH(A1103,'3.員工名單'!$A:$A,0))=INDEX('1.職能辭典'!$J:$J,MATCH(F1103,'1.職能辭典'!$C:$C,0))),OR(INDEX('1.職能辭典'!$K:$K,MATCH(F1103,'1.職能辭典'!$C:$C,0))="全部",SUMPRODUCT(ISNUMBER(SEARCH({"經營","管理","財務","企劃","營運","技術","數據","美術","測試","客服"},INDEX('3.員工名單'!$I:$I,MATCH(A1103,'3.員工名單'!$A:$A,0))))*ISNUMBER(SEARCH({"經營","管理","財務","企劃","營運","技術","數據","美術","測試","客服"},INDEX('1.職能辭典'!$K:$K,MATCH(F1103,'1.職能辭典'!$C:$C,0)))))&gt;0)),INDEX('2.職務職能需求'!$B$2:$F$28,MATCH(F1103,'2.職務職能需求'!$A$2:$A$28,0),MATCH(D1103,'2.職務職能需求'!$B$1:$F$1,0)),0),""))</f>
        <v/>
      </c>
      <c r="H1103" s="94" t="n"/>
      <c r="I1103" s="94" t="n"/>
      <c r="J1103" s="120">
        <f>IF(OR(G1103="",I1103="",G1103=0),"",I1103-G1103)</f>
        <v/>
      </c>
      <c r="K1103" s="120">
        <f>IF(G1103="","",IF(G1103=0,"不適用",IF(I1103="","待評核",IF(I1103&gt;=G1103,IF(I1103&gt;G1103,"超越","達標"),"待發展"))))</f>
        <v/>
      </c>
      <c r="L1103" s="91" t="n"/>
      <c r="M1103" s="91" t="n"/>
      <c r="N1103" s="88" t="n"/>
    </row>
    <row r="1104" ht="15.75" customHeight="1" s="64">
      <c r="A1104" s="88" t="n"/>
      <c r="B1104" s="120">
        <f t="array" ref="B1104:B1104">IF(A1104="","",IFERROR(INDEX('3.員工名單'!$B:$B,MATCH(A1104,'3.員工名單'!$A:$A,0)),"查無此員工"))</f>
        <v/>
      </c>
      <c r="C1104" s="120">
        <f t="array" ref="C1104:C1104">IF(A1104="","",IFERROR(INDEX('3.員工名單'!$C:$C,MATCH(A1104,'3.員工名單'!$A:$A,0)),""))</f>
        <v/>
      </c>
      <c r="D1104" s="120">
        <f t="array" ref="D1104:D1104">IF(A1104="","",IFERROR(INDEX('3.員工名單'!$D:$D,MATCH(A1104,'3.員工名單'!$A:$A,0)),""))</f>
        <v/>
      </c>
      <c r="E1104" s="120">
        <f t="array" ref="E1104:E1104">IF(F1104="","",IFERROR(INDEX('1.職能辭典'!$A:$A,MATCH(F1104,'1.職能辭典'!$C:$C,0)),""))</f>
        <v/>
      </c>
      <c r="F1104" s="94" t="n"/>
      <c r="G1104" s="120">
        <f t="array" ref="G1104:G1104">IF(OR(D1104="",F1104=""),"",IFERROR(IF(AND(OR(INDEX('1.職能辭典'!$J:$J,MATCH(F1104,'1.職能辭典'!$C:$C,0))="全部",INDEX('3.員工名單'!$H:$H,MATCH(A1104,'3.員工名單'!$A:$A,0))="兩款共用",INDEX('3.員工名單'!$H:$H,MATCH(A1104,'3.員工名單'!$A:$A,0))=INDEX('1.職能辭典'!$J:$J,MATCH(F1104,'1.職能辭典'!$C:$C,0))),OR(INDEX('1.職能辭典'!$K:$K,MATCH(F1104,'1.職能辭典'!$C:$C,0))="全部",SUMPRODUCT(ISNUMBER(SEARCH({"經營","管理","財務","企劃","營運","技術","數據","美術","測試","客服"},INDEX('3.員工名單'!$I:$I,MATCH(A1104,'3.員工名單'!$A:$A,0))))*ISNUMBER(SEARCH({"經營","管理","財務","企劃","營運","技術","數據","美術","測試","客服"},INDEX('1.職能辭典'!$K:$K,MATCH(F1104,'1.職能辭典'!$C:$C,0)))))&gt;0)),INDEX('2.職務職能需求'!$B$2:$F$28,MATCH(F1104,'2.職務職能需求'!$A$2:$A$28,0),MATCH(D1104,'2.職務職能需求'!$B$1:$F$1,0)),0),""))</f>
        <v/>
      </c>
      <c r="H1104" s="94" t="n"/>
      <c r="I1104" s="94" t="n"/>
      <c r="J1104" s="120">
        <f>IF(OR(G1104="",I1104="",G1104=0),"",I1104-G1104)</f>
        <v/>
      </c>
      <c r="K1104" s="120">
        <f>IF(G1104="","",IF(G1104=0,"不適用",IF(I1104="","待評核",IF(I1104&gt;=G1104,IF(I1104&gt;G1104,"超越","達標"),"待發展"))))</f>
        <v/>
      </c>
      <c r="L1104" s="91" t="n"/>
      <c r="M1104" s="91" t="n"/>
      <c r="N1104" s="88" t="n"/>
    </row>
    <row r="1105" ht="15.75" customHeight="1" s="64">
      <c r="A1105" s="88" t="n"/>
      <c r="B1105" s="120">
        <f t="array" ref="B1105:B1105">IF(A1105="","",IFERROR(INDEX('3.員工名單'!$B:$B,MATCH(A1105,'3.員工名單'!$A:$A,0)),"查無此員工"))</f>
        <v/>
      </c>
      <c r="C1105" s="120">
        <f t="array" ref="C1105:C1105">IF(A1105="","",IFERROR(INDEX('3.員工名單'!$C:$C,MATCH(A1105,'3.員工名單'!$A:$A,0)),""))</f>
        <v/>
      </c>
      <c r="D1105" s="120">
        <f t="array" ref="D1105:D1105">IF(A1105="","",IFERROR(INDEX('3.員工名單'!$D:$D,MATCH(A1105,'3.員工名單'!$A:$A,0)),""))</f>
        <v/>
      </c>
      <c r="E1105" s="120">
        <f t="array" ref="E1105:E1105">IF(F1105="","",IFERROR(INDEX('1.職能辭典'!$A:$A,MATCH(F1105,'1.職能辭典'!$C:$C,0)),""))</f>
        <v/>
      </c>
      <c r="F1105" s="94" t="n"/>
      <c r="G1105" s="120">
        <f t="array" ref="G1105:G1105">IF(OR(D1105="",F1105=""),"",IFERROR(IF(AND(OR(INDEX('1.職能辭典'!$J:$J,MATCH(F1105,'1.職能辭典'!$C:$C,0))="全部",INDEX('3.員工名單'!$H:$H,MATCH(A1105,'3.員工名單'!$A:$A,0))="兩款共用",INDEX('3.員工名單'!$H:$H,MATCH(A1105,'3.員工名單'!$A:$A,0))=INDEX('1.職能辭典'!$J:$J,MATCH(F1105,'1.職能辭典'!$C:$C,0))),OR(INDEX('1.職能辭典'!$K:$K,MATCH(F1105,'1.職能辭典'!$C:$C,0))="全部",SUMPRODUCT(ISNUMBER(SEARCH({"經營","管理","財務","企劃","營運","技術","數據","美術","測試","客服"},INDEX('3.員工名單'!$I:$I,MATCH(A1105,'3.員工名單'!$A:$A,0))))*ISNUMBER(SEARCH({"經營","管理","財務","企劃","營運","技術","數據","美術","測試","客服"},INDEX('1.職能辭典'!$K:$K,MATCH(F1105,'1.職能辭典'!$C:$C,0)))))&gt;0)),INDEX('2.職務職能需求'!$B$2:$F$28,MATCH(F1105,'2.職務職能需求'!$A$2:$A$28,0),MATCH(D1105,'2.職務職能需求'!$B$1:$F$1,0)),0),""))</f>
        <v/>
      </c>
      <c r="H1105" s="94" t="n"/>
      <c r="I1105" s="94" t="n"/>
      <c r="J1105" s="120">
        <f>IF(OR(G1105="",I1105="",G1105=0),"",I1105-G1105)</f>
        <v/>
      </c>
      <c r="K1105" s="120">
        <f>IF(G1105="","",IF(G1105=0,"不適用",IF(I1105="","待評核",IF(I1105&gt;=G1105,IF(I1105&gt;G1105,"超越","達標"),"待發展"))))</f>
        <v/>
      </c>
      <c r="L1105" s="91" t="n"/>
      <c r="M1105" s="91" t="n"/>
      <c r="N1105" s="88" t="n"/>
    </row>
    <row r="1106" ht="15.75" customHeight="1" s="64">
      <c r="A1106" s="88" t="n"/>
      <c r="B1106" s="120">
        <f t="array" ref="B1106:B1106">IF(A1106="","",IFERROR(INDEX('3.員工名單'!$B:$B,MATCH(A1106,'3.員工名單'!$A:$A,0)),"查無此員工"))</f>
        <v/>
      </c>
      <c r="C1106" s="120">
        <f t="array" ref="C1106:C1106">IF(A1106="","",IFERROR(INDEX('3.員工名單'!$C:$C,MATCH(A1106,'3.員工名單'!$A:$A,0)),""))</f>
        <v/>
      </c>
      <c r="D1106" s="120">
        <f t="array" ref="D1106:D1106">IF(A1106="","",IFERROR(INDEX('3.員工名單'!$D:$D,MATCH(A1106,'3.員工名單'!$A:$A,0)),""))</f>
        <v/>
      </c>
      <c r="E1106" s="120">
        <f t="array" ref="E1106:E1106">IF(F1106="","",IFERROR(INDEX('1.職能辭典'!$A:$A,MATCH(F1106,'1.職能辭典'!$C:$C,0)),""))</f>
        <v/>
      </c>
      <c r="F1106" s="94" t="n"/>
      <c r="G1106" s="120">
        <f t="array" ref="G1106:G1106">IF(OR(D1106="",F1106=""),"",IFERROR(IF(AND(OR(INDEX('1.職能辭典'!$J:$J,MATCH(F1106,'1.職能辭典'!$C:$C,0))="全部",INDEX('3.員工名單'!$H:$H,MATCH(A1106,'3.員工名單'!$A:$A,0))="兩款共用",INDEX('3.員工名單'!$H:$H,MATCH(A1106,'3.員工名單'!$A:$A,0))=INDEX('1.職能辭典'!$J:$J,MATCH(F1106,'1.職能辭典'!$C:$C,0))),OR(INDEX('1.職能辭典'!$K:$K,MATCH(F1106,'1.職能辭典'!$C:$C,0))="全部",SUMPRODUCT(ISNUMBER(SEARCH({"經營","管理","財務","企劃","營運","技術","數據","美術","測試","客服"},INDEX('3.員工名單'!$I:$I,MATCH(A1106,'3.員工名單'!$A:$A,0))))*ISNUMBER(SEARCH({"經營","管理","財務","企劃","營運","技術","數據","美術","測試","客服"},INDEX('1.職能辭典'!$K:$K,MATCH(F1106,'1.職能辭典'!$C:$C,0)))))&gt;0)),INDEX('2.職務職能需求'!$B$2:$F$28,MATCH(F1106,'2.職務職能需求'!$A$2:$A$28,0),MATCH(D1106,'2.職務職能需求'!$B$1:$F$1,0)),0),""))</f>
        <v/>
      </c>
      <c r="H1106" s="94" t="n"/>
      <c r="I1106" s="94" t="n"/>
      <c r="J1106" s="120">
        <f>IF(OR(G1106="",I1106="",G1106=0),"",I1106-G1106)</f>
        <v/>
      </c>
      <c r="K1106" s="120">
        <f>IF(G1106="","",IF(G1106=0,"不適用",IF(I1106="","待評核",IF(I1106&gt;=G1106,IF(I1106&gt;G1106,"超越","達標"),"待發展"))))</f>
        <v/>
      </c>
      <c r="L1106" s="91" t="n"/>
      <c r="M1106" s="91" t="n"/>
      <c r="N1106" s="88" t="n"/>
    </row>
    <row r="1107" ht="15.75" customHeight="1" s="64">
      <c r="A1107" s="88" t="n"/>
      <c r="B1107" s="120">
        <f t="array" ref="B1107:B1107">IF(A1107="","",IFERROR(INDEX('3.員工名單'!$B:$B,MATCH(A1107,'3.員工名單'!$A:$A,0)),"查無此員工"))</f>
        <v/>
      </c>
      <c r="C1107" s="120">
        <f t="array" ref="C1107:C1107">IF(A1107="","",IFERROR(INDEX('3.員工名單'!$C:$C,MATCH(A1107,'3.員工名單'!$A:$A,0)),""))</f>
        <v/>
      </c>
      <c r="D1107" s="120">
        <f t="array" ref="D1107:D1107">IF(A1107="","",IFERROR(INDEX('3.員工名單'!$D:$D,MATCH(A1107,'3.員工名單'!$A:$A,0)),""))</f>
        <v/>
      </c>
      <c r="E1107" s="120">
        <f t="array" ref="E1107:E1107">IF(F1107="","",IFERROR(INDEX('1.職能辭典'!$A:$A,MATCH(F1107,'1.職能辭典'!$C:$C,0)),""))</f>
        <v/>
      </c>
      <c r="F1107" s="94" t="n"/>
      <c r="G1107" s="120">
        <f t="array" ref="G1107:G1107">IF(OR(D1107="",F1107=""),"",IFERROR(IF(AND(OR(INDEX('1.職能辭典'!$J:$J,MATCH(F1107,'1.職能辭典'!$C:$C,0))="全部",INDEX('3.員工名單'!$H:$H,MATCH(A1107,'3.員工名單'!$A:$A,0))="兩款共用",INDEX('3.員工名單'!$H:$H,MATCH(A1107,'3.員工名單'!$A:$A,0))=INDEX('1.職能辭典'!$J:$J,MATCH(F1107,'1.職能辭典'!$C:$C,0))),OR(INDEX('1.職能辭典'!$K:$K,MATCH(F1107,'1.職能辭典'!$C:$C,0))="全部",SUMPRODUCT(ISNUMBER(SEARCH({"經營","管理","財務","企劃","營運","技術","數據","美術","測試","客服"},INDEX('3.員工名單'!$I:$I,MATCH(A1107,'3.員工名單'!$A:$A,0))))*ISNUMBER(SEARCH({"經營","管理","財務","企劃","營運","技術","數據","美術","測試","客服"},INDEX('1.職能辭典'!$K:$K,MATCH(F1107,'1.職能辭典'!$C:$C,0)))))&gt;0)),INDEX('2.職務職能需求'!$B$2:$F$28,MATCH(F1107,'2.職務職能需求'!$A$2:$A$28,0),MATCH(D1107,'2.職務職能需求'!$B$1:$F$1,0)),0),""))</f>
        <v/>
      </c>
      <c r="H1107" s="94" t="n"/>
      <c r="I1107" s="94" t="n"/>
      <c r="J1107" s="120">
        <f>IF(OR(G1107="",I1107="",G1107=0),"",I1107-G1107)</f>
        <v/>
      </c>
      <c r="K1107" s="120">
        <f>IF(G1107="","",IF(G1107=0,"不適用",IF(I1107="","待評核",IF(I1107&gt;=G1107,IF(I1107&gt;G1107,"超越","達標"),"待發展"))))</f>
        <v/>
      </c>
      <c r="L1107" s="91" t="n"/>
      <c r="M1107" s="91" t="n"/>
      <c r="N1107" s="88" t="n"/>
    </row>
    <row r="1108" ht="15.75" customHeight="1" s="64">
      <c r="A1108" s="88" t="n"/>
      <c r="B1108" s="120">
        <f t="array" ref="B1108:B1108">IF(A1108="","",IFERROR(INDEX('3.員工名單'!$B:$B,MATCH(A1108,'3.員工名單'!$A:$A,0)),"查無此員工"))</f>
        <v/>
      </c>
      <c r="C1108" s="120">
        <f t="array" ref="C1108:C1108">IF(A1108="","",IFERROR(INDEX('3.員工名單'!$C:$C,MATCH(A1108,'3.員工名單'!$A:$A,0)),""))</f>
        <v/>
      </c>
      <c r="D1108" s="120">
        <f t="array" ref="D1108:D1108">IF(A1108="","",IFERROR(INDEX('3.員工名單'!$D:$D,MATCH(A1108,'3.員工名單'!$A:$A,0)),""))</f>
        <v/>
      </c>
      <c r="E1108" s="120">
        <f t="array" ref="E1108:E1108">IF(F1108="","",IFERROR(INDEX('1.職能辭典'!$A:$A,MATCH(F1108,'1.職能辭典'!$C:$C,0)),""))</f>
        <v/>
      </c>
      <c r="F1108" s="94" t="n"/>
      <c r="G1108" s="120">
        <f t="array" ref="G1108:G1108">IF(OR(D1108="",F1108=""),"",IFERROR(IF(AND(OR(INDEX('1.職能辭典'!$J:$J,MATCH(F1108,'1.職能辭典'!$C:$C,0))="全部",INDEX('3.員工名單'!$H:$H,MATCH(A1108,'3.員工名單'!$A:$A,0))="兩款共用",INDEX('3.員工名單'!$H:$H,MATCH(A1108,'3.員工名單'!$A:$A,0))=INDEX('1.職能辭典'!$J:$J,MATCH(F1108,'1.職能辭典'!$C:$C,0))),OR(INDEX('1.職能辭典'!$K:$K,MATCH(F1108,'1.職能辭典'!$C:$C,0))="全部",SUMPRODUCT(ISNUMBER(SEARCH({"經營","管理","財務","企劃","營運","技術","數據","美術","測試","客服"},INDEX('3.員工名單'!$I:$I,MATCH(A1108,'3.員工名單'!$A:$A,0))))*ISNUMBER(SEARCH({"經營","管理","財務","企劃","營運","技術","數據","美術","測試","客服"},INDEX('1.職能辭典'!$K:$K,MATCH(F1108,'1.職能辭典'!$C:$C,0)))))&gt;0)),INDEX('2.職務職能需求'!$B$2:$F$28,MATCH(F1108,'2.職務職能需求'!$A$2:$A$28,0),MATCH(D1108,'2.職務職能需求'!$B$1:$F$1,0)),0),""))</f>
        <v/>
      </c>
      <c r="H1108" s="94" t="n"/>
      <c r="I1108" s="94" t="n"/>
      <c r="J1108" s="120">
        <f>IF(OR(G1108="",I1108="",G1108=0),"",I1108-G1108)</f>
        <v/>
      </c>
      <c r="K1108" s="120">
        <f>IF(G1108="","",IF(G1108=0,"不適用",IF(I1108="","待評核",IF(I1108&gt;=G1108,IF(I1108&gt;G1108,"超越","達標"),"待發展"))))</f>
        <v/>
      </c>
      <c r="L1108" s="91" t="n"/>
      <c r="M1108" s="91" t="n"/>
      <c r="N1108" s="88" t="n"/>
    </row>
    <row r="1109" ht="15.75" customHeight="1" s="64">
      <c r="A1109" s="88" t="n"/>
      <c r="B1109" s="120">
        <f t="array" ref="B1109:B1109">IF(A1109="","",IFERROR(INDEX('3.員工名單'!$B:$B,MATCH(A1109,'3.員工名單'!$A:$A,0)),"查無此員工"))</f>
        <v/>
      </c>
      <c r="C1109" s="120">
        <f t="array" ref="C1109:C1109">IF(A1109="","",IFERROR(INDEX('3.員工名單'!$C:$C,MATCH(A1109,'3.員工名單'!$A:$A,0)),""))</f>
        <v/>
      </c>
      <c r="D1109" s="120">
        <f t="array" ref="D1109:D1109">IF(A1109="","",IFERROR(INDEX('3.員工名單'!$D:$D,MATCH(A1109,'3.員工名單'!$A:$A,0)),""))</f>
        <v/>
      </c>
      <c r="E1109" s="120">
        <f t="array" ref="E1109:E1109">IF(F1109="","",IFERROR(INDEX('1.職能辭典'!$A:$A,MATCH(F1109,'1.職能辭典'!$C:$C,0)),""))</f>
        <v/>
      </c>
      <c r="F1109" s="94" t="n"/>
      <c r="G1109" s="120">
        <f t="array" ref="G1109:G1109">IF(OR(D1109="",F1109=""),"",IFERROR(IF(AND(OR(INDEX('1.職能辭典'!$J:$J,MATCH(F1109,'1.職能辭典'!$C:$C,0))="全部",INDEX('3.員工名單'!$H:$H,MATCH(A1109,'3.員工名單'!$A:$A,0))="兩款共用",INDEX('3.員工名單'!$H:$H,MATCH(A1109,'3.員工名單'!$A:$A,0))=INDEX('1.職能辭典'!$J:$J,MATCH(F1109,'1.職能辭典'!$C:$C,0))),OR(INDEX('1.職能辭典'!$K:$K,MATCH(F1109,'1.職能辭典'!$C:$C,0))="全部",SUMPRODUCT(ISNUMBER(SEARCH({"經營","管理","財務","企劃","營運","技術","數據","美術","測試","客服"},INDEX('3.員工名單'!$I:$I,MATCH(A1109,'3.員工名單'!$A:$A,0))))*ISNUMBER(SEARCH({"經營","管理","財務","企劃","營運","技術","數據","美術","測試","客服"},INDEX('1.職能辭典'!$K:$K,MATCH(F1109,'1.職能辭典'!$C:$C,0)))))&gt;0)),INDEX('2.職務職能需求'!$B$2:$F$28,MATCH(F1109,'2.職務職能需求'!$A$2:$A$28,0),MATCH(D1109,'2.職務職能需求'!$B$1:$F$1,0)),0),""))</f>
        <v/>
      </c>
      <c r="H1109" s="94" t="n"/>
      <c r="I1109" s="94" t="n"/>
      <c r="J1109" s="120">
        <f>IF(OR(G1109="",I1109="",G1109=0),"",I1109-G1109)</f>
        <v/>
      </c>
      <c r="K1109" s="120">
        <f>IF(G1109="","",IF(G1109=0,"不適用",IF(I1109="","待評核",IF(I1109&gt;=G1109,IF(I1109&gt;G1109,"超越","達標"),"待發展"))))</f>
        <v/>
      </c>
      <c r="L1109" s="91" t="n"/>
      <c r="M1109" s="91" t="n"/>
      <c r="N1109" s="88" t="n"/>
    </row>
    <row r="1110" ht="15.75" customHeight="1" s="64">
      <c r="A1110" s="88" t="n"/>
      <c r="B1110" s="120">
        <f t="array" ref="B1110:B1110">IF(A1110="","",IFERROR(INDEX('3.員工名單'!$B:$B,MATCH(A1110,'3.員工名單'!$A:$A,0)),"查無此員工"))</f>
        <v/>
      </c>
      <c r="C1110" s="120">
        <f t="array" ref="C1110:C1110">IF(A1110="","",IFERROR(INDEX('3.員工名單'!$C:$C,MATCH(A1110,'3.員工名單'!$A:$A,0)),""))</f>
        <v/>
      </c>
      <c r="D1110" s="120">
        <f t="array" ref="D1110:D1110">IF(A1110="","",IFERROR(INDEX('3.員工名單'!$D:$D,MATCH(A1110,'3.員工名單'!$A:$A,0)),""))</f>
        <v/>
      </c>
      <c r="E1110" s="120">
        <f t="array" ref="E1110:E1110">IF(F1110="","",IFERROR(INDEX('1.職能辭典'!$A:$A,MATCH(F1110,'1.職能辭典'!$C:$C,0)),""))</f>
        <v/>
      </c>
      <c r="F1110" s="94" t="n"/>
      <c r="G1110" s="120">
        <f t="array" ref="G1110:G1110">IF(OR(D1110="",F1110=""),"",IFERROR(IF(AND(OR(INDEX('1.職能辭典'!$J:$J,MATCH(F1110,'1.職能辭典'!$C:$C,0))="全部",INDEX('3.員工名單'!$H:$H,MATCH(A1110,'3.員工名單'!$A:$A,0))="兩款共用",INDEX('3.員工名單'!$H:$H,MATCH(A1110,'3.員工名單'!$A:$A,0))=INDEX('1.職能辭典'!$J:$J,MATCH(F1110,'1.職能辭典'!$C:$C,0))),OR(INDEX('1.職能辭典'!$K:$K,MATCH(F1110,'1.職能辭典'!$C:$C,0))="全部",SUMPRODUCT(ISNUMBER(SEARCH({"經營","管理","財務","企劃","營運","技術","數據","美術","測試","客服"},INDEX('3.員工名單'!$I:$I,MATCH(A1110,'3.員工名單'!$A:$A,0))))*ISNUMBER(SEARCH({"經營","管理","財務","企劃","營運","技術","數據","美術","測試","客服"},INDEX('1.職能辭典'!$K:$K,MATCH(F1110,'1.職能辭典'!$C:$C,0)))))&gt;0)),INDEX('2.職務職能需求'!$B$2:$F$28,MATCH(F1110,'2.職務職能需求'!$A$2:$A$28,0),MATCH(D1110,'2.職務職能需求'!$B$1:$F$1,0)),0),""))</f>
        <v/>
      </c>
      <c r="H1110" s="94" t="n"/>
      <c r="I1110" s="94" t="n"/>
      <c r="J1110" s="120">
        <f>IF(OR(G1110="",I1110="",G1110=0),"",I1110-G1110)</f>
        <v/>
      </c>
      <c r="K1110" s="120">
        <f>IF(G1110="","",IF(G1110=0,"不適用",IF(I1110="","待評核",IF(I1110&gt;=G1110,IF(I1110&gt;G1110,"超越","達標"),"待發展"))))</f>
        <v/>
      </c>
      <c r="L1110" s="91" t="n"/>
      <c r="M1110" s="91" t="n"/>
      <c r="N1110" s="88" t="n"/>
    </row>
    <row r="1111" ht="15.75" customHeight="1" s="64">
      <c r="A1111" s="88" t="n"/>
      <c r="B1111" s="120">
        <f t="array" ref="B1111:B1111">IF(A1111="","",IFERROR(INDEX('3.員工名單'!$B:$B,MATCH(A1111,'3.員工名單'!$A:$A,0)),"查無此員工"))</f>
        <v/>
      </c>
      <c r="C1111" s="120">
        <f t="array" ref="C1111:C1111">IF(A1111="","",IFERROR(INDEX('3.員工名單'!$C:$C,MATCH(A1111,'3.員工名單'!$A:$A,0)),""))</f>
        <v/>
      </c>
      <c r="D1111" s="120">
        <f t="array" ref="D1111:D1111">IF(A1111="","",IFERROR(INDEX('3.員工名單'!$D:$D,MATCH(A1111,'3.員工名單'!$A:$A,0)),""))</f>
        <v/>
      </c>
      <c r="E1111" s="120">
        <f t="array" ref="E1111:E1111">IF(F1111="","",IFERROR(INDEX('1.職能辭典'!$A:$A,MATCH(F1111,'1.職能辭典'!$C:$C,0)),""))</f>
        <v/>
      </c>
      <c r="F1111" s="94" t="n"/>
      <c r="G1111" s="120">
        <f t="array" ref="G1111:G1111">IF(OR(D1111="",F1111=""),"",IFERROR(IF(AND(OR(INDEX('1.職能辭典'!$J:$J,MATCH(F1111,'1.職能辭典'!$C:$C,0))="全部",INDEX('3.員工名單'!$H:$H,MATCH(A1111,'3.員工名單'!$A:$A,0))="兩款共用",INDEX('3.員工名單'!$H:$H,MATCH(A1111,'3.員工名單'!$A:$A,0))=INDEX('1.職能辭典'!$J:$J,MATCH(F1111,'1.職能辭典'!$C:$C,0))),OR(INDEX('1.職能辭典'!$K:$K,MATCH(F1111,'1.職能辭典'!$C:$C,0))="全部",SUMPRODUCT(ISNUMBER(SEARCH({"經營","管理","財務","企劃","營運","技術","數據","美術","測試","客服"},INDEX('3.員工名單'!$I:$I,MATCH(A1111,'3.員工名單'!$A:$A,0))))*ISNUMBER(SEARCH({"經營","管理","財務","企劃","營運","技術","數據","美術","測試","客服"},INDEX('1.職能辭典'!$K:$K,MATCH(F1111,'1.職能辭典'!$C:$C,0)))))&gt;0)),INDEX('2.職務職能需求'!$B$2:$F$28,MATCH(F1111,'2.職務職能需求'!$A$2:$A$28,0),MATCH(D1111,'2.職務職能需求'!$B$1:$F$1,0)),0),""))</f>
        <v/>
      </c>
      <c r="H1111" s="94" t="n"/>
      <c r="I1111" s="94" t="n"/>
      <c r="J1111" s="120">
        <f>IF(OR(G1111="",I1111="",G1111=0),"",I1111-G1111)</f>
        <v/>
      </c>
      <c r="K1111" s="120">
        <f>IF(G1111="","",IF(G1111=0,"不適用",IF(I1111="","待評核",IF(I1111&gt;=G1111,IF(I1111&gt;G1111,"超越","達標"),"待發展"))))</f>
        <v/>
      </c>
      <c r="L1111" s="91" t="n"/>
      <c r="M1111" s="91" t="n"/>
      <c r="N1111" s="88" t="n"/>
    </row>
    <row r="1112" ht="15.75" customHeight="1" s="64">
      <c r="A1112" s="88" t="n"/>
      <c r="B1112" s="120">
        <f t="array" ref="B1112:B1112">IF(A1112="","",IFERROR(INDEX('3.員工名單'!$B:$B,MATCH(A1112,'3.員工名單'!$A:$A,0)),"查無此員工"))</f>
        <v/>
      </c>
      <c r="C1112" s="120">
        <f t="array" ref="C1112:C1112">IF(A1112="","",IFERROR(INDEX('3.員工名單'!$C:$C,MATCH(A1112,'3.員工名單'!$A:$A,0)),""))</f>
        <v/>
      </c>
      <c r="D1112" s="120">
        <f t="array" ref="D1112:D1112">IF(A1112="","",IFERROR(INDEX('3.員工名單'!$D:$D,MATCH(A1112,'3.員工名單'!$A:$A,0)),""))</f>
        <v/>
      </c>
      <c r="E1112" s="120">
        <f t="array" ref="E1112:E1112">IF(F1112="","",IFERROR(INDEX('1.職能辭典'!$A:$A,MATCH(F1112,'1.職能辭典'!$C:$C,0)),""))</f>
        <v/>
      </c>
      <c r="F1112" s="94" t="n"/>
      <c r="G1112" s="120">
        <f t="array" ref="G1112:G1112">IF(OR(D1112="",F1112=""),"",IFERROR(IF(AND(OR(INDEX('1.職能辭典'!$J:$J,MATCH(F1112,'1.職能辭典'!$C:$C,0))="全部",INDEX('3.員工名單'!$H:$H,MATCH(A1112,'3.員工名單'!$A:$A,0))="兩款共用",INDEX('3.員工名單'!$H:$H,MATCH(A1112,'3.員工名單'!$A:$A,0))=INDEX('1.職能辭典'!$J:$J,MATCH(F1112,'1.職能辭典'!$C:$C,0))),OR(INDEX('1.職能辭典'!$K:$K,MATCH(F1112,'1.職能辭典'!$C:$C,0))="全部",SUMPRODUCT(ISNUMBER(SEARCH({"經營","管理","財務","企劃","營運","技術","數據","美術","測試","客服"},INDEX('3.員工名單'!$I:$I,MATCH(A1112,'3.員工名單'!$A:$A,0))))*ISNUMBER(SEARCH({"經營","管理","財務","企劃","營運","技術","數據","美術","測試","客服"},INDEX('1.職能辭典'!$K:$K,MATCH(F1112,'1.職能辭典'!$C:$C,0)))))&gt;0)),INDEX('2.職務職能需求'!$B$2:$F$28,MATCH(F1112,'2.職務職能需求'!$A$2:$A$28,0),MATCH(D1112,'2.職務職能需求'!$B$1:$F$1,0)),0),""))</f>
        <v/>
      </c>
      <c r="H1112" s="94" t="n"/>
      <c r="I1112" s="94" t="n"/>
      <c r="J1112" s="120">
        <f>IF(OR(G1112="",I1112="",G1112=0),"",I1112-G1112)</f>
        <v/>
      </c>
      <c r="K1112" s="120">
        <f>IF(G1112="","",IF(G1112=0,"不適用",IF(I1112="","待評核",IF(I1112&gt;=G1112,IF(I1112&gt;G1112,"超越","達標"),"待發展"))))</f>
        <v/>
      </c>
      <c r="L1112" s="91" t="n"/>
      <c r="M1112" s="91" t="n"/>
      <c r="N1112" s="88" t="n"/>
    </row>
    <row r="1113" ht="15.75" customHeight="1" s="64">
      <c r="A1113" s="88" t="n"/>
      <c r="B1113" s="120">
        <f t="array" ref="B1113:B1113">IF(A1113="","",IFERROR(INDEX('3.員工名單'!$B:$B,MATCH(A1113,'3.員工名單'!$A:$A,0)),"查無此員工"))</f>
        <v/>
      </c>
      <c r="C1113" s="120">
        <f t="array" ref="C1113:C1113">IF(A1113="","",IFERROR(INDEX('3.員工名單'!$C:$C,MATCH(A1113,'3.員工名單'!$A:$A,0)),""))</f>
        <v/>
      </c>
      <c r="D1113" s="120">
        <f t="array" ref="D1113:D1113">IF(A1113="","",IFERROR(INDEX('3.員工名單'!$D:$D,MATCH(A1113,'3.員工名單'!$A:$A,0)),""))</f>
        <v/>
      </c>
      <c r="E1113" s="120">
        <f t="array" ref="E1113:E1113">IF(F1113="","",IFERROR(INDEX('1.職能辭典'!$A:$A,MATCH(F1113,'1.職能辭典'!$C:$C,0)),""))</f>
        <v/>
      </c>
      <c r="F1113" s="94" t="n"/>
      <c r="G1113" s="120">
        <f t="array" ref="G1113:G1113">IF(OR(D1113="",F1113=""),"",IFERROR(IF(AND(OR(INDEX('1.職能辭典'!$J:$J,MATCH(F1113,'1.職能辭典'!$C:$C,0))="全部",INDEX('3.員工名單'!$H:$H,MATCH(A1113,'3.員工名單'!$A:$A,0))="兩款共用",INDEX('3.員工名單'!$H:$H,MATCH(A1113,'3.員工名單'!$A:$A,0))=INDEX('1.職能辭典'!$J:$J,MATCH(F1113,'1.職能辭典'!$C:$C,0))),OR(INDEX('1.職能辭典'!$K:$K,MATCH(F1113,'1.職能辭典'!$C:$C,0))="全部",SUMPRODUCT(ISNUMBER(SEARCH({"經營","管理","財務","企劃","營運","技術","數據","美術","測試","客服"},INDEX('3.員工名單'!$I:$I,MATCH(A1113,'3.員工名單'!$A:$A,0))))*ISNUMBER(SEARCH({"經營","管理","財務","企劃","營運","技術","數據","美術","測試","客服"},INDEX('1.職能辭典'!$K:$K,MATCH(F1113,'1.職能辭典'!$C:$C,0)))))&gt;0)),INDEX('2.職務職能需求'!$B$2:$F$28,MATCH(F1113,'2.職務職能需求'!$A$2:$A$28,0),MATCH(D1113,'2.職務職能需求'!$B$1:$F$1,0)),0),""))</f>
        <v/>
      </c>
      <c r="H1113" s="94" t="n"/>
      <c r="I1113" s="94" t="n"/>
      <c r="J1113" s="120">
        <f>IF(OR(G1113="",I1113="",G1113=0),"",I1113-G1113)</f>
        <v/>
      </c>
      <c r="K1113" s="120">
        <f>IF(G1113="","",IF(G1113=0,"不適用",IF(I1113="","待評核",IF(I1113&gt;=G1113,IF(I1113&gt;G1113,"超越","達標"),"待發展"))))</f>
        <v/>
      </c>
      <c r="L1113" s="91" t="n"/>
      <c r="M1113" s="91" t="n"/>
      <c r="N1113" s="88" t="n"/>
    </row>
    <row r="1114" ht="15.75" customHeight="1" s="64">
      <c r="A1114" s="88" t="n"/>
      <c r="B1114" s="120">
        <f t="array" ref="B1114:B1114">IF(A1114="","",IFERROR(INDEX('3.員工名單'!$B:$B,MATCH(A1114,'3.員工名單'!$A:$A,0)),"查無此員工"))</f>
        <v/>
      </c>
      <c r="C1114" s="120">
        <f t="array" ref="C1114:C1114">IF(A1114="","",IFERROR(INDEX('3.員工名單'!$C:$C,MATCH(A1114,'3.員工名單'!$A:$A,0)),""))</f>
        <v/>
      </c>
      <c r="D1114" s="120">
        <f t="array" ref="D1114:D1114">IF(A1114="","",IFERROR(INDEX('3.員工名單'!$D:$D,MATCH(A1114,'3.員工名單'!$A:$A,0)),""))</f>
        <v/>
      </c>
      <c r="E1114" s="120">
        <f t="array" ref="E1114:E1114">IF(F1114="","",IFERROR(INDEX('1.職能辭典'!$A:$A,MATCH(F1114,'1.職能辭典'!$C:$C,0)),""))</f>
        <v/>
      </c>
      <c r="F1114" s="94" t="n"/>
      <c r="G1114" s="120">
        <f t="array" ref="G1114:G1114">IF(OR(D1114="",F1114=""),"",IFERROR(IF(AND(OR(INDEX('1.職能辭典'!$J:$J,MATCH(F1114,'1.職能辭典'!$C:$C,0))="全部",INDEX('3.員工名單'!$H:$H,MATCH(A1114,'3.員工名單'!$A:$A,0))="兩款共用",INDEX('3.員工名單'!$H:$H,MATCH(A1114,'3.員工名單'!$A:$A,0))=INDEX('1.職能辭典'!$J:$J,MATCH(F1114,'1.職能辭典'!$C:$C,0))),OR(INDEX('1.職能辭典'!$K:$K,MATCH(F1114,'1.職能辭典'!$C:$C,0))="全部",SUMPRODUCT(ISNUMBER(SEARCH({"經營","管理","財務","企劃","營運","技術","數據","美術","測試","客服"},INDEX('3.員工名單'!$I:$I,MATCH(A1114,'3.員工名單'!$A:$A,0))))*ISNUMBER(SEARCH({"經營","管理","財務","企劃","營運","技術","數據","美術","測試","客服"},INDEX('1.職能辭典'!$K:$K,MATCH(F1114,'1.職能辭典'!$C:$C,0)))))&gt;0)),INDEX('2.職務職能需求'!$B$2:$F$28,MATCH(F1114,'2.職務職能需求'!$A$2:$A$28,0),MATCH(D1114,'2.職務職能需求'!$B$1:$F$1,0)),0),""))</f>
        <v/>
      </c>
      <c r="H1114" s="94" t="n"/>
      <c r="I1114" s="94" t="n"/>
      <c r="J1114" s="120">
        <f>IF(OR(G1114="",I1114="",G1114=0),"",I1114-G1114)</f>
        <v/>
      </c>
      <c r="K1114" s="120">
        <f>IF(G1114="","",IF(G1114=0,"不適用",IF(I1114="","待評核",IF(I1114&gt;=G1114,IF(I1114&gt;G1114,"超越","達標"),"待發展"))))</f>
        <v/>
      </c>
      <c r="L1114" s="91" t="n"/>
      <c r="M1114" s="91" t="n"/>
      <c r="N1114" s="88" t="n"/>
    </row>
    <row r="1115" ht="15.75" customHeight="1" s="64">
      <c r="A1115" s="88" t="n"/>
      <c r="B1115" s="120">
        <f t="array" ref="B1115:B1115">IF(A1115="","",IFERROR(INDEX('3.員工名單'!$B:$B,MATCH(A1115,'3.員工名單'!$A:$A,0)),"查無此員工"))</f>
        <v/>
      </c>
      <c r="C1115" s="120">
        <f t="array" ref="C1115:C1115">IF(A1115="","",IFERROR(INDEX('3.員工名單'!$C:$C,MATCH(A1115,'3.員工名單'!$A:$A,0)),""))</f>
        <v/>
      </c>
      <c r="D1115" s="120">
        <f t="array" ref="D1115:D1115">IF(A1115="","",IFERROR(INDEX('3.員工名單'!$D:$D,MATCH(A1115,'3.員工名單'!$A:$A,0)),""))</f>
        <v/>
      </c>
      <c r="E1115" s="120">
        <f t="array" ref="E1115:E1115">IF(F1115="","",IFERROR(INDEX('1.職能辭典'!$A:$A,MATCH(F1115,'1.職能辭典'!$C:$C,0)),""))</f>
        <v/>
      </c>
      <c r="F1115" s="94" t="n"/>
      <c r="G1115" s="120">
        <f t="array" ref="G1115:G1115">IF(OR(D1115="",F1115=""),"",IFERROR(IF(AND(OR(INDEX('1.職能辭典'!$J:$J,MATCH(F1115,'1.職能辭典'!$C:$C,0))="全部",INDEX('3.員工名單'!$H:$H,MATCH(A1115,'3.員工名單'!$A:$A,0))="兩款共用",INDEX('3.員工名單'!$H:$H,MATCH(A1115,'3.員工名單'!$A:$A,0))=INDEX('1.職能辭典'!$J:$J,MATCH(F1115,'1.職能辭典'!$C:$C,0))),OR(INDEX('1.職能辭典'!$K:$K,MATCH(F1115,'1.職能辭典'!$C:$C,0))="全部",SUMPRODUCT(ISNUMBER(SEARCH({"經營","管理","財務","企劃","營運","技術","數據","美術","測試","客服"},INDEX('3.員工名單'!$I:$I,MATCH(A1115,'3.員工名單'!$A:$A,0))))*ISNUMBER(SEARCH({"經營","管理","財務","企劃","營運","技術","數據","美術","測試","客服"},INDEX('1.職能辭典'!$K:$K,MATCH(F1115,'1.職能辭典'!$C:$C,0)))))&gt;0)),INDEX('2.職務職能需求'!$B$2:$F$28,MATCH(F1115,'2.職務職能需求'!$A$2:$A$28,0),MATCH(D1115,'2.職務職能需求'!$B$1:$F$1,0)),0),""))</f>
        <v/>
      </c>
      <c r="H1115" s="94" t="n"/>
      <c r="I1115" s="94" t="n"/>
      <c r="J1115" s="120">
        <f>IF(OR(G1115="",I1115="",G1115=0),"",I1115-G1115)</f>
        <v/>
      </c>
      <c r="K1115" s="120">
        <f>IF(G1115="","",IF(G1115=0,"不適用",IF(I1115="","待評核",IF(I1115&gt;=G1115,IF(I1115&gt;G1115,"超越","達標"),"待發展"))))</f>
        <v/>
      </c>
      <c r="L1115" s="91" t="n"/>
      <c r="M1115" s="91" t="n"/>
      <c r="N1115" s="88" t="n"/>
    </row>
    <row r="1116" ht="15.75" customHeight="1" s="64">
      <c r="A1116" s="88" t="n"/>
      <c r="B1116" s="120">
        <f t="array" ref="B1116:B1116">IF(A1116="","",IFERROR(INDEX('3.員工名單'!$B:$B,MATCH(A1116,'3.員工名單'!$A:$A,0)),"查無此員工"))</f>
        <v/>
      </c>
      <c r="C1116" s="120">
        <f t="array" ref="C1116:C1116">IF(A1116="","",IFERROR(INDEX('3.員工名單'!$C:$C,MATCH(A1116,'3.員工名單'!$A:$A,0)),""))</f>
        <v/>
      </c>
      <c r="D1116" s="120">
        <f t="array" ref="D1116:D1116">IF(A1116="","",IFERROR(INDEX('3.員工名單'!$D:$D,MATCH(A1116,'3.員工名單'!$A:$A,0)),""))</f>
        <v/>
      </c>
      <c r="E1116" s="120">
        <f t="array" ref="E1116:E1116">IF(F1116="","",IFERROR(INDEX('1.職能辭典'!$A:$A,MATCH(F1116,'1.職能辭典'!$C:$C,0)),""))</f>
        <v/>
      </c>
      <c r="F1116" s="94" t="n"/>
      <c r="G1116" s="120">
        <f t="array" ref="G1116:G1116">IF(OR(D1116="",F1116=""),"",IFERROR(IF(AND(OR(INDEX('1.職能辭典'!$J:$J,MATCH(F1116,'1.職能辭典'!$C:$C,0))="全部",INDEX('3.員工名單'!$H:$H,MATCH(A1116,'3.員工名單'!$A:$A,0))="兩款共用",INDEX('3.員工名單'!$H:$H,MATCH(A1116,'3.員工名單'!$A:$A,0))=INDEX('1.職能辭典'!$J:$J,MATCH(F1116,'1.職能辭典'!$C:$C,0))),OR(INDEX('1.職能辭典'!$K:$K,MATCH(F1116,'1.職能辭典'!$C:$C,0))="全部",SUMPRODUCT(ISNUMBER(SEARCH({"經營","管理","財務","企劃","營運","技術","數據","美術","測試","客服"},INDEX('3.員工名單'!$I:$I,MATCH(A1116,'3.員工名單'!$A:$A,0))))*ISNUMBER(SEARCH({"經營","管理","財務","企劃","營運","技術","數據","美術","測試","客服"},INDEX('1.職能辭典'!$K:$K,MATCH(F1116,'1.職能辭典'!$C:$C,0)))))&gt;0)),INDEX('2.職務職能需求'!$B$2:$F$28,MATCH(F1116,'2.職務職能需求'!$A$2:$A$28,0),MATCH(D1116,'2.職務職能需求'!$B$1:$F$1,0)),0),""))</f>
        <v/>
      </c>
      <c r="H1116" s="94" t="n"/>
      <c r="I1116" s="94" t="n"/>
      <c r="J1116" s="120">
        <f>IF(OR(G1116="",I1116="",G1116=0),"",I1116-G1116)</f>
        <v/>
      </c>
      <c r="K1116" s="120">
        <f>IF(G1116="","",IF(G1116=0,"不適用",IF(I1116="","待評核",IF(I1116&gt;=G1116,IF(I1116&gt;G1116,"超越","達標"),"待發展"))))</f>
        <v/>
      </c>
      <c r="L1116" s="91" t="n"/>
      <c r="M1116" s="91" t="n"/>
      <c r="N1116" s="88" t="n"/>
    </row>
    <row r="1117" ht="15.75" customHeight="1" s="64">
      <c r="A1117" s="88" t="n"/>
      <c r="B1117" s="120">
        <f t="array" ref="B1117:B1117">IF(A1117="","",IFERROR(INDEX('3.員工名單'!$B:$B,MATCH(A1117,'3.員工名單'!$A:$A,0)),"查無此員工"))</f>
        <v/>
      </c>
      <c r="C1117" s="120">
        <f t="array" ref="C1117:C1117">IF(A1117="","",IFERROR(INDEX('3.員工名單'!$C:$C,MATCH(A1117,'3.員工名單'!$A:$A,0)),""))</f>
        <v/>
      </c>
      <c r="D1117" s="120">
        <f t="array" ref="D1117:D1117">IF(A1117="","",IFERROR(INDEX('3.員工名單'!$D:$D,MATCH(A1117,'3.員工名單'!$A:$A,0)),""))</f>
        <v/>
      </c>
      <c r="E1117" s="120">
        <f t="array" ref="E1117:E1117">IF(F1117="","",IFERROR(INDEX('1.職能辭典'!$A:$A,MATCH(F1117,'1.職能辭典'!$C:$C,0)),""))</f>
        <v/>
      </c>
      <c r="F1117" s="94" t="n"/>
      <c r="G1117" s="120">
        <f t="array" ref="G1117:G1117">IF(OR(D1117="",F1117=""),"",IFERROR(IF(AND(OR(INDEX('1.職能辭典'!$J:$J,MATCH(F1117,'1.職能辭典'!$C:$C,0))="全部",INDEX('3.員工名單'!$H:$H,MATCH(A1117,'3.員工名單'!$A:$A,0))="兩款共用",INDEX('3.員工名單'!$H:$H,MATCH(A1117,'3.員工名單'!$A:$A,0))=INDEX('1.職能辭典'!$J:$J,MATCH(F1117,'1.職能辭典'!$C:$C,0))),OR(INDEX('1.職能辭典'!$K:$K,MATCH(F1117,'1.職能辭典'!$C:$C,0))="全部",SUMPRODUCT(ISNUMBER(SEARCH({"經營","管理","財務","企劃","營運","技術","數據","美術","測試","客服"},INDEX('3.員工名單'!$I:$I,MATCH(A1117,'3.員工名單'!$A:$A,0))))*ISNUMBER(SEARCH({"經營","管理","財務","企劃","營運","技術","數據","美術","測試","客服"},INDEX('1.職能辭典'!$K:$K,MATCH(F1117,'1.職能辭典'!$C:$C,0)))))&gt;0)),INDEX('2.職務職能需求'!$B$2:$F$28,MATCH(F1117,'2.職務職能需求'!$A$2:$A$28,0),MATCH(D1117,'2.職務職能需求'!$B$1:$F$1,0)),0),""))</f>
        <v/>
      </c>
      <c r="H1117" s="94" t="n"/>
      <c r="I1117" s="94" t="n"/>
      <c r="J1117" s="120">
        <f>IF(OR(G1117="",I1117="",G1117=0),"",I1117-G1117)</f>
        <v/>
      </c>
      <c r="K1117" s="120">
        <f>IF(G1117="","",IF(G1117=0,"不適用",IF(I1117="","待評核",IF(I1117&gt;=G1117,IF(I1117&gt;G1117,"超越","達標"),"待發展"))))</f>
        <v/>
      </c>
      <c r="L1117" s="91" t="n"/>
      <c r="M1117" s="91" t="n"/>
      <c r="N1117" s="88" t="n"/>
    </row>
    <row r="1118" ht="15.75" customHeight="1" s="64">
      <c r="A1118" s="88" t="n"/>
      <c r="B1118" s="120">
        <f t="array" ref="B1118:B1118">IF(A1118="","",IFERROR(INDEX('3.員工名單'!$B:$B,MATCH(A1118,'3.員工名單'!$A:$A,0)),"查無此員工"))</f>
        <v/>
      </c>
      <c r="C1118" s="120">
        <f t="array" ref="C1118:C1118">IF(A1118="","",IFERROR(INDEX('3.員工名單'!$C:$C,MATCH(A1118,'3.員工名單'!$A:$A,0)),""))</f>
        <v/>
      </c>
      <c r="D1118" s="120">
        <f t="array" ref="D1118:D1118">IF(A1118="","",IFERROR(INDEX('3.員工名單'!$D:$D,MATCH(A1118,'3.員工名單'!$A:$A,0)),""))</f>
        <v/>
      </c>
      <c r="E1118" s="120">
        <f t="array" ref="E1118:E1118">IF(F1118="","",IFERROR(INDEX('1.職能辭典'!$A:$A,MATCH(F1118,'1.職能辭典'!$C:$C,0)),""))</f>
        <v/>
      </c>
      <c r="F1118" s="94" t="n"/>
      <c r="G1118" s="120">
        <f t="array" ref="G1118:G1118">IF(OR(D1118="",F1118=""),"",IFERROR(IF(AND(OR(INDEX('1.職能辭典'!$J:$J,MATCH(F1118,'1.職能辭典'!$C:$C,0))="全部",INDEX('3.員工名單'!$H:$H,MATCH(A1118,'3.員工名單'!$A:$A,0))="兩款共用",INDEX('3.員工名單'!$H:$H,MATCH(A1118,'3.員工名單'!$A:$A,0))=INDEX('1.職能辭典'!$J:$J,MATCH(F1118,'1.職能辭典'!$C:$C,0))),OR(INDEX('1.職能辭典'!$K:$K,MATCH(F1118,'1.職能辭典'!$C:$C,0))="全部",SUMPRODUCT(ISNUMBER(SEARCH({"經營","管理","財務","企劃","營運","技術","數據","美術","測試","客服"},INDEX('3.員工名單'!$I:$I,MATCH(A1118,'3.員工名單'!$A:$A,0))))*ISNUMBER(SEARCH({"經營","管理","財務","企劃","營運","技術","數據","美術","測試","客服"},INDEX('1.職能辭典'!$K:$K,MATCH(F1118,'1.職能辭典'!$C:$C,0)))))&gt;0)),INDEX('2.職務職能需求'!$B$2:$F$28,MATCH(F1118,'2.職務職能需求'!$A$2:$A$28,0),MATCH(D1118,'2.職務職能需求'!$B$1:$F$1,0)),0),""))</f>
        <v/>
      </c>
      <c r="H1118" s="94" t="n"/>
      <c r="I1118" s="94" t="n"/>
      <c r="J1118" s="120">
        <f>IF(OR(G1118="",I1118="",G1118=0),"",I1118-G1118)</f>
        <v/>
      </c>
      <c r="K1118" s="120">
        <f>IF(G1118="","",IF(G1118=0,"不適用",IF(I1118="","待評核",IF(I1118&gt;=G1118,IF(I1118&gt;G1118,"超越","達標"),"待發展"))))</f>
        <v/>
      </c>
      <c r="L1118" s="91" t="n"/>
      <c r="M1118" s="91" t="n"/>
      <c r="N1118" s="88" t="n"/>
    </row>
    <row r="1119" ht="15.75" customHeight="1" s="64">
      <c r="A1119" s="88" t="n"/>
      <c r="B1119" s="120">
        <f t="array" ref="B1119:B1119">IF(A1119="","",IFERROR(INDEX('3.員工名單'!$B:$B,MATCH(A1119,'3.員工名單'!$A:$A,0)),"查無此員工"))</f>
        <v/>
      </c>
      <c r="C1119" s="120">
        <f t="array" ref="C1119:C1119">IF(A1119="","",IFERROR(INDEX('3.員工名單'!$C:$C,MATCH(A1119,'3.員工名單'!$A:$A,0)),""))</f>
        <v/>
      </c>
      <c r="D1119" s="120">
        <f t="array" ref="D1119:D1119">IF(A1119="","",IFERROR(INDEX('3.員工名單'!$D:$D,MATCH(A1119,'3.員工名單'!$A:$A,0)),""))</f>
        <v/>
      </c>
      <c r="E1119" s="120">
        <f t="array" ref="E1119:E1119">IF(F1119="","",IFERROR(INDEX('1.職能辭典'!$A:$A,MATCH(F1119,'1.職能辭典'!$C:$C,0)),""))</f>
        <v/>
      </c>
      <c r="F1119" s="94" t="n"/>
      <c r="G1119" s="120">
        <f t="array" ref="G1119:G1119">IF(OR(D1119="",F1119=""),"",IFERROR(IF(AND(OR(INDEX('1.職能辭典'!$J:$J,MATCH(F1119,'1.職能辭典'!$C:$C,0))="全部",INDEX('3.員工名單'!$H:$H,MATCH(A1119,'3.員工名單'!$A:$A,0))="兩款共用",INDEX('3.員工名單'!$H:$H,MATCH(A1119,'3.員工名單'!$A:$A,0))=INDEX('1.職能辭典'!$J:$J,MATCH(F1119,'1.職能辭典'!$C:$C,0))),OR(INDEX('1.職能辭典'!$K:$K,MATCH(F1119,'1.職能辭典'!$C:$C,0))="全部",SUMPRODUCT(ISNUMBER(SEARCH({"經營","管理","財務","企劃","營運","技術","數據","美術","測試","客服"},INDEX('3.員工名單'!$I:$I,MATCH(A1119,'3.員工名單'!$A:$A,0))))*ISNUMBER(SEARCH({"經營","管理","財務","企劃","營運","技術","數據","美術","測試","客服"},INDEX('1.職能辭典'!$K:$K,MATCH(F1119,'1.職能辭典'!$C:$C,0)))))&gt;0)),INDEX('2.職務職能需求'!$B$2:$F$28,MATCH(F1119,'2.職務職能需求'!$A$2:$A$28,0),MATCH(D1119,'2.職務職能需求'!$B$1:$F$1,0)),0),""))</f>
        <v/>
      </c>
      <c r="H1119" s="94" t="n"/>
      <c r="I1119" s="94" t="n"/>
      <c r="J1119" s="120">
        <f>IF(OR(G1119="",I1119="",G1119=0),"",I1119-G1119)</f>
        <v/>
      </c>
      <c r="K1119" s="120">
        <f>IF(G1119="","",IF(G1119=0,"不適用",IF(I1119="","待評核",IF(I1119&gt;=G1119,IF(I1119&gt;G1119,"超越","達標"),"待發展"))))</f>
        <v/>
      </c>
      <c r="L1119" s="91" t="n"/>
      <c r="M1119" s="91" t="n"/>
      <c r="N1119" s="88" t="n"/>
    </row>
    <row r="1120" ht="15.75" customHeight="1" s="64">
      <c r="A1120" s="88" t="n"/>
      <c r="B1120" s="120">
        <f t="array" ref="B1120:B1120">IF(A1120="","",IFERROR(INDEX('3.員工名單'!$B:$B,MATCH(A1120,'3.員工名單'!$A:$A,0)),"查無此員工"))</f>
        <v/>
      </c>
      <c r="C1120" s="120">
        <f t="array" ref="C1120:C1120">IF(A1120="","",IFERROR(INDEX('3.員工名單'!$C:$C,MATCH(A1120,'3.員工名單'!$A:$A,0)),""))</f>
        <v/>
      </c>
      <c r="D1120" s="120">
        <f t="array" ref="D1120:D1120">IF(A1120="","",IFERROR(INDEX('3.員工名單'!$D:$D,MATCH(A1120,'3.員工名單'!$A:$A,0)),""))</f>
        <v/>
      </c>
      <c r="E1120" s="120">
        <f t="array" ref="E1120:E1120">IF(F1120="","",IFERROR(INDEX('1.職能辭典'!$A:$A,MATCH(F1120,'1.職能辭典'!$C:$C,0)),""))</f>
        <v/>
      </c>
      <c r="F1120" s="94" t="n"/>
      <c r="G1120" s="120">
        <f t="array" ref="G1120:G1120">IF(OR(D1120="",F1120=""),"",IFERROR(IF(AND(OR(INDEX('1.職能辭典'!$J:$J,MATCH(F1120,'1.職能辭典'!$C:$C,0))="全部",INDEX('3.員工名單'!$H:$H,MATCH(A1120,'3.員工名單'!$A:$A,0))="兩款共用",INDEX('3.員工名單'!$H:$H,MATCH(A1120,'3.員工名單'!$A:$A,0))=INDEX('1.職能辭典'!$J:$J,MATCH(F1120,'1.職能辭典'!$C:$C,0))),OR(INDEX('1.職能辭典'!$K:$K,MATCH(F1120,'1.職能辭典'!$C:$C,0))="全部",SUMPRODUCT(ISNUMBER(SEARCH({"經營","管理","財務","企劃","營運","技術","數據","美術","測試","客服"},INDEX('3.員工名單'!$I:$I,MATCH(A1120,'3.員工名單'!$A:$A,0))))*ISNUMBER(SEARCH({"經營","管理","財務","企劃","營運","技術","數據","美術","測試","客服"},INDEX('1.職能辭典'!$K:$K,MATCH(F1120,'1.職能辭典'!$C:$C,0)))))&gt;0)),INDEX('2.職務職能需求'!$B$2:$F$28,MATCH(F1120,'2.職務職能需求'!$A$2:$A$28,0),MATCH(D1120,'2.職務職能需求'!$B$1:$F$1,0)),0),""))</f>
        <v/>
      </c>
      <c r="H1120" s="94" t="n"/>
      <c r="I1120" s="94" t="n"/>
      <c r="J1120" s="120">
        <f>IF(OR(G1120="",I1120="",G1120=0),"",I1120-G1120)</f>
        <v/>
      </c>
      <c r="K1120" s="120">
        <f>IF(G1120="","",IF(G1120=0,"不適用",IF(I1120="","待評核",IF(I1120&gt;=G1120,IF(I1120&gt;G1120,"超越","達標"),"待發展"))))</f>
        <v/>
      </c>
      <c r="L1120" s="91" t="n"/>
      <c r="M1120" s="91" t="n"/>
      <c r="N1120" s="88" t="n"/>
    </row>
    <row r="1121" ht="15.75" customHeight="1" s="64">
      <c r="A1121" s="88" t="n"/>
      <c r="B1121" s="120">
        <f t="array" ref="B1121:B1121">IF(A1121="","",IFERROR(INDEX('3.員工名單'!$B:$B,MATCH(A1121,'3.員工名單'!$A:$A,0)),"查無此員工"))</f>
        <v/>
      </c>
      <c r="C1121" s="120">
        <f t="array" ref="C1121:C1121">IF(A1121="","",IFERROR(INDEX('3.員工名單'!$C:$C,MATCH(A1121,'3.員工名單'!$A:$A,0)),""))</f>
        <v/>
      </c>
      <c r="D1121" s="120">
        <f t="array" ref="D1121:D1121">IF(A1121="","",IFERROR(INDEX('3.員工名單'!$D:$D,MATCH(A1121,'3.員工名單'!$A:$A,0)),""))</f>
        <v/>
      </c>
      <c r="E1121" s="120">
        <f t="array" ref="E1121:E1121">IF(F1121="","",IFERROR(INDEX('1.職能辭典'!$A:$A,MATCH(F1121,'1.職能辭典'!$C:$C,0)),""))</f>
        <v/>
      </c>
      <c r="F1121" s="94" t="n"/>
      <c r="G1121" s="120">
        <f t="array" ref="G1121:G1121">IF(OR(D1121="",F1121=""),"",IFERROR(IF(AND(OR(INDEX('1.職能辭典'!$J:$J,MATCH(F1121,'1.職能辭典'!$C:$C,0))="全部",INDEX('3.員工名單'!$H:$H,MATCH(A1121,'3.員工名單'!$A:$A,0))="兩款共用",INDEX('3.員工名單'!$H:$H,MATCH(A1121,'3.員工名單'!$A:$A,0))=INDEX('1.職能辭典'!$J:$J,MATCH(F1121,'1.職能辭典'!$C:$C,0))),OR(INDEX('1.職能辭典'!$K:$K,MATCH(F1121,'1.職能辭典'!$C:$C,0))="全部",SUMPRODUCT(ISNUMBER(SEARCH({"經營","管理","財務","企劃","營運","技術","數據","美術","測試","客服"},INDEX('3.員工名單'!$I:$I,MATCH(A1121,'3.員工名單'!$A:$A,0))))*ISNUMBER(SEARCH({"經營","管理","財務","企劃","營運","技術","數據","美術","測試","客服"},INDEX('1.職能辭典'!$K:$K,MATCH(F1121,'1.職能辭典'!$C:$C,0)))))&gt;0)),INDEX('2.職務職能需求'!$B$2:$F$28,MATCH(F1121,'2.職務職能需求'!$A$2:$A$28,0),MATCH(D1121,'2.職務職能需求'!$B$1:$F$1,0)),0),""))</f>
        <v/>
      </c>
      <c r="H1121" s="94" t="n"/>
      <c r="I1121" s="94" t="n"/>
      <c r="J1121" s="120">
        <f>IF(OR(G1121="",I1121="",G1121=0),"",I1121-G1121)</f>
        <v/>
      </c>
      <c r="K1121" s="120">
        <f>IF(G1121="","",IF(G1121=0,"不適用",IF(I1121="","待評核",IF(I1121&gt;=G1121,IF(I1121&gt;G1121,"超越","達標"),"待發展"))))</f>
        <v/>
      </c>
      <c r="L1121" s="91" t="n"/>
      <c r="M1121" s="91" t="n"/>
      <c r="N1121" s="88" t="n"/>
    </row>
    <row r="1122" ht="15.75" customHeight="1" s="64">
      <c r="A1122" s="88" t="n"/>
      <c r="B1122" s="120">
        <f t="array" ref="B1122:B1122">IF(A1122="","",IFERROR(INDEX('3.員工名單'!$B:$B,MATCH(A1122,'3.員工名單'!$A:$A,0)),"查無此員工"))</f>
        <v/>
      </c>
      <c r="C1122" s="120">
        <f t="array" ref="C1122:C1122">IF(A1122="","",IFERROR(INDEX('3.員工名單'!$C:$C,MATCH(A1122,'3.員工名單'!$A:$A,0)),""))</f>
        <v/>
      </c>
      <c r="D1122" s="120">
        <f t="array" ref="D1122:D1122">IF(A1122="","",IFERROR(INDEX('3.員工名單'!$D:$D,MATCH(A1122,'3.員工名單'!$A:$A,0)),""))</f>
        <v/>
      </c>
      <c r="E1122" s="120">
        <f t="array" ref="E1122:E1122">IF(F1122="","",IFERROR(INDEX('1.職能辭典'!$A:$A,MATCH(F1122,'1.職能辭典'!$C:$C,0)),""))</f>
        <v/>
      </c>
      <c r="F1122" s="94" t="n"/>
      <c r="G1122" s="120">
        <f t="array" ref="G1122:G1122">IF(OR(D1122="",F1122=""),"",IFERROR(IF(AND(OR(INDEX('1.職能辭典'!$J:$J,MATCH(F1122,'1.職能辭典'!$C:$C,0))="全部",INDEX('3.員工名單'!$H:$H,MATCH(A1122,'3.員工名單'!$A:$A,0))="兩款共用",INDEX('3.員工名單'!$H:$H,MATCH(A1122,'3.員工名單'!$A:$A,0))=INDEX('1.職能辭典'!$J:$J,MATCH(F1122,'1.職能辭典'!$C:$C,0))),OR(INDEX('1.職能辭典'!$K:$K,MATCH(F1122,'1.職能辭典'!$C:$C,0))="全部",SUMPRODUCT(ISNUMBER(SEARCH({"經營","管理","財務","企劃","營運","技術","數據","美術","測試","客服"},INDEX('3.員工名單'!$I:$I,MATCH(A1122,'3.員工名單'!$A:$A,0))))*ISNUMBER(SEARCH({"經營","管理","財務","企劃","營運","技術","數據","美術","測試","客服"},INDEX('1.職能辭典'!$K:$K,MATCH(F1122,'1.職能辭典'!$C:$C,0)))))&gt;0)),INDEX('2.職務職能需求'!$B$2:$F$28,MATCH(F1122,'2.職務職能需求'!$A$2:$A$28,0),MATCH(D1122,'2.職務職能需求'!$B$1:$F$1,0)),0),""))</f>
        <v/>
      </c>
      <c r="H1122" s="94" t="n"/>
      <c r="I1122" s="94" t="n"/>
      <c r="J1122" s="120">
        <f>IF(OR(G1122="",I1122="",G1122=0),"",I1122-G1122)</f>
        <v/>
      </c>
      <c r="K1122" s="120">
        <f>IF(G1122="","",IF(G1122=0,"不適用",IF(I1122="","待評核",IF(I1122&gt;=G1122,IF(I1122&gt;G1122,"超越","達標"),"待發展"))))</f>
        <v/>
      </c>
      <c r="L1122" s="91" t="n"/>
      <c r="M1122" s="91" t="n"/>
      <c r="N1122" s="88" t="n"/>
    </row>
    <row r="1123" ht="15.75" customHeight="1" s="64">
      <c r="A1123" s="88" t="n"/>
      <c r="B1123" s="120">
        <f t="array" ref="B1123:B1123">IF(A1123="","",IFERROR(INDEX('3.員工名單'!$B:$B,MATCH(A1123,'3.員工名單'!$A:$A,0)),"查無此員工"))</f>
        <v/>
      </c>
      <c r="C1123" s="120">
        <f t="array" ref="C1123:C1123">IF(A1123="","",IFERROR(INDEX('3.員工名單'!$C:$C,MATCH(A1123,'3.員工名單'!$A:$A,0)),""))</f>
        <v/>
      </c>
      <c r="D1123" s="120">
        <f t="array" ref="D1123:D1123">IF(A1123="","",IFERROR(INDEX('3.員工名單'!$D:$D,MATCH(A1123,'3.員工名單'!$A:$A,0)),""))</f>
        <v/>
      </c>
      <c r="E1123" s="120">
        <f t="array" ref="E1123:E1123">IF(F1123="","",IFERROR(INDEX('1.職能辭典'!$A:$A,MATCH(F1123,'1.職能辭典'!$C:$C,0)),""))</f>
        <v/>
      </c>
      <c r="F1123" s="94" t="n"/>
      <c r="G1123" s="120">
        <f t="array" ref="G1123:G1123">IF(OR(D1123="",F1123=""),"",IFERROR(IF(AND(OR(INDEX('1.職能辭典'!$J:$J,MATCH(F1123,'1.職能辭典'!$C:$C,0))="全部",INDEX('3.員工名單'!$H:$H,MATCH(A1123,'3.員工名單'!$A:$A,0))="兩款共用",INDEX('3.員工名單'!$H:$H,MATCH(A1123,'3.員工名單'!$A:$A,0))=INDEX('1.職能辭典'!$J:$J,MATCH(F1123,'1.職能辭典'!$C:$C,0))),OR(INDEX('1.職能辭典'!$K:$K,MATCH(F1123,'1.職能辭典'!$C:$C,0))="全部",SUMPRODUCT(ISNUMBER(SEARCH({"經營","管理","財務","企劃","營運","技術","數據","美術","測試","客服"},INDEX('3.員工名單'!$I:$I,MATCH(A1123,'3.員工名單'!$A:$A,0))))*ISNUMBER(SEARCH({"經營","管理","財務","企劃","營運","技術","數據","美術","測試","客服"},INDEX('1.職能辭典'!$K:$K,MATCH(F1123,'1.職能辭典'!$C:$C,0)))))&gt;0)),INDEX('2.職務職能需求'!$B$2:$F$28,MATCH(F1123,'2.職務職能需求'!$A$2:$A$28,0),MATCH(D1123,'2.職務職能需求'!$B$1:$F$1,0)),0),""))</f>
        <v/>
      </c>
      <c r="H1123" s="94" t="n"/>
      <c r="I1123" s="94" t="n"/>
      <c r="J1123" s="120">
        <f>IF(OR(G1123="",I1123="",G1123=0),"",I1123-G1123)</f>
        <v/>
      </c>
      <c r="K1123" s="120">
        <f>IF(G1123="","",IF(G1123=0,"不適用",IF(I1123="","待評核",IF(I1123&gt;=G1123,IF(I1123&gt;G1123,"超越","達標"),"待發展"))))</f>
        <v/>
      </c>
      <c r="L1123" s="91" t="n"/>
      <c r="M1123" s="91" t="n"/>
      <c r="N1123" s="88" t="n"/>
    </row>
    <row r="1124" ht="15.75" customHeight="1" s="64">
      <c r="A1124" s="88" t="n"/>
      <c r="B1124" s="120">
        <f t="array" ref="B1124:B1124">IF(A1124="","",IFERROR(INDEX('3.員工名單'!$B:$B,MATCH(A1124,'3.員工名單'!$A:$A,0)),"查無此員工"))</f>
        <v/>
      </c>
      <c r="C1124" s="120">
        <f t="array" ref="C1124:C1124">IF(A1124="","",IFERROR(INDEX('3.員工名單'!$C:$C,MATCH(A1124,'3.員工名單'!$A:$A,0)),""))</f>
        <v/>
      </c>
      <c r="D1124" s="120">
        <f t="array" ref="D1124:D1124">IF(A1124="","",IFERROR(INDEX('3.員工名單'!$D:$D,MATCH(A1124,'3.員工名單'!$A:$A,0)),""))</f>
        <v/>
      </c>
      <c r="E1124" s="120">
        <f t="array" ref="E1124:E1124">IF(F1124="","",IFERROR(INDEX('1.職能辭典'!$A:$A,MATCH(F1124,'1.職能辭典'!$C:$C,0)),""))</f>
        <v/>
      </c>
      <c r="F1124" s="94" t="n"/>
      <c r="G1124" s="120">
        <f t="array" ref="G1124:G1124">IF(OR(D1124="",F1124=""),"",IFERROR(IF(AND(OR(INDEX('1.職能辭典'!$J:$J,MATCH(F1124,'1.職能辭典'!$C:$C,0))="全部",INDEX('3.員工名單'!$H:$H,MATCH(A1124,'3.員工名單'!$A:$A,0))="兩款共用",INDEX('3.員工名單'!$H:$H,MATCH(A1124,'3.員工名單'!$A:$A,0))=INDEX('1.職能辭典'!$J:$J,MATCH(F1124,'1.職能辭典'!$C:$C,0))),OR(INDEX('1.職能辭典'!$K:$K,MATCH(F1124,'1.職能辭典'!$C:$C,0))="全部",SUMPRODUCT(ISNUMBER(SEARCH({"經營","管理","財務","企劃","營運","技術","數據","美術","測試","客服"},INDEX('3.員工名單'!$I:$I,MATCH(A1124,'3.員工名單'!$A:$A,0))))*ISNUMBER(SEARCH({"經營","管理","財務","企劃","營運","技術","數據","美術","測試","客服"},INDEX('1.職能辭典'!$K:$K,MATCH(F1124,'1.職能辭典'!$C:$C,0)))))&gt;0)),INDEX('2.職務職能需求'!$B$2:$F$28,MATCH(F1124,'2.職務職能需求'!$A$2:$A$28,0),MATCH(D1124,'2.職務職能需求'!$B$1:$F$1,0)),0),""))</f>
        <v/>
      </c>
      <c r="H1124" s="94" t="n"/>
      <c r="I1124" s="94" t="n"/>
      <c r="J1124" s="120">
        <f>IF(OR(G1124="",I1124="",G1124=0),"",I1124-G1124)</f>
        <v/>
      </c>
      <c r="K1124" s="120">
        <f>IF(G1124="","",IF(G1124=0,"不適用",IF(I1124="","待評核",IF(I1124&gt;=G1124,IF(I1124&gt;G1124,"超越","達標"),"待發展"))))</f>
        <v/>
      </c>
      <c r="L1124" s="91" t="n"/>
      <c r="M1124" s="91" t="n"/>
      <c r="N1124" s="88" t="n"/>
    </row>
    <row r="1125" ht="15.75" customHeight="1" s="64">
      <c r="A1125" s="88" t="n"/>
      <c r="B1125" s="120">
        <f t="array" ref="B1125:B1125">IF(A1125="","",IFERROR(INDEX('3.員工名單'!$B:$B,MATCH(A1125,'3.員工名單'!$A:$A,0)),"查無此員工"))</f>
        <v/>
      </c>
      <c r="C1125" s="120">
        <f t="array" ref="C1125:C1125">IF(A1125="","",IFERROR(INDEX('3.員工名單'!$C:$C,MATCH(A1125,'3.員工名單'!$A:$A,0)),""))</f>
        <v/>
      </c>
      <c r="D1125" s="120">
        <f t="array" ref="D1125:D1125">IF(A1125="","",IFERROR(INDEX('3.員工名單'!$D:$D,MATCH(A1125,'3.員工名單'!$A:$A,0)),""))</f>
        <v/>
      </c>
      <c r="E1125" s="120">
        <f t="array" ref="E1125:E1125">IF(F1125="","",IFERROR(INDEX('1.職能辭典'!$A:$A,MATCH(F1125,'1.職能辭典'!$C:$C,0)),""))</f>
        <v/>
      </c>
      <c r="F1125" s="94" t="n"/>
      <c r="G1125" s="120">
        <f t="array" ref="G1125:G1125">IF(OR(D1125="",F1125=""),"",IFERROR(IF(AND(OR(INDEX('1.職能辭典'!$J:$J,MATCH(F1125,'1.職能辭典'!$C:$C,0))="全部",INDEX('3.員工名單'!$H:$H,MATCH(A1125,'3.員工名單'!$A:$A,0))="兩款共用",INDEX('3.員工名單'!$H:$H,MATCH(A1125,'3.員工名單'!$A:$A,0))=INDEX('1.職能辭典'!$J:$J,MATCH(F1125,'1.職能辭典'!$C:$C,0))),OR(INDEX('1.職能辭典'!$K:$K,MATCH(F1125,'1.職能辭典'!$C:$C,0))="全部",SUMPRODUCT(ISNUMBER(SEARCH({"經營","管理","財務","企劃","營運","技術","數據","美術","測試","客服"},INDEX('3.員工名單'!$I:$I,MATCH(A1125,'3.員工名單'!$A:$A,0))))*ISNUMBER(SEARCH({"經營","管理","財務","企劃","營運","技術","數據","美術","測試","客服"},INDEX('1.職能辭典'!$K:$K,MATCH(F1125,'1.職能辭典'!$C:$C,0)))))&gt;0)),INDEX('2.職務職能需求'!$B$2:$F$28,MATCH(F1125,'2.職務職能需求'!$A$2:$A$28,0),MATCH(D1125,'2.職務職能需求'!$B$1:$F$1,0)),0),""))</f>
        <v/>
      </c>
      <c r="H1125" s="94" t="n"/>
      <c r="I1125" s="94" t="n"/>
      <c r="J1125" s="120">
        <f>IF(OR(G1125="",I1125="",G1125=0),"",I1125-G1125)</f>
        <v/>
      </c>
      <c r="K1125" s="120">
        <f>IF(G1125="","",IF(G1125=0,"不適用",IF(I1125="","待評核",IF(I1125&gt;=G1125,IF(I1125&gt;G1125,"超越","達標"),"待發展"))))</f>
        <v/>
      </c>
      <c r="L1125" s="91" t="n"/>
      <c r="M1125" s="91" t="n"/>
      <c r="N1125" s="88" t="n"/>
    </row>
    <row r="1126" ht="15.75" customHeight="1" s="64">
      <c r="A1126" s="88" t="n"/>
      <c r="B1126" s="120">
        <f t="array" ref="B1126:B1126">IF(A1126="","",IFERROR(INDEX('3.員工名單'!$B:$B,MATCH(A1126,'3.員工名單'!$A:$A,0)),"查無此員工"))</f>
        <v/>
      </c>
      <c r="C1126" s="120">
        <f t="array" ref="C1126:C1126">IF(A1126="","",IFERROR(INDEX('3.員工名單'!$C:$C,MATCH(A1126,'3.員工名單'!$A:$A,0)),""))</f>
        <v/>
      </c>
      <c r="D1126" s="120">
        <f t="array" ref="D1126:D1126">IF(A1126="","",IFERROR(INDEX('3.員工名單'!$D:$D,MATCH(A1126,'3.員工名單'!$A:$A,0)),""))</f>
        <v/>
      </c>
      <c r="E1126" s="120">
        <f t="array" ref="E1126:E1126">IF(F1126="","",IFERROR(INDEX('1.職能辭典'!$A:$A,MATCH(F1126,'1.職能辭典'!$C:$C,0)),""))</f>
        <v/>
      </c>
      <c r="F1126" s="94" t="n"/>
      <c r="G1126" s="120">
        <f t="array" ref="G1126:G1126">IF(OR(D1126="",F1126=""),"",IFERROR(IF(AND(OR(INDEX('1.職能辭典'!$J:$J,MATCH(F1126,'1.職能辭典'!$C:$C,0))="全部",INDEX('3.員工名單'!$H:$H,MATCH(A1126,'3.員工名單'!$A:$A,0))="兩款共用",INDEX('3.員工名單'!$H:$H,MATCH(A1126,'3.員工名單'!$A:$A,0))=INDEX('1.職能辭典'!$J:$J,MATCH(F1126,'1.職能辭典'!$C:$C,0))),OR(INDEX('1.職能辭典'!$K:$K,MATCH(F1126,'1.職能辭典'!$C:$C,0))="全部",SUMPRODUCT(ISNUMBER(SEARCH({"經營","管理","財務","企劃","營運","技術","數據","美術","測試","客服"},INDEX('3.員工名單'!$I:$I,MATCH(A1126,'3.員工名單'!$A:$A,0))))*ISNUMBER(SEARCH({"經營","管理","財務","企劃","營運","技術","數據","美術","測試","客服"},INDEX('1.職能辭典'!$K:$K,MATCH(F1126,'1.職能辭典'!$C:$C,0)))))&gt;0)),INDEX('2.職務職能需求'!$B$2:$F$28,MATCH(F1126,'2.職務職能需求'!$A$2:$A$28,0),MATCH(D1126,'2.職務職能需求'!$B$1:$F$1,0)),0),""))</f>
        <v/>
      </c>
      <c r="H1126" s="94" t="n"/>
      <c r="I1126" s="94" t="n"/>
      <c r="J1126" s="120">
        <f>IF(OR(G1126="",I1126="",G1126=0),"",I1126-G1126)</f>
        <v/>
      </c>
      <c r="K1126" s="120">
        <f>IF(G1126="","",IF(G1126=0,"不適用",IF(I1126="","待評核",IF(I1126&gt;=G1126,IF(I1126&gt;G1126,"超越","達標"),"待發展"))))</f>
        <v/>
      </c>
      <c r="L1126" s="91" t="n"/>
      <c r="M1126" s="91" t="n"/>
      <c r="N1126" s="88" t="n"/>
    </row>
    <row r="1127" ht="15.75" customHeight="1" s="64">
      <c r="A1127" s="88" t="n"/>
      <c r="B1127" s="120">
        <f t="array" ref="B1127:B1127">IF(A1127="","",IFERROR(INDEX('3.員工名單'!$B:$B,MATCH(A1127,'3.員工名單'!$A:$A,0)),"查無此員工"))</f>
        <v/>
      </c>
      <c r="C1127" s="120">
        <f t="array" ref="C1127:C1127">IF(A1127="","",IFERROR(INDEX('3.員工名單'!$C:$C,MATCH(A1127,'3.員工名單'!$A:$A,0)),""))</f>
        <v/>
      </c>
      <c r="D1127" s="120">
        <f t="array" ref="D1127:D1127">IF(A1127="","",IFERROR(INDEX('3.員工名單'!$D:$D,MATCH(A1127,'3.員工名單'!$A:$A,0)),""))</f>
        <v/>
      </c>
      <c r="E1127" s="120">
        <f t="array" ref="E1127:E1127">IF(F1127="","",IFERROR(INDEX('1.職能辭典'!$A:$A,MATCH(F1127,'1.職能辭典'!$C:$C,0)),""))</f>
        <v/>
      </c>
      <c r="F1127" s="94" t="n"/>
      <c r="G1127" s="120">
        <f t="array" ref="G1127:G1127">IF(OR(D1127="",F1127=""),"",IFERROR(IF(AND(OR(INDEX('1.職能辭典'!$J:$J,MATCH(F1127,'1.職能辭典'!$C:$C,0))="全部",INDEX('3.員工名單'!$H:$H,MATCH(A1127,'3.員工名單'!$A:$A,0))="兩款共用",INDEX('3.員工名單'!$H:$H,MATCH(A1127,'3.員工名單'!$A:$A,0))=INDEX('1.職能辭典'!$J:$J,MATCH(F1127,'1.職能辭典'!$C:$C,0))),OR(INDEX('1.職能辭典'!$K:$K,MATCH(F1127,'1.職能辭典'!$C:$C,0))="全部",SUMPRODUCT(ISNUMBER(SEARCH({"經營","管理","財務","企劃","營運","技術","數據","美術","測試","客服"},INDEX('3.員工名單'!$I:$I,MATCH(A1127,'3.員工名單'!$A:$A,0))))*ISNUMBER(SEARCH({"經營","管理","財務","企劃","營運","技術","數據","美術","測試","客服"},INDEX('1.職能辭典'!$K:$K,MATCH(F1127,'1.職能辭典'!$C:$C,0)))))&gt;0)),INDEX('2.職務職能需求'!$B$2:$F$28,MATCH(F1127,'2.職務職能需求'!$A$2:$A$28,0),MATCH(D1127,'2.職務職能需求'!$B$1:$F$1,0)),0),""))</f>
        <v/>
      </c>
      <c r="H1127" s="94" t="n"/>
      <c r="I1127" s="94" t="n"/>
      <c r="J1127" s="120">
        <f>IF(OR(G1127="",I1127="",G1127=0),"",I1127-G1127)</f>
        <v/>
      </c>
      <c r="K1127" s="120">
        <f>IF(G1127="","",IF(G1127=0,"不適用",IF(I1127="","待評核",IF(I1127&gt;=G1127,IF(I1127&gt;G1127,"超越","達標"),"待發展"))))</f>
        <v/>
      </c>
      <c r="L1127" s="91" t="n"/>
      <c r="M1127" s="91" t="n"/>
      <c r="N1127" s="88" t="n"/>
    </row>
    <row r="1128" ht="15.75" customHeight="1" s="64">
      <c r="A1128" s="88" t="n"/>
      <c r="B1128" s="120">
        <f t="array" ref="B1128:B1128">IF(A1128="","",IFERROR(INDEX('3.員工名單'!$B:$B,MATCH(A1128,'3.員工名單'!$A:$A,0)),"查無此員工"))</f>
        <v/>
      </c>
      <c r="C1128" s="120">
        <f t="array" ref="C1128:C1128">IF(A1128="","",IFERROR(INDEX('3.員工名單'!$C:$C,MATCH(A1128,'3.員工名單'!$A:$A,0)),""))</f>
        <v/>
      </c>
      <c r="D1128" s="120">
        <f t="array" ref="D1128:D1128">IF(A1128="","",IFERROR(INDEX('3.員工名單'!$D:$D,MATCH(A1128,'3.員工名單'!$A:$A,0)),""))</f>
        <v/>
      </c>
      <c r="E1128" s="120">
        <f t="array" ref="E1128:E1128">IF(F1128="","",IFERROR(INDEX('1.職能辭典'!$A:$A,MATCH(F1128,'1.職能辭典'!$C:$C,0)),""))</f>
        <v/>
      </c>
      <c r="F1128" s="94" t="n"/>
      <c r="G1128" s="120">
        <f t="array" ref="G1128:G1128">IF(OR(D1128="",F1128=""),"",IFERROR(IF(AND(OR(INDEX('1.職能辭典'!$J:$J,MATCH(F1128,'1.職能辭典'!$C:$C,0))="全部",INDEX('3.員工名單'!$H:$H,MATCH(A1128,'3.員工名單'!$A:$A,0))="兩款共用",INDEX('3.員工名單'!$H:$H,MATCH(A1128,'3.員工名單'!$A:$A,0))=INDEX('1.職能辭典'!$J:$J,MATCH(F1128,'1.職能辭典'!$C:$C,0))),OR(INDEX('1.職能辭典'!$K:$K,MATCH(F1128,'1.職能辭典'!$C:$C,0))="全部",SUMPRODUCT(ISNUMBER(SEARCH({"經營","管理","財務","企劃","營運","技術","數據","美術","測試","客服"},INDEX('3.員工名單'!$I:$I,MATCH(A1128,'3.員工名單'!$A:$A,0))))*ISNUMBER(SEARCH({"經營","管理","財務","企劃","營運","技術","數據","美術","測試","客服"},INDEX('1.職能辭典'!$K:$K,MATCH(F1128,'1.職能辭典'!$C:$C,0)))))&gt;0)),INDEX('2.職務職能需求'!$B$2:$F$28,MATCH(F1128,'2.職務職能需求'!$A$2:$A$28,0),MATCH(D1128,'2.職務職能需求'!$B$1:$F$1,0)),0),""))</f>
        <v/>
      </c>
      <c r="H1128" s="94" t="n"/>
      <c r="I1128" s="94" t="n"/>
      <c r="J1128" s="120">
        <f>IF(OR(G1128="",I1128="",G1128=0),"",I1128-G1128)</f>
        <v/>
      </c>
      <c r="K1128" s="120">
        <f>IF(G1128="","",IF(G1128=0,"不適用",IF(I1128="","待評核",IF(I1128&gt;=G1128,IF(I1128&gt;G1128,"超越","達標"),"待發展"))))</f>
        <v/>
      </c>
      <c r="L1128" s="91" t="n"/>
      <c r="M1128" s="91" t="n"/>
      <c r="N1128" s="88" t="n"/>
    </row>
    <row r="1129" ht="15.75" customHeight="1" s="64">
      <c r="A1129" s="88" t="n"/>
      <c r="B1129" s="120">
        <f t="array" ref="B1129:B1129">IF(A1129="","",IFERROR(INDEX('3.員工名單'!$B:$B,MATCH(A1129,'3.員工名單'!$A:$A,0)),"查無此員工"))</f>
        <v/>
      </c>
      <c r="C1129" s="120">
        <f t="array" ref="C1129:C1129">IF(A1129="","",IFERROR(INDEX('3.員工名單'!$C:$C,MATCH(A1129,'3.員工名單'!$A:$A,0)),""))</f>
        <v/>
      </c>
      <c r="D1129" s="120">
        <f t="array" ref="D1129:D1129">IF(A1129="","",IFERROR(INDEX('3.員工名單'!$D:$D,MATCH(A1129,'3.員工名單'!$A:$A,0)),""))</f>
        <v/>
      </c>
      <c r="E1129" s="120">
        <f t="array" ref="E1129:E1129">IF(F1129="","",IFERROR(INDEX('1.職能辭典'!$A:$A,MATCH(F1129,'1.職能辭典'!$C:$C,0)),""))</f>
        <v/>
      </c>
      <c r="F1129" s="94" t="n"/>
      <c r="G1129" s="120">
        <f t="array" ref="G1129:G1129">IF(OR(D1129="",F1129=""),"",IFERROR(IF(AND(OR(INDEX('1.職能辭典'!$J:$J,MATCH(F1129,'1.職能辭典'!$C:$C,0))="全部",INDEX('3.員工名單'!$H:$H,MATCH(A1129,'3.員工名單'!$A:$A,0))="兩款共用",INDEX('3.員工名單'!$H:$H,MATCH(A1129,'3.員工名單'!$A:$A,0))=INDEX('1.職能辭典'!$J:$J,MATCH(F1129,'1.職能辭典'!$C:$C,0))),OR(INDEX('1.職能辭典'!$K:$K,MATCH(F1129,'1.職能辭典'!$C:$C,0))="全部",SUMPRODUCT(ISNUMBER(SEARCH({"經營","管理","財務","企劃","營運","技術","數據","美術","測試","客服"},INDEX('3.員工名單'!$I:$I,MATCH(A1129,'3.員工名單'!$A:$A,0))))*ISNUMBER(SEARCH({"經營","管理","財務","企劃","營運","技術","數據","美術","測試","客服"},INDEX('1.職能辭典'!$K:$K,MATCH(F1129,'1.職能辭典'!$C:$C,0)))))&gt;0)),INDEX('2.職務職能需求'!$B$2:$F$28,MATCH(F1129,'2.職務職能需求'!$A$2:$A$28,0),MATCH(D1129,'2.職務職能需求'!$B$1:$F$1,0)),0),""))</f>
        <v/>
      </c>
      <c r="H1129" s="94" t="n"/>
      <c r="I1129" s="94" t="n"/>
      <c r="J1129" s="120">
        <f>IF(OR(G1129="",I1129="",G1129=0),"",I1129-G1129)</f>
        <v/>
      </c>
      <c r="K1129" s="120">
        <f>IF(G1129="","",IF(G1129=0,"不適用",IF(I1129="","待評核",IF(I1129&gt;=G1129,IF(I1129&gt;G1129,"超越","達標"),"待發展"))))</f>
        <v/>
      </c>
      <c r="L1129" s="91" t="n"/>
      <c r="M1129" s="91" t="n"/>
      <c r="N1129" s="88" t="n"/>
    </row>
    <row r="1130" ht="15.75" customHeight="1" s="64">
      <c r="A1130" s="88" t="n"/>
      <c r="B1130" s="120">
        <f t="array" ref="B1130:B1130">IF(A1130="","",IFERROR(INDEX('3.員工名單'!$B:$B,MATCH(A1130,'3.員工名單'!$A:$A,0)),"查無此員工"))</f>
        <v/>
      </c>
      <c r="C1130" s="120">
        <f t="array" ref="C1130:C1130">IF(A1130="","",IFERROR(INDEX('3.員工名單'!$C:$C,MATCH(A1130,'3.員工名單'!$A:$A,0)),""))</f>
        <v/>
      </c>
      <c r="D1130" s="120">
        <f t="array" ref="D1130:D1130">IF(A1130="","",IFERROR(INDEX('3.員工名單'!$D:$D,MATCH(A1130,'3.員工名單'!$A:$A,0)),""))</f>
        <v/>
      </c>
      <c r="E1130" s="120">
        <f t="array" ref="E1130:E1130">IF(F1130="","",IFERROR(INDEX('1.職能辭典'!$A:$A,MATCH(F1130,'1.職能辭典'!$C:$C,0)),""))</f>
        <v/>
      </c>
      <c r="F1130" s="94" t="n"/>
      <c r="G1130" s="120">
        <f t="array" ref="G1130:G1130">IF(OR(D1130="",F1130=""),"",IFERROR(IF(AND(OR(INDEX('1.職能辭典'!$J:$J,MATCH(F1130,'1.職能辭典'!$C:$C,0))="全部",INDEX('3.員工名單'!$H:$H,MATCH(A1130,'3.員工名單'!$A:$A,0))="兩款共用",INDEX('3.員工名單'!$H:$H,MATCH(A1130,'3.員工名單'!$A:$A,0))=INDEX('1.職能辭典'!$J:$J,MATCH(F1130,'1.職能辭典'!$C:$C,0))),OR(INDEX('1.職能辭典'!$K:$K,MATCH(F1130,'1.職能辭典'!$C:$C,0))="全部",SUMPRODUCT(ISNUMBER(SEARCH({"經營","管理","財務","企劃","營運","技術","數據","美術","測試","客服"},INDEX('3.員工名單'!$I:$I,MATCH(A1130,'3.員工名單'!$A:$A,0))))*ISNUMBER(SEARCH({"經營","管理","財務","企劃","營運","技術","數據","美術","測試","客服"},INDEX('1.職能辭典'!$K:$K,MATCH(F1130,'1.職能辭典'!$C:$C,0)))))&gt;0)),INDEX('2.職務職能需求'!$B$2:$F$28,MATCH(F1130,'2.職務職能需求'!$A$2:$A$28,0),MATCH(D1130,'2.職務職能需求'!$B$1:$F$1,0)),0),""))</f>
        <v/>
      </c>
      <c r="H1130" s="94" t="n"/>
      <c r="I1130" s="94" t="n"/>
      <c r="J1130" s="120">
        <f>IF(OR(G1130="",I1130="",G1130=0),"",I1130-G1130)</f>
        <v/>
      </c>
      <c r="K1130" s="120">
        <f>IF(G1130="","",IF(G1130=0,"不適用",IF(I1130="","待評核",IF(I1130&gt;=G1130,IF(I1130&gt;G1130,"超越","達標"),"待發展"))))</f>
        <v/>
      </c>
      <c r="L1130" s="91" t="n"/>
      <c r="M1130" s="91" t="n"/>
      <c r="N1130" s="88" t="n"/>
    </row>
    <row r="1131" ht="15.75" customHeight="1" s="64">
      <c r="A1131" s="88" t="n"/>
      <c r="B1131" s="120">
        <f t="array" ref="B1131:B1131">IF(A1131="","",IFERROR(INDEX('3.員工名單'!$B:$B,MATCH(A1131,'3.員工名單'!$A:$A,0)),"查無此員工"))</f>
        <v/>
      </c>
      <c r="C1131" s="120">
        <f t="array" ref="C1131:C1131">IF(A1131="","",IFERROR(INDEX('3.員工名單'!$C:$C,MATCH(A1131,'3.員工名單'!$A:$A,0)),""))</f>
        <v/>
      </c>
      <c r="D1131" s="120">
        <f t="array" ref="D1131:D1131">IF(A1131="","",IFERROR(INDEX('3.員工名單'!$D:$D,MATCH(A1131,'3.員工名單'!$A:$A,0)),""))</f>
        <v/>
      </c>
      <c r="E1131" s="120">
        <f t="array" ref="E1131:E1131">IF(F1131="","",IFERROR(INDEX('1.職能辭典'!$A:$A,MATCH(F1131,'1.職能辭典'!$C:$C,0)),""))</f>
        <v/>
      </c>
      <c r="F1131" s="94" t="n"/>
      <c r="G1131" s="120">
        <f t="array" ref="G1131:G1131">IF(OR(D1131="",F1131=""),"",IFERROR(IF(AND(OR(INDEX('1.職能辭典'!$J:$J,MATCH(F1131,'1.職能辭典'!$C:$C,0))="全部",INDEX('3.員工名單'!$H:$H,MATCH(A1131,'3.員工名單'!$A:$A,0))="兩款共用",INDEX('3.員工名單'!$H:$H,MATCH(A1131,'3.員工名單'!$A:$A,0))=INDEX('1.職能辭典'!$J:$J,MATCH(F1131,'1.職能辭典'!$C:$C,0))),OR(INDEX('1.職能辭典'!$K:$K,MATCH(F1131,'1.職能辭典'!$C:$C,0))="全部",SUMPRODUCT(ISNUMBER(SEARCH({"經營","管理","財務","企劃","營運","技術","數據","美術","測試","客服"},INDEX('3.員工名單'!$I:$I,MATCH(A1131,'3.員工名單'!$A:$A,0))))*ISNUMBER(SEARCH({"經營","管理","財務","企劃","營運","技術","數據","美術","測試","客服"},INDEX('1.職能辭典'!$K:$K,MATCH(F1131,'1.職能辭典'!$C:$C,0)))))&gt;0)),INDEX('2.職務職能需求'!$B$2:$F$28,MATCH(F1131,'2.職務職能需求'!$A$2:$A$28,0),MATCH(D1131,'2.職務職能需求'!$B$1:$F$1,0)),0),""))</f>
        <v/>
      </c>
      <c r="H1131" s="94" t="n"/>
      <c r="I1131" s="94" t="n"/>
      <c r="J1131" s="120">
        <f>IF(OR(G1131="",I1131="",G1131=0),"",I1131-G1131)</f>
        <v/>
      </c>
      <c r="K1131" s="120">
        <f>IF(G1131="","",IF(G1131=0,"不適用",IF(I1131="","待評核",IF(I1131&gt;=G1131,IF(I1131&gt;G1131,"超越","達標"),"待發展"))))</f>
        <v/>
      </c>
      <c r="L1131" s="91" t="n"/>
      <c r="M1131" s="91" t="n"/>
      <c r="N1131" s="88" t="n"/>
    </row>
    <row r="1132" ht="15.75" customHeight="1" s="64">
      <c r="A1132" s="88" t="n"/>
      <c r="B1132" s="120">
        <f t="array" ref="B1132:B1132">IF(A1132="","",IFERROR(INDEX('3.員工名單'!$B:$B,MATCH(A1132,'3.員工名單'!$A:$A,0)),"查無此員工"))</f>
        <v/>
      </c>
      <c r="C1132" s="120">
        <f t="array" ref="C1132:C1132">IF(A1132="","",IFERROR(INDEX('3.員工名單'!$C:$C,MATCH(A1132,'3.員工名單'!$A:$A,0)),""))</f>
        <v/>
      </c>
      <c r="D1132" s="120">
        <f t="array" ref="D1132:D1132">IF(A1132="","",IFERROR(INDEX('3.員工名單'!$D:$D,MATCH(A1132,'3.員工名單'!$A:$A,0)),""))</f>
        <v/>
      </c>
      <c r="E1132" s="120">
        <f t="array" ref="E1132:E1132">IF(F1132="","",IFERROR(INDEX('1.職能辭典'!$A:$A,MATCH(F1132,'1.職能辭典'!$C:$C,0)),""))</f>
        <v/>
      </c>
      <c r="F1132" s="94" t="n"/>
      <c r="G1132" s="120">
        <f t="array" ref="G1132:G1132">IF(OR(D1132="",F1132=""),"",IFERROR(IF(AND(OR(INDEX('1.職能辭典'!$J:$J,MATCH(F1132,'1.職能辭典'!$C:$C,0))="全部",INDEX('3.員工名單'!$H:$H,MATCH(A1132,'3.員工名單'!$A:$A,0))="兩款共用",INDEX('3.員工名單'!$H:$H,MATCH(A1132,'3.員工名單'!$A:$A,0))=INDEX('1.職能辭典'!$J:$J,MATCH(F1132,'1.職能辭典'!$C:$C,0))),OR(INDEX('1.職能辭典'!$K:$K,MATCH(F1132,'1.職能辭典'!$C:$C,0))="全部",SUMPRODUCT(ISNUMBER(SEARCH({"經營","管理","財務","企劃","營運","技術","數據","美術","測試","客服"},INDEX('3.員工名單'!$I:$I,MATCH(A1132,'3.員工名單'!$A:$A,0))))*ISNUMBER(SEARCH({"經營","管理","財務","企劃","營運","技術","數據","美術","測試","客服"},INDEX('1.職能辭典'!$K:$K,MATCH(F1132,'1.職能辭典'!$C:$C,0)))))&gt;0)),INDEX('2.職務職能需求'!$B$2:$F$28,MATCH(F1132,'2.職務職能需求'!$A$2:$A$28,0),MATCH(D1132,'2.職務職能需求'!$B$1:$F$1,0)),0),""))</f>
        <v/>
      </c>
      <c r="H1132" s="94" t="n"/>
      <c r="I1132" s="94" t="n"/>
      <c r="J1132" s="120">
        <f>IF(OR(G1132="",I1132="",G1132=0),"",I1132-G1132)</f>
        <v/>
      </c>
      <c r="K1132" s="120">
        <f>IF(G1132="","",IF(G1132=0,"不適用",IF(I1132="","待評核",IF(I1132&gt;=G1132,IF(I1132&gt;G1132,"超越","達標"),"待發展"))))</f>
        <v/>
      </c>
      <c r="L1132" s="91" t="n"/>
      <c r="M1132" s="91" t="n"/>
      <c r="N1132" s="88" t="n"/>
    </row>
    <row r="1133" ht="15.75" customHeight="1" s="64">
      <c r="A1133" s="88" t="n"/>
      <c r="B1133" s="120">
        <f t="array" ref="B1133:B1133">IF(A1133="","",IFERROR(INDEX('3.員工名單'!$B:$B,MATCH(A1133,'3.員工名單'!$A:$A,0)),"查無此員工"))</f>
        <v/>
      </c>
      <c r="C1133" s="120">
        <f t="array" ref="C1133:C1133">IF(A1133="","",IFERROR(INDEX('3.員工名單'!$C:$C,MATCH(A1133,'3.員工名單'!$A:$A,0)),""))</f>
        <v/>
      </c>
      <c r="D1133" s="120">
        <f t="array" ref="D1133:D1133">IF(A1133="","",IFERROR(INDEX('3.員工名單'!$D:$D,MATCH(A1133,'3.員工名單'!$A:$A,0)),""))</f>
        <v/>
      </c>
      <c r="E1133" s="120">
        <f t="array" ref="E1133:E1133">IF(F1133="","",IFERROR(INDEX('1.職能辭典'!$A:$A,MATCH(F1133,'1.職能辭典'!$C:$C,0)),""))</f>
        <v/>
      </c>
      <c r="F1133" s="94" t="n"/>
      <c r="G1133" s="120">
        <f t="array" ref="G1133:G1133">IF(OR(D1133="",F1133=""),"",IFERROR(IF(AND(OR(INDEX('1.職能辭典'!$J:$J,MATCH(F1133,'1.職能辭典'!$C:$C,0))="全部",INDEX('3.員工名單'!$H:$H,MATCH(A1133,'3.員工名單'!$A:$A,0))="兩款共用",INDEX('3.員工名單'!$H:$H,MATCH(A1133,'3.員工名單'!$A:$A,0))=INDEX('1.職能辭典'!$J:$J,MATCH(F1133,'1.職能辭典'!$C:$C,0))),OR(INDEX('1.職能辭典'!$K:$K,MATCH(F1133,'1.職能辭典'!$C:$C,0))="全部",SUMPRODUCT(ISNUMBER(SEARCH({"經營","管理","財務","企劃","營運","技術","數據","美術","測試","客服"},INDEX('3.員工名單'!$I:$I,MATCH(A1133,'3.員工名單'!$A:$A,0))))*ISNUMBER(SEARCH({"經營","管理","財務","企劃","營運","技術","數據","美術","測試","客服"},INDEX('1.職能辭典'!$K:$K,MATCH(F1133,'1.職能辭典'!$C:$C,0)))))&gt;0)),INDEX('2.職務職能需求'!$B$2:$F$28,MATCH(F1133,'2.職務職能需求'!$A$2:$A$28,0),MATCH(D1133,'2.職務職能需求'!$B$1:$F$1,0)),0),""))</f>
        <v/>
      </c>
      <c r="H1133" s="94" t="n"/>
      <c r="I1133" s="94" t="n"/>
      <c r="J1133" s="120">
        <f>IF(OR(G1133="",I1133="",G1133=0),"",I1133-G1133)</f>
        <v/>
      </c>
      <c r="K1133" s="120">
        <f>IF(G1133="","",IF(G1133=0,"不適用",IF(I1133="","待評核",IF(I1133&gt;=G1133,IF(I1133&gt;G1133,"超越","達標"),"待發展"))))</f>
        <v/>
      </c>
      <c r="L1133" s="91" t="n"/>
      <c r="M1133" s="91" t="n"/>
      <c r="N1133" s="88" t="n"/>
    </row>
    <row r="1134" ht="15.75" customHeight="1" s="64">
      <c r="A1134" s="88" t="n"/>
      <c r="B1134" s="120">
        <f t="array" ref="B1134:B1134">IF(A1134="","",IFERROR(INDEX('3.員工名單'!$B:$B,MATCH(A1134,'3.員工名單'!$A:$A,0)),"查無此員工"))</f>
        <v/>
      </c>
      <c r="C1134" s="120">
        <f t="array" ref="C1134:C1134">IF(A1134="","",IFERROR(INDEX('3.員工名單'!$C:$C,MATCH(A1134,'3.員工名單'!$A:$A,0)),""))</f>
        <v/>
      </c>
      <c r="D1134" s="120">
        <f t="array" ref="D1134:D1134">IF(A1134="","",IFERROR(INDEX('3.員工名單'!$D:$D,MATCH(A1134,'3.員工名單'!$A:$A,0)),""))</f>
        <v/>
      </c>
      <c r="E1134" s="120">
        <f t="array" ref="E1134:E1134">IF(F1134="","",IFERROR(INDEX('1.職能辭典'!$A:$A,MATCH(F1134,'1.職能辭典'!$C:$C,0)),""))</f>
        <v/>
      </c>
      <c r="F1134" s="94" t="n"/>
      <c r="G1134" s="120">
        <f t="array" ref="G1134:G1134">IF(OR(D1134="",F1134=""),"",IFERROR(IF(AND(OR(INDEX('1.職能辭典'!$J:$J,MATCH(F1134,'1.職能辭典'!$C:$C,0))="全部",INDEX('3.員工名單'!$H:$H,MATCH(A1134,'3.員工名單'!$A:$A,0))="兩款共用",INDEX('3.員工名單'!$H:$H,MATCH(A1134,'3.員工名單'!$A:$A,0))=INDEX('1.職能辭典'!$J:$J,MATCH(F1134,'1.職能辭典'!$C:$C,0))),OR(INDEX('1.職能辭典'!$K:$K,MATCH(F1134,'1.職能辭典'!$C:$C,0))="全部",SUMPRODUCT(ISNUMBER(SEARCH({"經營","管理","財務","企劃","營運","技術","數據","美術","測試","客服"},INDEX('3.員工名單'!$I:$I,MATCH(A1134,'3.員工名單'!$A:$A,0))))*ISNUMBER(SEARCH({"經營","管理","財務","企劃","營運","技術","數據","美術","測試","客服"},INDEX('1.職能辭典'!$K:$K,MATCH(F1134,'1.職能辭典'!$C:$C,0)))))&gt;0)),INDEX('2.職務職能需求'!$B$2:$F$28,MATCH(F1134,'2.職務職能需求'!$A$2:$A$28,0),MATCH(D1134,'2.職務職能需求'!$B$1:$F$1,0)),0),""))</f>
        <v/>
      </c>
      <c r="H1134" s="94" t="n"/>
      <c r="I1134" s="94" t="n"/>
      <c r="J1134" s="120">
        <f>IF(OR(G1134="",I1134="",G1134=0),"",I1134-G1134)</f>
        <v/>
      </c>
      <c r="K1134" s="120">
        <f>IF(G1134="","",IF(G1134=0,"不適用",IF(I1134="","待評核",IF(I1134&gt;=G1134,IF(I1134&gt;G1134,"超越","達標"),"待發展"))))</f>
        <v/>
      </c>
      <c r="L1134" s="91" t="n"/>
      <c r="M1134" s="91" t="n"/>
      <c r="N1134" s="88" t="n"/>
    </row>
    <row r="1135" ht="15.75" customHeight="1" s="64">
      <c r="A1135" s="88" t="n"/>
      <c r="B1135" s="120">
        <f t="array" ref="B1135:B1135">IF(A1135="","",IFERROR(INDEX('3.員工名單'!$B:$B,MATCH(A1135,'3.員工名單'!$A:$A,0)),"查無此員工"))</f>
        <v/>
      </c>
      <c r="C1135" s="120">
        <f t="array" ref="C1135:C1135">IF(A1135="","",IFERROR(INDEX('3.員工名單'!$C:$C,MATCH(A1135,'3.員工名單'!$A:$A,0)),""))</f>
        <v/>
      </c>
      <c r="D1135" s="120">
        <f t="array" ref="D1135:D1135">IF(A1135="","",IFERROR(INDEX('3.員工名單'!$D:$D,MATCH(A1135,'3.員工名單'!$A:$A,0)),""))</f>
        <v/>
      </c>
      <c r="E1135" s="120">
        <f t="array" ref="E1135:E1135">IF(F1135="","",IFERROR(INDEX('1.職能辭典'!$A:$A,MATCH(F1135,'1.職能辭典'!$C:$C,0)),""))</f>
        <v/>
      </c>
      <c r="F1135" s="94" t="n"/>
      <c r="G1135" s="120">
        <f t="array" ref="G1135:G1135">IF(OR(D1135="",F1135=""),"",IFERROR(IF(AND(OR(INDEX('1.職能辭典'!$J:$J,MATCH(F1135,'1.職能辭典'!$C:$C,0))="全部",INDEX('3.員工名單'!$H:$H,MATCH(A1135,'3.員工名單'!$A:$A,0))="兩款共用",INDEX('3.員工名單'!$H:$H,MATCH(A1135,'3.員工名單'!$A:$A,0))=INDEX('1.職能辭典'!$J:$J,MATCH(F1135,'1.職能辭典'!$C:$C,0))),OR(INDEX('1.職能辭典'!$K:$K,MATCH(F1135,'1.職能辭典'!$C:$C,0))="全部",SUMPRODUCT(ISNUMBER(SEARCH({"經營","管理","財務","企劃","營運","技術","數據","美術","測試","客服"},INDEX('3.員工名單'!$I:$I,MATCH(A1135,'3.員工名單'!$A:$A,0))))*ISNUMBER(SEARCH({"經營","管理","財務","企劃","營運","技術","數據","美術","測試","客服"},INDEX('1.職能辭典'!$K:$K,MATCH(F1135,'1.職能辭典'!$C:$C,0)))))&gt;0)),INDEX('2.職務職能需求'!$B$2:$F$28,MATCH(F1135,'2.職務職能需求'!$A$2:$A$28,0),MATCH(D1135,'2.職務職能需求'!$B$1:$F$1,0)),0),""))</f>
        <v/>
      </c>
      <c r="H1135" s="94" t="n"/>
      <c r="I1135" s="94" t="n"/>
      <c r="J1135" s="120">
        <f>IF(OR(G1135="",I1135="",G1135=0),"",I1135-G1135)</f>
        <v/>
      </c>
      <c r="K1135" s="120">
        <f>IF(G1135="","",IF(G1135=0,"不適用",IF(I1135="","待評核",IF(I1135&gt;=G1135,IF(I1135&gt;G1135,"超越","達標"),"待發展"))))</f>
        <v/>
      </c>
      <c r="L1135" s="91" t="n"/>
      <c r="M1135" s="91" t="n"/>
      <c r="N1135" s="88" t="n"/>
    </row>
    <row r="1136" ht="15.75" customHeight="1" s="64">
      <c r="A1136" s="88" t="n"/>
      <c r="B1136" s="120">
        <f t="array" ref="B1136:B1136">IF(A1136="","",IFERROR(INDEX('3.員工名單'!$B:$B,MATCH(A1136,'3.員工名單'!$A:$A,0)),"查無此員工"))</f>
        <v/>
      </c>
      <c r="C1136" s="120">
        <f t="array" ref="C1136:C1136">IF(A1136="","",IFERROR(INDEX('3.員工名單'!$C:$C,MATCH(A1136,'3.員工名單'!$A:$A,0)),""))</f>
        <v/>
      </c>
      <c r="D1136" s="120">
        <f t="array" ref="D1136:D1136">IF(A1136="","",IFERROR(INDEX('3.員工名單'!$D:$D,MATCH(A1136,'3.員工名單'!$A:$A,0)),""))</f>
        <v/>
      </c>
      <c r="E1136" s="120">
        <f t="array" ref="E1136:E1136">IF(F1136="","",IFERROR(INDEX('1.職能辭典'!$A:$A,MATCH(F1136,'1.職能辭典'!$C:$C,0)),""))</f>
        <v/>
      </c>
      <c r="F1136" s="94" t="n"/>
      <c r="G1136" s="120">
        <f t="array" ref="G1136:G1136">IF(OR(D1136="",F1136=""),"",IFERROR(IF(AND(OR(INDEX('1.職能辭典'!$J:$J,MATCH(F1136,'1.職能辭典'!$C:$C,0))="全部",INDEX('3.員工名單'!$H:$H,MATCH(A1136,'3.員工名單'!$A:$A,0))="兩款共用",INDEX('3.員工名單'!$H:$H,MATCH(A1136,'3.員工名單'!$A:$A,0))=INDEX('1.職能辭典'!$J:$J,MATCH(F1136,'1.職能辭典'!$C:$C,0))),OR(INDEX('1.職能辭典'!$K:$K,MATCH(F1136,'1.職能辭典'!$C:$C,0))="全部",SUMPRODUCT(ISNUMBER(SEARCH({"經營","管理","財務","企劃","營運","技術","數據","美術","測試","客服"},INDEX('3.員工名單'!$I:$I,MATCH(A1136,'3.員工名單'!$A:$A,0))))*ISNUMBER(SEARCH({"經營","管理","財務","企劃","營運","技術","數據","美術","測試","客服"},INDEX('1.職能辭典'!$K:$K,MATCH(F1136,'1.職能辭典'!$C:$C,0)))))&gt;0)),INDEX('2.職務職能需求'!$B$2:$F$28,MATCH(F1136,'2.職務職能需求'!$A$2:$A$28,0),MATCH(D1136,'2.職務職能需求'!$B$1:$F$1,0)),0),""))</f>
        <v/>
      </c>
      <c r="H1136" s="94" t="n"/>
      <c r="I1136" s="94" t="n"/>
      <c r="J1136" s="120">
        <f>IF(OR(G1136="",I1136="",G1136=0),"",I1136-G1136)</f>
        <v/>
      </c>
      <c r="K1136" s="120">
        <f>IF(G1136="","",IF(G1136=0,"不適用",IF(I1136="","待評核",IF(I1136&gt;=G1136,IF(I1136&gt;G1136,"超越","達標"),"待發展"))))</f>
        <v/>
      </c>
      <c r="L1136" s="91" t="n"/>
      <c r="M1136" s="91" t="n"/>
      <c r="N1136" s="88" t="n"/>
    </row>
    <row r="1137" ht="15.75" customHeight="1" s="64">
      <c r="A1137" s="88" t="n"/>
      <c r="B1137" s="120">
        <f t="array" ref="B1137:B1137">IF(A1137="","",IFERROR(INDEX('3.員工名單'!$B:$B,MATCH(A1137,'3.員工名單'!$A:$A,0)),"查無此員工"))</f>
        <v/>
      </c>
      <c r="C1137" s="120">
        <f t="array" ref="C1137:C1137">IF(A1137="","",IFERROR(INDEX('3.員工名單'!$C:$C,MATCH(A1137,'3.員工名單'!$A:$A,0)),""))</f>
        <v/>
      </c>
      <c r="D1137" s="120">
        <f t="array" ref="D1137:D1137">IF(A1137="","",IFERROR(INDEX('3.員工名單'!$D:$D,MATCH(A1137,'3.員工名單'!$A:$A,0)),""))</f>
        <v/>
      </c>
      <c r="E1137" s="120">
        <f t="array" ref="E1137:E1137">IF(F1137="","",IFERROR(INDEX('1.職能辭典'!$A:$A,MATCH(F1137,'1.職能辭典'!$C:$C,0)),""))</f>
        <v/>
      </c>
      <c r="F1137" s="94" t="n"/>
      <c r="G1137" s="120">
        <f t="array" ref="G1137:G1137">IF(OR(D1137="",F1137=""),"",IFERROR(IF(AND(OR(INDEX('1.職能辭典'!$J:$J,MATCH(F1137,'1.職能辭典'!$C:$C,0))="全部",INDEX('3.員工名單'!$H:$H,MATCH(A1137,'3.員工名單'!$A:$A,0))="兩款共用",INDEX('3.員工名單'!$H:$H,MATCH(A1137,'3.員工名單'!$A:$A,0))=INDEX('1.職能辭典'!$J:$J,MATCH(F1137,'1.職能辭典'!$C:$C,0))),OR(INDEX('1.職能辭典'!$K:$K,MATCH(F1137,'1.職能辭典'!$C:$C,0))="全部",SUMPRODUCT(ISNUMBER(SEARCH({"經營","管理","財務","企劃","營運","技術","數據","美術","測試","客服"},INDEX('3.員工名單'!$I:$I,MATCH(A1137,'3.員工名單'!$A:$A,0))))*ISNUMBER(SEARCH({"經營","管理","財務","企劃","營運","技術","數據","美術","測試","客服"},INDEX('1.職能辭典'!$K:$K,MATCH(F1137,'1.職能辭典'!$C:$C,0)))))&gt;0)),INDEX('2.職務職能需求'!$B$2:$F$28,MATCH(F1137,'2.職務職能需求'!$A$2:$A$28,0),MATCH(D1137,'2.職務職能需求'!$B$1:$F$1,0)),0),""))</f>
        <v/>
      </c>
      <c r="H1137" s="94" t="n"/>
      <c r="I1137" s="94" t="n"/>
      <c r="J1137" s="120">
        <f>IF(OR(G1137="",I1137="",G1137=0),"",I1137-G1137)</f>
        <v/>
      </c>
      <c r="K1137" s="120">
        <f>IF(G1137="","",IF(G1137=0,"不適用",IF(I1137="","待評核",IF(I1137&gt;=G1137,IF(I1137&gt;G1137,"超越","達標"),"待發展"))))</f>
        <v/>
      </c>
      <c r="L1137" s="91" t="n"/>
      <c r="M1137" s="91" t="n"/>
      <c r="N1137" s="88" t="n"/>
    </row>
    <row r="1138" ht="15.75" customHeight="1" s="64">
      <c r="A1138" s="88" t="n"/>
      <c r="B1138" s="120">
        <f t="array" ref="B1138:B1138">IF(A1138="","",IFERROR(INDEX('3.員工名單'!$B:$B,MATCH(A1138,'3.員工名單'!$A:$A,0)),"查無此員工"))</f>
        <v/>
      </c>
      <c r="C1138" s="120">
        <f t="array" ref="C1138:C1138">IF(A1138="","",IFERROR(INDEX('3.員工名單'!$C:$C,MATCH(A1138,'3.員工名單'!$A:$A,0)),""))</f>
        <v/>
      </c>
      <c r="D1138" s="120">
        <f t="array" ref="D1138:D1138">IF(A1138="","",IFERROR(INDEX('3.員工名單'!$D:$D,MATCH(A1138,'3.員工名單'!$A:$A,0)),""))</f>
        <v/>
      </c>
      <c r="E1138" s="120">
        <f t="array" ref="E1138:E1138">IF(F1138="","",IFERROR(INDEX('1.職能辭典'!$A:$A,MATCH(F1138,'1.職能辭典'!$C:$C,0)),""))</f>
        <v/>
      </c>
      <c r="F1138" s="94" t="n"/>
      <c r="G1138" s="120">
        <f t="array" ref="G1138:G1138">IF(OR(D1138="",F1138=""),"",IFERROR(IF(AND(OR(INDEX('1.職能辭典'!$J:$J,MATCH(F1138,'1.職能辭典'!$C:$C,0))="全部",INDEX('3.員工名單'!$H:$H,MATCH(A1138,'3.員工名單'!$A:$A,0))="兩款共用",INDEX('3.員工名單'!$H:$H,MATCH(A1138,'3.員工名單'!$A:$A,0))=INDEX('1.職能辭典'!$J:$J,MATCH(F1138,'1.職能辭典'!$C:$C,0))),OR(INDEX('1.職能辭典'!$K:$K,MATCH(F1138,'1.職能辭典'!$C:$C,0))="全部",SUMPRODUCT(ISNUMBER(SEARCH({"經營","管理","財務","企劃","營運","技術","數據","美術","測試","客服"},INDEX('3.員工名單'!$I:$I,MATCH(A1138,'3.員工名單'!$A:$A,0))))*ISNUMBER(SEARCH({"經營","管理","財務","企劃","營運","技術","數據","美術","測試","客服"},INDEX('1.職能辭典'!$K:$K,MATCH(F1138,'1.職能辭典'!$C:$C,0)))))&gt;0)),INDEX('2.職務職能需求'!$B$2:$F$28,MATCH(F1138,'2.職務職能需求'!$A$2:$A$28,0),MATCH(D1138,'2.職務職能需求'!$B$1:$F$1,0)),0),""))</f>
        <v/>
      </c>
      <c r="H1138" s="94" t="n"/>
      <c r="I1138" s="94" t="n"/>
      <c r="J1138" s="120">
        <f>IF(OR(G1138="",I1138="",G1138=0),"",I1138-G1138)</f>
        <v/>
      </c>
      <c r="K1138" s="120">
        <f>IF(G1138="","",IF(G1138=0,"不適用",IF(I1138="","待評核",IF(I1138&gt;=G1138,IF(I1138&gt;G1138,"超越","達標"),"待發展"))))</f>
        <v/>
      </c>
      <c r="L1138" s="91" t="n"/>
      <c r="M1138" s="91" t="n"/>
      <c r="N1138" s="88" t="n"/>
    </row>
    <row r="1139" ht="15.75" customHeight="1" s="64">
      <c r="A1139" s="88" t="n"/>
      <c r="B1139" s="120">
        <f t="array" ref="B1139:B1139">IF(A1139="","",IFERROR(INDEX('3.員工名單'!$B:$B,MATCH(A1139,'3.員工名單'!$A:$A,0)),"查無此員工"))</f>
        <v/>
      </c>
      <c r="C1139" s="120">
        <f t="array" ref="C1139:C1139">IF(A1139="","",IFERROR(INDEX('3.員工名單'!$C:$C,MATCH(A1139,'3.員工名單'!$A:$A,0)),""))</f>
        <v/>
      </c>
      <c r="D1139" s="120">
        <f t="array" ref="D1139:D1139">IF(A1139="","",IFERROR(INDEX('3.員工名單'!$D:$D,MATCH(A1139,'3.員工名單'!$A:$A,0)),""))</f>
        <v/>
      </c>
      <c r="E1139" s="120">
        <f t="array" ref="E1139:E1139">IF(F1139="","",IFERROR(INDEX('1.職能辭典'!$A:$A,MATCH(F1139,'1.職能辭典'!$C:$C,0)),""))</f>
        <v/>
      </c>
      <c r="F1139" s="94" t="n"/>
      <c r="G1139" s="120">
        <f t="array" ref="G1139:G1139">IF(OR(D1139="",F1139=""),"",IFERROR(IF(AND(OR(INDEX('1.職能辭典'!$J:$J,MATCH(F1139,'1.職能辭典'!$C:$C,0))="全部",INDEX('3.員工名單'!$H:$H,MATCH(A1139,'3.員工名單'!$A:$A,0))="兩款共用",INDEX('3.員工名單'!$H:$H,MATCH(A1139,'3.員工名單'!$A:$A,0))=INDEX('1.職能辭典'!$J:$J,MATCH(F1139,'1.職能辭典'!$C:$C,0))),OR(INDEX('1.職能辭典'!$K:$K,MATCH(F1139,'1.職能辭典'!$C:$C,0))="全部",SUMPRODUCT(ISNUMBER(SEARCH({"經營","管理","財務","企劃","營運","技術","數據","美術","測試","客服"},INDEX('3.員工名單'!$I:$I,MATCH(A1139,'3.員工名單'!$A:$A,0))))*ISNUMBER(SEARCH({"經營","管理","財務","企劃","營運","技術","數據","美術","測試","客服"},INDEX('1.職能辭典'!$K:$K,MATCH(F1139,'1.職能辭典'!$C:$C,0)))))&gt;0)),INDEX('2.職務職能需求'!$B$2:$F$28,MATCH(F1139,'2.職務職能需求'!$A$2:$A$28,0),MATCH(D1139,'2.職務職能需求'!$B$1:$F$1,0)),0),""))</f>
        <v/>
      </c>
      <c r="H1139" s="94" t="n"/>
      <c r="I1139" s="94" t="n"/>
      <c r="J1139" s="120">
        <f>IF(OR(G1139="",I1139="",G1139=0),"",I1139-G1139)</f>
        <v/>
      </c>
      <c r="K1139" s="120">
        <f>IF(G1139="","",IF(G1139=0,"不適用",IF(I1139="","待評核",IF(I1139&gt;=G1139,IF(I1139&gt;G1139,"超越","達標"),"待發展"))))</f>
        <v/>
      </c>
      <c r="L1139" s="91" t="n"/>
      <c r="M1139" s="91" t="n"/>
      <c r="N1139" s="88" t="n"/>
    </row>
    <row r="1140" ht="15.75" customHeight="1" s="64">
      <c r="A1140" s="88" t="n"/>
      <c r="B1140" s="120">
        <f t="array" ref="B1140:B1140">IF(A1140="","",IFERROR(INDEX('3.員工名單'!$B:$B,MATCH(A1140,'3.員工名單'!$A:$A,0)),"查無此員工"))</f>
        <v/>
      </c>
      <c r="C1140" s="120">
        <f t="array" ref="C1140:C1140">IF(A1140="","",IFERROR(INDEX('3.員工名單'!$C:$C,MATCH(A1140,'3.員工名單'!$A:$A,0)),""))</f>
        <v/>
      </c>
      <c r="D1140" s="120">
        <f t="array" ref="D1140:D1140">IF(A1140="","",IFERROR(INDEX('3.員工名單'!$D:$D,MATCH(A1140,'3.員工名單'!$A:$A,0)),""))</f>
        <v/>
      </c>
      <c r="E1140" s="120">
        <f t="array" ref="E1140:E1140">IF(F1140="","",IFERROR(INDEX('1.職能辭典'!$A:$A,MATCH(F1140,'1.職能辭典'!$C:$C,0)),""))</f>
        <v/>
      </c>
      <c r="F1140" s="94" t="n"/>
      <c r="G1140" s="120">
        <f t="array" ref="G1140:G1140">IF(OR(D1140="",F1140=""),"",IFERROR(IF(AND(OR(INDEX('1.職能辭典'!$J:$J,MATCH(F1140,'1.職能辭典'!$C:$C,0))="全部",INDEX('3.員工名單'!$H:$H,MATCH(A1140,'3.員工名單'!$A:$A,0))="兩款共用",INDEX('3.員工名單'!$H:$H,MATCH(A1140,'3.員工名單'!$A:$A,0))=INDEX('1.職能辭典'!$J:$J,MATCH(F1140,'1.職能辭典'!$C:$C,0))),OR(INDEX('1.職能辭典'!$K:$K,MATCH(F1140,'1.職能辭典'!$C:$C,0))="全部",SUMPRODUCT(ISNUMBER(SEARCH({"經營","管理","財務","企劃","營運","技術","數據","美術","測試","客服"},INDEX('3.員工名單'!$I:$I,MATCH(A1140,'3.員工名單'!$A:$A,0))))*ISNUMBER(SEARCH({"經營","管理","財務","企劃","營運","技術","數據","美術","測試","客服"},INDEX('1.職能辭典'!$K:$K,MATCH(F1140,'1.職能辭典'!$C:$C,0)))))&gt;0)),INDEX('2.職務職能需求'!$B$2:$F$28,MATCH(F1140,'2.職務職能需求'!$A$2:$A$28,0),MATCH(D1140,'2.職務職能需求'!$B$1:$F$1,0)),0),""))</f>
        <v/>
      </c>
      <c r="H1140" s="94" t="n"/>
      <c r="I1140" s="94" t="n"/>
      <c r="J1140" s="120">
        <f>IF(OR(G1140="",I1140="",G1140=0),"",I1140-G1140)</f>
        <v/>
      </c>
      <c r="K1140" s="120">
        <f>IF(G1140="","",IF(G1140=0,"不適用",IF(I1140="","待評核",IF(I1140&gt;=G1140,IF(I1140&gt;G1140,"超越","達標"),"待發展"))))</f>
        <v/>
      </c>
      <c r="L1140" s="91" t="n"/>
      <c r="M1140" s="91" t="n"/>
      <c r="N1140" s="88" t="n"/>
    </row>
    <row r="1141" ht="15.75" customHeight="1" s="64">
      <c r="A1141" s="88" t="n"/>
      <c r="B1141" s="120">
        <f t="array" ref="B1141:B1141">IF(A1141="","",IFERROR(INDEX('3.員工名單'!$B:$B,MATCH(A1141,'3.員工名單'!$A:$A,0)),"查無此員工"))</f>
        <v/>
      </c>
      <c r="C1141" s="120">
        <f t="array" ref="C1141:C1141">IF(A1141="","",IFERROR(INDEX('3.員工名單'!$C:$C,MATCH(A1141,'3.員工名單'!$A:$A,0)),""))</f>
        <v/>
      </c>
      <c r="D1141" s="120">
        <f t="array" ref="D1141:D1141">IF(A1141="","",IFERROR(INDEX('3.員工名單'!$D:$D,MATCH(A1141,'3.員工名單'!$A:$A,0)),""))</f>
        <v/>
      </c>
      <c r="E1141" s="120">
        <f t="array" ref="E1141:E1141">IF(F1141="","",IFERROR(INDEX('1.職能辭典'!$A:$A,MATCH(F1141,'1.職能辭典'!$C:$C,0)),""))</f>
        <v/>
      </c>
      <c r="F1141" s="94" t="n"/>
      <c r="G1141" s="120">
        <f t="array" ref="G1141:G1141">IF(OR(D1141="",F1141=""),"",IFERROR(IF(AND(OR(INDEX('1.職能辭典'!$J:$J,MATCH(F1141,'1.職能辭典'!$C:$C,0))="全部",INDEX('3.員工名單'!$H:$H,MATCH(A1141,'3.員工名單'!$A:$A,0))="兩款共用",INDEX('3.員工名單'!$H:$H,MATCH(A1141,'3.員工名單'!$A:$A,0))=INDEX('1.職能辭典'!$J:$J,MATCH(F1141,'1.職能辭典'!$C:$C,0))),OR(INDEX('1.職能辭典'!$K:$K,MATCH(F1141,'1.職能辭典'!$C:$C,0))="全部",SUMPRODUCT(ISNUMBER(SEARCH({"經營","管理","財務","企劃","營運","技術","數據","美術","測試","客服"},INDEX('3.員工名單'!$I:$I,MATCH(A1141,'3.員工名單'!$A:$A,0))))*ISNUMBER(SEARCH({"經營","管理","財務","企劃","營運","技術","數據","美術","測試","客服"},INDEX('1.職能辭典'!$K:$K,MATCH(F1141,'1.職能辭典'!$C:$C,0)))))&gt;0)),INDEX('2.職務職能需求'!$B$2:$F$28,MATCH(F1141,'2.職務職能需求'!$A$2:$A$28,0),MATCH(D1141,'2.職務職能需求'!$B$1:$F$1,0)),0),""))</f>
        <v/>
      </c>
      <c r="H1141" s="94" t="n"/>
      <c r="I1141" s="94" t="n"/>
      <c r="J1141" s="120">
        <f>IF(OR(G1141="",I1141="",G1141=0),"",I1141-G1141)</f>
        <v/>
      </c>
      <c r="K1141" s="120">
        <f>IF(G1141="","",IF(G1141=0,"不適用",IF(I1141="","待評核",IF(I1141&gt;=G1141,IF(I1141&gt;G1141,"超越","達標"),"待發展"))))</f>
        <v/>
      </c>
      <c r="L1141" s="91" t="n"/>
      <c r="M1141" s="91" t="n"/>
      <c r="N1141" s="88" t="n"/>
    </row>
    <row r="1142" ht="15.75" customHeight="1" s="64">
      <c r="A1142" s="88" t="n"/>
      <c r="B1142" s="120">
        <f t="array" ref="B1142:B1142">IF(A1142="","",IFERROR(INDEX('3.員工名單'!$B:$B,MATCH(A1142,'3.員工名單'!$A:$A,0)),"查無此員工"))</f>
        <v/>
      </c>
      <c r="C1142" s="120">
        <f t="array" ref="C1142:C1142">IF(A1142="","",IFERROR(INDEX('3.員工名單'!$C:$C,MATCH(A1142,'3.員工名單'!$A:$A,0)),""))</f>
        <v/>
      </c>
      <c r="D1142" s="120">
        <f t="array" ref="D1142:D1142">IF(A1142="","",IFERROR(INDEX('3.員工名單'!$D:$D,MATCH(A1142,'3.員工名單'!$A:$A,0)),""))</f>
        <v/>
      </c>
      <c r="E1142" s="120">
        <f t="array" ref="E1142:E1142">IF(F1142="","",IFERROR(INDEX('1.職能辭典'!$A:$A,MATCH(F1142,'1.職能辭典'!$C:$C,0)),""))</f>
        <v/>
      </c>
      <c r="F1142" s="94" t="n"/>
      <c r="G1142" s="120">
        <f t="array" ref="G1142:G1142">IF(OR(D1142="",F1142=""),"",IFERROR(IF(AND(OR(INDEX('1.職能辭典'!$J:$J,MATCH(F1142,'1.職能辭典'!$C:$C,0))="全部",INDEX('3.員工名單'!$H:$H,MATCH(A1142,'3.員工名單'!$A:$A,0))="兩款共用",INDEX('3.員工名單'!$H:$H,MATCH(A1142,'3.員工名單'!$A:$A,0))=INDEX('1.職能辭典'!$J:$J,MATCH(F1142,'1.職能辭典'!$C:$C,0))),OR(INDEX('1.職能辭典'!$K:$K,MATCH(F1142,'1.職能辭典'!$C:$C,0))="全部",SUMPRODUCT(ISNUMBER(SEARCH({"經營","管理","財務","企劃","營運","技術","數據","美術","測試","客服"},INDEX('3.員工名單'!$I:$I,MATCH(A1142,'3.員工名單'!$A:$A,0))))*ISNUMBER(SEARCH({"經營","管理","財務","企劃","營運","技術","數據","美術","測試","客服"},INDEX('1.職能辭典'!$K:$K,MATCH(F1142,'1.職能辭典'!$C:$C,0)))))&gt;0)),INDEX('2.職務職能需求'!$B$2:$F$28,MATCH(F1142,'2.職務職能需求'!$A$2:$A$28,0),MATCH(D1142,'2.職務職能需求'!$B$1:$F$1,0)),0),""))</f>
        <v/>
      </c>
      <c r="H1142" s="94" t="n"/>
      <c r="I1142" s="94" t="n"/>
      <c r="J1142" s="120">
        <f>IF(OR(G1142="",I1142="",G1142=0),"",I1142-G1142)</f>
        <v/>
      </c>
      <c r="K1142" s="120">
        <f>IF(G1142="","",IF(G1142=0,"不適用",IF(I1142="","待評核",IF(I1142&gt;=G1142,IF(I1142&gt;G1142,"超越","達標"),"待發展"))))</f>
        <v/>
      </c>
      <c r="L1142" s="91" t="n"/>
      <c r="M1142" s="91" t="n"/>
      <c r="N1142" s="88" t="n"/>
    </row>
    <row r="1143" ht="15.75" customHeight="1" s="64">
      <c r="A1143" s="88" t="n"/>
      <c r="B1143" s="120">
        <f t="array" ref="B1143:B1143">IF(A1143="","",IFERROR(INDEX('3.員工名單'!$B:$B,MATCH(A1143,'3.員工名單'!$A:$A,0)),"查無此員工"))</f>
        <v/>
      </c>
      <c r="C1143" s="120">
        <f t="array" ref="C1143:C1143">IF(A1143="","",IFERROR(INDEX('3.員工名單'!$C:$C,MATCH(A1143,'3.員工名單'!$A:$A,0)),""))</f>
        <v/>
      </c>
      <c r="D1143" s="120">
        <f t="array" ref="D1143:D1143">IF(A1143="","",IFERROR(INDEX('3.員工名單'!$D:$D,MATCH(A1143,'3.員工名單'!$A:$A,0)),""))</f>
        <v/>
      </c>
      <c r="E1143" s="120">
        <f t="array" ref="E1143:E1143">IF(F1143="","",IFERROR(INDEX('1.職能辭典'!$A:$A,MATCH(F1143,'1.職能辭典'!$C:$C,0)),""))</f>
        <v/>
      </c>
      <c r="F1143" s="94" t="n"/>
      <c r="G1143" s="120">
        <f t="array" ref="G1143:G1143">IF(OR(D1143="",F1143=""),"",IFERROR(IF(AND(OR(INDEX('1.職能辭典'!$J:$J,MATCH(F1143,'1.職能辭典'!$C:$C,0))="全部",INDEX('3.員工名單'!$H:$H,MATCH(A1143,'3.員工名單'!$A:$A,0))="兩款共用",INDEX('3.員工名單'!$H:$H,MATCH(A1143,'3.員工名單'!$A:$A,0))=INDEX('1.職能辭典'!$J:$J,MATCH(F1143,'1.職能辭典'!$C:$C,0))),OR(INDEX('1.職能辭典'!$K:$K,MATCH(F1143,'1.職能辭典'!$C:$C,0))="全部",SUMPRODUCT(ISNUMBER(SEARCH({"經營","管理","財務","企劃","營運","技術","數據","美術","測試","客服"},INDEX('3.員工名單'!$I:$I,MATCH(A1143,'3.員工名單'!$A:$A,0))))*ISNUMBER(SEARCH({"經營","管理","財務","企劃","營運","技術","數據","美術","測試","客服"},INDEX('1.職能辭典'!$K:$K,MATCH(F1143,'1.職能辭典'!$C:$C,0)))))&gt;0)),INDEX('2.職務職能需求'!$B$2:$F$28,MATCH(F1143,'2.職務職能需求'!$A$2:$A$28,0),MATCH(D1143,'2.職務職能需求'!$B$1:$F$1,0)),0),""))</f>
        <v/>
      </c>
      <c r="H1143" s="94" t="n"/>
      <c r="I1143" s="94" t="n"/>
      <c r="J1143" s="120">
        <f>IF(OR(G1143="",I1143="",G1143=0),"",I1143-G1143)</f>
        <v/>
      </c>
      <c r="K1143" s="120">
        <f>IF(G1143="","",IF(G1143=0,"不適用",IF(I1143="","待評核",IF(I1143&gt;=G1143,IF(I1143&gt;G1143,"超越","達標"),"待發展"))))</f>
        <v/>
      </c>
      <c r="L1143" s="91" t="n"/>
      <c r="M1143" s="91" t="n"/>
      <c r="N1143" s="88" t="n"/>
    </row>
    <row r="1144" ht="15.75" customHeight="1" s="64">
      <c r="A1144" s="88" t="n"/>
      <c r="B1144" s="120">
        <f t="array" ref="B1144:B1144">IF(A1144="","",IFERROR(INDEX('3.員工名單'!$B:$B,MATCH(A1144,'3.員工名單'!$A:$A,0)),"查無此員工"))</f>
        <v/>
      </c>
      <c r="C1144" s="120">
        <f t="array" ref="C1144:C1144">IF(A1144="","",IFERROR(INDEX('3.員工名單'!$C:$C,MATCH(A1144,'3.員工名單'!$A:$A,0)),""))</f>
        <v/>
      </c>
      <c r="D1144" s="120">
        <f t="array" ref="D1144:D1144">IF(A1144="","",IFERROR(INDEX('3.員工名單'!$D:$D,MATCH(A1144,'3.員工名單'!$A:$A,0)),""))</f>
        <v/>
      </c>
      <c r="E1144" s="120">
        <f t="array" ref="E1144:E1144">IF(F1144="","",IFERROR(INDEX('1.職能辭典'!$A:$A,MATCH(F1144,'1.職能辭典'!$C:$C,0)),""))</f>
        <v/>
      </c>
      <c r="F1144" s="94" t="n"/>
      <c r="G1144" s="120">
        <f t="array" ref="G1144:G1144">IF(OR(D1144="",F1144=""),"",IFERROR(IF(AND(OR(INDEX('1.職能辭典'!$J:$J,MATCH(F1144,'1.職能辭典'!$C:$C,0))="全部",INDEX('3.員工名單'!$H:$H,MATCH(A1144,'3.員工名單'!$A:$A,0))="兩款共用",INDEX('3.員工名單'!$H:$H,MATCH(A1144,'3.員工名單'!$A:$A,0))=INDEX('1.職能辭典'!$J:$J,MATCH(F1144,'1.職能辭典'!$C:$C,0))),OR(INDEX('1.職能辭典'!$K:$K,MATCH(F1144,'1.職能辭典'!$C:$C,0))="全部",SUMPRODUCT(ISNUMBER(SEARCH({"經營","管理","財務","企劃","營運","技術","數據","美術","測試","客服"},INDEX('3.員工名單'!$I:$I,MATCH(A1144,'3.員工名單'!$A:$A,0))))*ISNUMBER(SEARCH({"經營","管理","財務","企劃","營運","技術","數據","美術","測試","客服"},INDEX('1.職能辭典'!$K:$K,MATCH(F1144,'1.職能辭典'!$C:$C,0)))))&gt;0)),INDEX('2.職務職能需求'!$B$2:$F$28,MATCH(F1144,'2.職務職能需求'!$A$2:$A$28,0),MATCH(D1144,'2.職務職能需求'!$B$1:$F$1,0)),0),""))</f>
        <v/>
      </c>
      <c r="H1144" s="94" t="n"/>
      <c r="I1144" s="94" t="n"/>
      <c r="J1144" s="120">
        <f>IF(OR(G1144="",I1144="",G1144=0),"",I1144-G1144)</f>
        <v/>
      </c>
      <c r="K1144" s="120">
        <f>IF(G1144="","",IF(G1144=0,"不適用",IF(I1144="","待評核",IF(I1144&gt;=G1144,IF(I1144&gt;G1144,"超越","達標"),"待發展"))))</f>
        <v/>
      </c>
      <c r="L1144" s="91" t="n"/>
      <c r="M1144" s="91" t="n"/>
      <c r="N1144" s="88" t="n"/>
    </row>
    <row r="1145" ht="15.75" customHeight="1" s="64">
      <c r="A1145" s="88" t="n"/>
      <c r="B1145" s="120">
        <f t="array" ref="B1145:B1145">IF(A1145="","",IFERROR(INDEX('3.員工名單'!$B:$B,MATCH(A1145,'3.員工名單'!$A:$A,0)),"查無此員工"))</f>
        <v/>
      </c>
      <c r="C1145" s="120">
        <f t="array" ref="C1145:C1145">IF(A1145="","",IFERROR(INDEX('3.員工名單'!$C:$C,MATCH(A1145,'3.員工名單'!$A:$A,0)),""))</f>
        <v/>
      </c>
      <c r="D1145" s="120">
        <f t="array" ref="D1145:D1145">IF(A1145="","",IFERROR(INDEX('3.員工名單'!$D:$D,MATCH(A1145,'3.員工名單'!$A:$A,0)),""))</f>
        <v/>
      </c>
      <c r="E1145" s="120">
        <f t="array" ref="E1145:E1145">IF(F1145="","",IFERROR(INDEX('1.職能辭典'!$A:$A,MATCH(F1145,'1.職能辭典'!$C:$C,0)),""))</f>
        <v/>
      </c>
      <c r="F1145" s="94" t="n"/>
      <c r="G1145" s="120">
        <f t="array" ref="G1145:G1145">IF(OR(D1145="",F1145=""),"",IFERROR(IF(AND(OR(INDEX('1.職能辭典'!$J:$J,MATCH(F1145,'1.職能辭典'!$C:$C,0))="全部",INDEX('3.員工名單'!$H:$H,MATCH(A1145,'3.員工名單'!$A:$A,0))="兩款共用",INDEX('3.員工名單'!$H:$H,MATCH(A1145,'3.員工名單'!$A:$A,0))=INDEX('1.職能辭典'!$J:$J,MATCH(F1145,'1.職能辭典'!$C:$C,0))),OR(INDEX('1.職能辭典'!$K:$K,MATCH(F1145,'1.職能辭典'!$C:$C,0))="全部",SUMPRODUCT(ISNUMBER(SEARCH({"經營","管理","財務","企劃","營運","技術","數據","美術","測試","客服"},INDEX('3.員工名單'!$I:$I,MATCH(A1145,'3.員工名單'!$A:$A,0))))*ISNUMBER(SEARCH({"經營","管理","財務","企劃","營運","技術","數據","美術","測試","客服"},INDEX('1.職能辭典'!$K:$K,MATCH(F1145,'1.職能辭典'!$C:$C,0)))))&gt;0)),INDEX('2.職務職能需求'!$B$2:$F$28,MATCH(F1145,'2.職務職能需求'!$A$2:$A$28,0),MATCH(D1145,'2.職務職能需求'!$B$1:$F$1,0)),0),""))</f>
        <v/>
      </c>
      <c r="H1145" s="94" t="n"/>
      <c r="I1145" s="94" t="n"/>
      <c r="J1145" s="120">
        <f>IF(OR(G1145="",I1145="",G1145=0),"",I1145-G1145)</f>
        <v/>
      </c>
      <c r="K1145" s="120">
        <f>IF(G1145="","",IF(G1145=0,"不適用",IF(I1145="","待評核",IF(I1145&gt;=G1145,IF(I1145&gt;G1145,"超越","達標"),"待發展"))))</f>
        <v/>
      </c>
      <c r="L1145" s="91" t="n"/>
      <c r="M1145" s="91" t="n"/>
      <c r="N1145" s="88" t="n"/>
    </row>
    <row r="1146" ht="15.75" customHeight="1" s="64">
      <c r="A1146" s="88" t="n"/>
      <c r="B1146" s="120">
        <f t="array" ref="B1146:B1146">IF(A1146="","",IFERROR(INDEX('3.員工名單'!$B:$B,MATCH(A1146,'3.員工名單'!$A:$A,0)),"查無此員工"))</f>
        <v/>
      </c>
      <c r="C1146" s="120">
        <f t="array" ref="C1146:C1146">IF(A1146="","",IFERROR(INDEX('3.員工名單'!$C:$C,MATCH(A1146,'3.員工名單'!$A:$A,0)),""))</f>
        <v/>
      </c>
      <c r="D1146" s="120">
        <f t="array" ref="D1146:D1146">IF(A1146="","",IFERROR(INDEX('3.員工名單'!$D:$D,MATCH(A1146,'3.員工名單'!$A:$A,0)),""))</f>
        <v/>
      </c>
      <c r="E1146" s="120">
        <f t="array" ref="E1146:E1146">IF(F1146="","",IFERROR(INDEX('1.職能辭典'!$A:$A,MATCH(F1146,'1.職能辭典'!$C:$C,0)),""))</f>
        <v/>
      </c>
      <c r="F1146" s="94" t="n"/>
      <c r="G1146" s="120">
        <f t="array" ref="G1146:G1146">IF(OR(D1146="",F1146=""),"",IFERROR(IF(AND(OR(INDEX('1.職能辭典'!$J:$J,MATCH(F1146,'1.職能辭典'!$C:$C,0))="全部",INDEX('3.員工名單'!$H:$H,MATCH(A1146,'3.員工名單'!$A:$A,0))="兩款共用",INDEX('3.員工名單'!$H:$H,MATCH(A1146,'3.員工名單'!$A:$A,0))=INDEX('1.職能辭典'!$J:$J,MATCH(F1146,'1.職能辭典'!$C:$C,0))),OR(INDEX('1.職能辭典'!$K:$K,MATCH(F1146,'1.職能辭典'!$C:$C,0))="全部",SUMPRODUCT(ISNUMBER(SEARCH({"經營","管理","財務","企劃","營運","技術","數據","美術","測試","客服"},INDEX('3.員工名單'!$I:$I,MATCH(A1146,'3.員工名單'!$A:$A,0))))*ISNUMBER(SEARCH({"經營","管理","財務","企劃","營運","技術","數據","美術","測試","客服"},INDEX('1.職能辭典'!$K:$K,MATCH(F1146,'1.職能辭典'!$C:$C,0)))))&gt;0)),INDEX('2.職務職能需求'!$B$2:$F$28,MATCH(F1146,'2.職務職能需求'!$A$2:$A$28,0),MATCH(D1146,'2.職務職能需求'!$B$1:$F$1,0)),0),""))</f>
        <v/>
      </c>
      <c r="H1146" s="94" t="n"/>
      <c r="I1146" s="94" t="n"/>
      <c r="J1146" s="120">
        <f>IF(OR(G1146="",I1146="",G1146=0),"",I1146-G1146)</f>
        <v/>
      </c>
      <c r="K1146" s="120">
        <f>IF(G1146="","",IF(G1146=0,"不適用",IF(I1146="","待評核",IF(I1146&gt;=G1146,IF(I1146&gt;G1146,"超越","達標"),"待發展"))))</f>
        <v/>
      </c>
      <c r="L1146" s="91" t="n"/>
      <c r="M1146" s="91" t="n"/>
      <c r="N1146" s="88" t="n"/>
    </row>
    <row r="1147" ht="15.75" customHeight="1" s="64">
      <c r="A1147" s="88" t="n"/>
      <c r="B1147" s="120">
        <f t="array" ref="B1147:B1147">IF(A1147="","",IFERROR(INDEX('3.員工名單'!$B:$B,MATCH(A1147,'3.員工名單'!$A:$A,0)),"查無此員工"))</f>
        <v/>
      </c>
      <c r="C1147" s="120">
        <f t="array" ref="C1147:C1147">IF(A1147="","",IFERROR(INDEX('3.員工名單'!$C:$C,MATCH(A1147,'3.員工名單'!$A:$A,0)),""))</f>
        <v/>
      </c>
      <c r="D1147" s="120">
        <f t="array" ref="D1147:D1147">IF(A1147="","",IFERROR(INDEX('3.員工名單'!$D:$D,MATCH(A1147,'3.員工名單'!$A:$A,0)),""))</f>
        <v/>
      </c>
      <c r="E1147" s="120">
        <f t="array" ref="E1147:E1147">IF(F1147="","",IFERROR(INDEX('1.職能辭典'!$A:$A,MATCH(F1147,'1.職能辭典'!$C:$C,0)),""))</f>
        <v/>
      </c>
      <c r="F1147" s="94" t="n"/>
      <c r="G1147" s="120">
        <f t="array" ref="G1147:G1147">IF(OR(D1147="",F1147=""),"",IFERROR(IF(AND(OR(INDEX('1.職能辭典'!$J:$J,MATCH(F1147,'1.職能辭典'!$C:$C,0))="全部",INDEX('3.員工名單'!$H:$H,MATCH(A1147,'3.員工名單'!$A:$A,0))="兩款共用",INDEX('3.員工名單'!$H:$H,MATCH(A1147,'3.員工名單'!$A:$A,0))=INDEX('1.職能辭典'!$J:$J,MATCH(F1147,'1.職能辭典'!$C:$C,0))),OR(INDEX('1.職能辭典'!$K:$K,MATCH(F1147,'1.職能辭典'!$C:$C,0))="全部",SUMPRODUCT(ISNUMBER(SEARCH({"經營","管理","財務","企劃","營運","技術","數據","美術","測試","客服"},INDEX('3.員工名單'!$I:$I,MATCH(A1147,'3.員工名單'!$A:$A,0))))*ISNUMBER(SEARCH({"經營","管理","財務","企劃","營運","技術","數據","美術","測試","客服"},INDEX('1.職能辭典'!$K:$K,MATCH(F1147,'1.職能辭典'!$C:$C,0)))))&gt;0)),INDEX('2.職務職能需求'!$B$2:$F$28,MATCH(F1147,'2.職務職能需求'!$A$2:$A$28,0),MATCH(D1147,'2.職務職能需求'!$B$1:$F$1,0)),0),""))</f>
        <v/>
      </c>
      <c r="H1147" s="94" t="n"/>
      <c r="I1147" s="94" t="n"/>
      <c r="J1147" s="120">
        <f>IF(OR(G1147="",I1147="",G1147=0),"",I1147-G1147)</f>
        <v/>
      </c>
      <c r="K1147" s="120">
        <f>IF(G1147="","",IF(G1147=0,"不適用",IF(I1147="","待評核",IF(I1147&gt;=G1147,IF(I1147&gt;G1147,"超越","達標"),"待發展"))))</f>
        <v/>
      </c>
      <c r="L1147" s="91" t="n"/>
      <c r="M1147" s="91" t="n"/>
      <c r="N1147" s="88" t="n"/>
    </row>
    <row r="1148" ht="15.75" customHeight="1" s="64">
      <c r="A1148" s="88" t="n"/>
      <c r="B1148" s="120">
        <f t="array" ref="B1148:B1148">IF(A1148="","",IFERROR(INDEX('3.員工名單'!$B:$B,MATCH(A1148,'3.員工名單'!$A:$A,0)),"查無此員工"))</f>
        <v/>
      </c>
      <c r="C1148" s="120">
        <f t="array" ref="C1148:C1148">IF(A1148="","",IFERROR(INDEX('3.員工名單'!$C:$C,MATCH(A1148,'3.員工名單'!$A:$A,0)),""))</f>
        <v/>
      </c>
      <c r="D1148" s="120">
        <f t="array" ref="D1148:D1148">IF(A1148="","",IFERROR(INDEX('3.員工名單'!$D:$D,MATCH(A1148,'3.員工名單'!$A:$A,0)),""))</f>
        <v/>
      </c>
      <c r="E1148" s="120">
        <f t="array" ref="E1148:E1148">IF(F1148="","",IFERROR(INDEX('1.職能辭典'!$A:$A,MATCH(F1148,'1.職能辭典'!$C:$C,0)),""))</f>
        <v/>
      </c>
      <c r="F1148" s="94" t="n"/>
      <c r="G1148" s="120">
        <f t="array" ref="G1148:G1148">IF(OR(D1148="",F1148=""),"",IFERROR(IF(AND(OR(INDEX('1.職能辭典'!$J:$J,MATCH(F1148,'1.職能辭典'!$C:$C,0))="全部",INDEX('3.員工名單'!$H:$H,MATCH(A1148,'3.員工名單'!$A:$A,0))="兩款共用",INDEX('3.員工名單'!$H:$H,MATCH(A1148,'3.員工名單'!$A:$A,0))=INDEX('1.職能辭典'!$J:$J,MATCH(F1148,'1.職能辭典'!$C:$C,0))),OR(INDEX('1.職能辭典'!$K:$K,MATCH(F1148,'1.職能辭典'!$C:$C,0))="全部",SUMPRODUCT(ISNUMBER(SEARCH({"經營","管理","財務","企劃","營運","技術","數據","美術","測試","客服"},INDEX('3.員工名單'!$I:$I,MATCH(A1148,'3.員工名單'!$A:$A,0))))*ISNUMBER(SEARCH({"經營","管理","財務","企劃","營運","技術","數據","美術","測試","客服"},INDEX('1.職能辭典'!$K:$K,MATCH(F1148,'1.職能辭典'!$C:$C,0)))))&gt;0)),INDEX('2.職務職能需求'!$B$2:$F$28,MATCH(F1148,'2.職務職能需求'!$A$2:$A$28,0),MATCH(D1148,'2.職務職能需求'!$B$1:$F$1,0)),0),""))</f>
        <v/>
      </c>
      <c r="H1148" s="94" t="n"/>
      <c r="I1148" s="94" t="n"/>
      <c r="J1148" s="120">
        <f>IF(OR(G1148="",I1148="",G1148=0),"",I1148-G1148)</f>
        <v/>
      </c>
      <c r="K1148" s="120">
        <f>IF(G1148="","",IF(G1148=0,"不適用",IF(I1148="","待評核",IF(I1148&gt;=G1148,IF(I1148&gt;G1148,"超越","達標"),"待發展"))))</f>
        <v/>
      </c>
      <c r="L1148" s="91" t="n"/>
      <c r="M1148" s="91" t="n"/>
      <c r="N1148" s="88" t="n"/>
    </row>
    <row r="1149" ht="15.75" customHeight="1" s="64">
      <c r="A1149" s="88" t="n"/>
      <c r="B1149" s="120">
        <f t="array" ref="B1149:B1149">IF(A1149="","",IFERROR(INDEX('3.員工名單'!$B:$B,MATCH(A1149,'3.員工名單'!$A:$A,0)),"查無此員工"))</f>
        <v/>
      </c>
      <c r="C1149" s="120">
        <f t="array" ref="C1149:C1149">IF(A1149="","",IFERROR(INDEX('3.員工名單'!$C:$C,MATCH(A1149,'3.員工名單'!$A:$A,0)),""))</f>
        <v/>
      </c>
      <c r="D1149" s="120">
        <f t="array" ref="D1149:D1149">IF(A1149="","",IFERROR(INDEX('3.員工名單'!$D:$D,MATCH(A1149,'3.員工名單'!$A:$A,0)),""))</f>
        <v/>
      </c>
      <c r="E1149" s="120">
        <f t="array" ref="E1149:E1149">IF(F1149="","",IFERROR(INDEX('1.職能辭典'!$A:$A,MATCH(F1149,'1.職能辭典'!$C:$C,0)),""))</f>
        <v/>
      </c>
      <c r="F1149" s="94" t="n"/>
      <c r="G1149" s="120">
        <f t="array" ref="G1149:G1149">IF(OR(D1149="",F1149=""),"",IFERROR(IF(AND(OR(INDEX('1.職能辭典'!$J:$J,MATCH(F1149,'1.職能辭典'!$C:$C,0))="全部",INDEX('3.員工名單'!$H:$H,MATCH(A1149,'3.員工名單'!$A:$A,0))="兩款共用",INDEX('3.員工名單'!$H:$H,MATCH(A1149,'3.員工名單'!$A:$A,0))=INDEX('1.職能辭典'!$J:$J,MATCH(F1149,'1.職能辭典'!$C:$C,0))),OR(INDEX('1.職能辭典'!$K:$K,MATCH(F1149,'1.職能辭典'!$C:$C,0))="全部",SUMPRODUCT(ISNUMBER(SEARCH({"經營","管理","財務","企劃","營運","技術","數據","美術","測試","客服"},INDEX('3.員工名單'!$I:$I,MATCH(A1149,'3.員工名單'!$A:$A,0))))*ISNUMBER(SEARCH({"經營","管理","財務","企劃","營運","技術","數據","美術","測試","客服"},INDEX('1.職能辭典'!$K:$K,MATCH(F1149,'1.職能辭典'!$C:$C,0)))))&gt;0)),INDEX('2.職務職能需求'!$B$2:$F$28,MATCH(F1149,'2.職務職能需求'!$A$2:$A$28,0),MATCH(D1149,'2.職務職能需求'!$B$1:$F$1,0)),0),""))</f>
        <v/>
      </c>
      <c r="H1149" s="94" t="n"/>
      <c r="I1149" s="94" t="n"/>
      <c r="J1149" s="120">
        <f>IF(OR(G1149="",I1149="",G1149=0),"",I1149-G1149)</f>
        <v/>
      </c>
      <c r="K1149" s="120">
        <f>IF(G1149="","",IF(G1149=0,"不適用",IF(I1149="","待評核",IF(I1149&gt;=G1149,IF(I1149&gt;G1149,"超越","達標"),"待發展"))))</f>
        <v/>
      </c>
      <c r="L1149" s="91" t="n"/>
      <c r="M1149" s="91" t="n"/>
      <c r="N1149" s="88" t="n"/>
    </row>
    <row r="1150" ht="15.75" customHeight="1" s="64">
      <c r="A1150" s="88" t="n"/>
      <c r="B1150" s="120">
        <f t="array" ref="B1150:B1150">IF(A1150="","",IFERROR(INDEX('3.員工名單'!$B:$B,MATCH(A1150,'3.員工名單'!$A:$A,0)),"查無此員工"))</f>
        <v/>
      </c>
      <c r="C1150" s="120">
        <f t="array" ref="C1150:C1150">IF(A1150="","",IFERROR(INDEX('3.員工名單'!$C:$C,MATCH(A1150,'3.員工名單'!$A:$A,0)),""))</f>
        <v/>
      </c>
      <c r="D1150" s="120">
        <f t="array" ref="D1150:D1150">IF(A1150="","",IFERROR(INDEX('3.員工名單'!$D:$D,MATCH(A1150,'3.員工名單'!$A:$A,0)),""))</f>
        <v/>
      </c>
      <c r="E1150" s="120">
        <f t="array" ref="E1150:E1150">IF(F1150="","",IFERROR(INDEX('1.職能辭典'!$A:$A,MATCH(F1150,'1.職能辭典'!$C:$C,0)),""))</f>
        <v/>
      </c>
      <c r="F1150" s="94" t="n"/>
      <c r="G1150" s="120">
        <f t="array" ref="G1150:G1150">IF(OR(D1150="",F1150=""),"",IFERROR(IF(AND(OR(INDEX('1.職能辭典'!$J:$J,MATCH(F1150,'1.職能辭典'!$C:$C,0))="全部",INDEX('3.員工名單'!$H:$H,MATCH(A1150,'3.員工名單'!$A:$A,0))="兩款共用",INDEX('3.員工名單'!$H:$H,MATCH(A1150,'3.員工名單'!$A:$A,0))=INDEX('1.職能辭典'!$J:$J,MATCH(F1150,'1.職能辭典'!$C:$C,0))),OR(INDEX('1.職能辭典'!$K:$K,MATCH(F1150,'1.職能辭典'!$C:$C,0))="全部",SUMPRODUCT(ISNUMBER(SEARCH({"經營","管理","財務","企劃","營運","技術","數據","美術","測試","客服"},INDEX('3.員工名單'!$I:$I,MATCH(A1150,'3.員工名單'!$A:$A,0))))*ISNUMBER(SEARCH({"經營","管理","財務","企劃","營運","技術","數據","美術","測試","客服"},INDEX('1.職能辭典'!$K:$K,MATCH(F1150,'1.職能辭典'!$C:$C,0)))))&gt;0)),INDEX('2.職務職能需求'!$B$2:$F$28,MATCH(F1150,'2.職務職能需求'!$A$2:$A$28,0),MATCH(D1150,'2.職務職能需求'!$B$1:$F$1,0)),0),""))</f>
        <v/>
      </c>
      <c r="H1150" s="94" t="n"/>
      <c r="I1150" s="94" t="n"/>
      <c r="J1150" s="120">
        <f>IF(OR(G1150="",I1150="",G1150=0),"",I1150-G1150)</f>
        <v/>
      </c>
      <c r="K1150" s="120">
        <f>IF(G1150="","",IF(G1150=0,"不適用",IF(I1150="","待評核",IF(I1150&gt;=G1150,IF(I1150&gt;G1150,"超越","達標"),"待發展"))))</f>
        <v/>
      </c>
      <c r="L1150" s="91" t="n"/>
      <c r="M1150" s="91" t="n"/>
      <c r="N1150" s="88" t="n"/>
    </row>
    <row r="1151" ht="15.75" customHeight="1" s="64">
      <c r="A1151" s="88" t="n"/>
      <c r="B1151" s="120">
        <f t="array" ref="B1151:B1151">IF(A1151="","",IFERROR(INDEX('3.員工名單'!$B:$B,MATCH(A1151,'3.員工名單'!$A:$A,0)),"查無此員工"))</f>
        <v/>
      </c>
      <c r="C1151" s="120">
        <f t="array" ref="C1151:C1151">IF(A1151="","",IFERROR(INDEX('3.員工名單'!$C:$C,MATCH(A1151,'3.員工名單'!$A:$A,0)),""))</f>
        <v/>
      </c>
      <c r="D1151" s="120">
        <f t="array" ref="D1151:D1151">IF(A1151="","",IFERROR(INDEX('3.員工名單'!$D:$D,MATCH(A1151,'3.員工名單'!$A:$A,0)),""))</f>
        <v/>
      </c>
      <c r="E1151" s="120">
        <f t="array" ref="E1151:E1151">IF(F1151="","",IFERROR(INDEX('1.職能辭典'!$A:$A,MATCH(F1151,'1.職能辭典'!$C:$C,0)),""))</f>
        <v/>
      </c>
      <c r="F1151" s="94" t="n"/>
      <c r="G1151" s="120">
        <f t="array" ref="G1151:G1151">IF(OR(D1151="",F1151=""),"",IFERROR(IF(AND(OR(INDEX('1.職能辭典'!$J:$J,MATCH(F1151,'1.職能辭典'!$C:$C,0))="全部",INDEX('3.員工名單'!$H:$H,MATCH(A1151,'3.員工名單'!$A:$A,0))="兩款共用",INDEX('3.員工名單'!$H:$H,MATCH(A1151,'3.員工名單'!$A:$A,0))=INDEX('1.職能辭典'!$J:$J,MATCH(F1151,'1.職能辭典'!$C:$C,0))),OR(INDEX('1.職能辭典'!$K:$K,MATCH(F1151,'1.職能辭典'!$C:$C,0))="全部",SUMPRODUCT(ISNUMBER(SEARCH({"經營","管理","財務","企劃","營運","技術","數據","美術","測試","客服"},INDEX('3.員工名單'!$I:$I,MATCH(A1151,'3.員工名單'!$A:$A,0))))*ISNUMBER(SEARCH({"經營","管理","財務","企劃","營運","技術","數據","美術","測試","客服"},INDEX('1.職能辭典'!$K:$K,MATCH(F1151,'1.職能辭典'!$C:$C,0)))))&gt;0)),INDEX('2.職務職能需求'!$B$2:$F$28,MATCH(F1151,'2.職務職能需求'!$A$2:$A$28,0),MATCH(D1151,'2.職務職能需求'!$B$1:$F$1,0)),0),""))</f>
        <v/>
      </c>
      <c r="H1151" s="94" t="n"/>
      <c r="I1151" s="94" t="n"/>
      <c r="J1151" s="120">
        <f>IF(OR(G1151="",I1151="",G1151=0),"",I1151-G1151)</f>
        <v/>
      </c>
      <c r="K1151" s="120">
        <f>IF(G1151="","",IF(G1151=0,"不適用",IF(I1151="","待評核",IF(I1151&gt;=G1151,IF(I1151&gt;G1151,"超越","達標"),"待發展"))))</f>
        <v/>
      </c>
      <c r="L1151" s="91" t="n"/>
      <c r="M1151" s="91" t="n"/>
      <c r="N1151" s="88" t="n"/>
    </row>
    <row r="1152" ht="15.75" customHeight="1" s="64">
      <c r="A1152" s="88" t="n"/>
      <c r="B1152" s="120">
        <f t="array" ref="B1152:B1152">IF(A1152="","",IFERROR(INDEX('3.員工名單'!$B:$B,MATCH(A1152,'3.員工名單'!$A:$A,0)),"查無此員工"))</f>
        <v/>
      </c>
      <c r="C1152" s="120">
        <f t="array" ref="C1152:C1152">IF(A1152="","",IFERROR(INDEX('3.員工名單'!$C:$C,MATCH(A1152,'3.員工名單'!$A:$A,0)),""))</f>
        <v/>
      </c>
      <c r="D1152" s="120">
        <f t="array" ref="D1152:D1152">IF(A1152="","",IFERROR(INDEX('3.員工名單'!$D:$D,MATCH(A1152,'3.員工名單'!$A:$A,0)),""))</f>
        <v/>
      </c>
      <c r="E1152" s="120">
        <f t="array" ref="E1152:E1152">IF(F1152="","",IFERROR(INDEX('1.職能辭典'!$A:$A,MATCH(F1152,'1.職能辭典'!$C:$C,0)),""))</f>
        <v/>
      </c>
      <c r="F1152" s="94" t="n"/>
      <c r="G1152" s="120">
        <f t="array" ref="G1152:G1152">IF(OR(D1152="",F1152=""),"",IFERROR(IF(AND(OR(INDEX('1.職能辭典'!$J:$J,MATCH(F1152,'1.職能辭典'!$C:$C,0))="全部",INDEX('3.員工名單'!$H:$H,MATCH(A1152,'3.員工名單'!$A:$A,0))="兩款共用",INDEX('3.員工名單'!$H:$H,MATCH(A1152,'3.員工名單'!$A:$A,0))=INDEX('1.職能辭典'!$J:$J,MATCH(F1152,'1.職能辭典'!$C:$C,0))),OR(INDEX('1.職能辭典'!$K:$K,MATCH(F1152,'1.職能辭典'!$C:$C,0))="全部",SUMPRODUCT(ISNUMBER(SEARCH({"經營","管理","財務","企劃","營運","技術","數據","美術","測試","客服"},INDEX('3.員工名單'!$I:$I,MATCH(A1152,'3.員工名單'!$A:$A,0))))*ISNUMBER(SEARCH({"經營","管理","財務","企劃","營運","技術","數據","美術","測試","客服"},INDEX('1.職能辭典'!$K:$K,MATCH(F1152,'1.職能辭典'!$C:$C,0)))))&gt;0)),INDEX('2.職務職能需求'!$B$2:$F$28,MATCH(F1152,'2.職務職能需求'!$A$2:$A$28,0),MATCH(D1152,'2.職務職能需求'!$B$1:$F$1,0)),0),""))</f>
        <v/>
      </c>
      <c r="H1152" s="94" t="n"/>
      <c r="I1152" s="94" t="n"/>
      <c r="J1152" s="120">
        <f>IF(OR(G1152="",I1152="",G1152=0),"",I1152-G1152)</f>
        <v/>
      </c>
      <c r="K1152" s="120">
        <f>IF(G1152="","",IF(G1152=0,"不適用",IF(I1152="","待評核",IF(I1152&gt;=G1152,IF(I1152&gt;G1152,"超越","達標"),"待發展"))))</f>
        <v/>
      </c>
      <c r="L1152" s="91" t="n"/>
      <c r="M1152" s="91" t="n"/>
      <c r="N1152" s="88" t="n"/>
    </row>
    <row r="1153" ht="15.75" customHeight="1" s="64">
      <c r="A1153" s="88" t="n"/>
      <c r="B1153" s="120">
        <f t="array" ref="B1153:B1153">IF(A1153="","",IFERROR(INDEX('3.員工名單'!$B:$B,MATCH(A1153,'3.員工名單'!$A:$A,0)),"查無此員工"))</f>
        <v/>
      </c>
      <c r="C1153" s="120">
        <f t="array" ref="C1153:C1153">IF(A1153="","",IFERROR(INDEX('3.員工名單'!$C:$C,MATCH(A1153,'3.員工名單'!$A:$A,0)),""))</f>
        <v/>
      </c>
      <c r="D1153" s="120">
        <f t="array" ref="D1153:D1153">IF(A1153="","",IFERROR(INDEX('3.員工名單'!$D:$D,MATCH(A1153,'3.員工名單'!$A:$A,0)),""))</f>
        <v/>
      </c>
      <c r="E1153" s="120">
        <f t="array" ref="E1153:E1153">IF(F1153="","",IFERROR(INDEX('1.職能辭典'!$A:$A,MATCH(F1153,'1.職能辭典'!$C:$C,0)),""))</f>
        <v/>
      </c>
      <c r="F1153" s="94" t="n"/>
      <c r="G1153" s="120">
        <f t="array" ref="G1153:G1153">IF(OR(D1153="",F1153=""),"",IFERROR(IF(AND(OR(INDEX('1.職能辭典'!$J:$J,MATCH(F1153,'1.職能辭典'!$C:$C,0))="全部",INDEX('3.員工名單'!$H:$H,MATCH(A1153,'3.員工名單'!$A:$A,0))="兩款共用",INDEX('3.員工名單'!$H:$H,MATCH(A1153,'3.員工名單'!$A:$A,0))=INDEX('1.職能辭典'!$J:$J,MATCH(F1153,'1.職能辭典'!$C:$C,0))),OR(INDEX('1.職能辭典'!$K:$K,MATCH(F1153,'1.職能辭典'!$C:$C,0))="全部",SUMPRODUCT(ISNUMBER(SEARCH({"經營","管理","財務","企劃","營運","技術","數據","美術","測試","客服"},INDEX('3.員工名單'!$I:$I,MATCH(A1153,'3.員工名單'!$A:$A,0))))*ISNUMBER(SEARCH({"經營","管理","財務","企劃","營運","技術","數據","美術","測試","客服"},INDEX('1.職能辭典'!$K:$K,MATCH(F1153,'1.職能辭典'!$C:$C,0)))))&gt;0)),INDEX('2.職務職能需求'!$B$2:$F$28,MATCH(F1153,'2.職務職能需求'!$A$2:$A$28,0),MATCH(D1153,'2.職務職能需求'!$B$1:$F$1,0)),0),""))</f>
        <v/>
      </c>
      <c r="H1153" s="94" t="n"/>
      <c r="I1153" s="94" t="n"/>
      <c r="J1153" s="120">
        <f>IF(OR(G1153="",I1153="",G1153=0),"",I1153-G1153)</f>
        <v/>
      </c>
      <c r="K1153" s="120">
        <f>IF(G1153="","",IF(G1153=0,"不適用",IF(I1153="","待評核",IF(I1153&gt;=G1153,IF(I1153&gt;G1153,"超越","達標"),"待發展"))))</f>
        <v/>
      </c>
      <c r="L1153" s="91" t="n"/>
      <c r="M1153" s="91" t="n"/>
      <c r="N1153" s="88" t="n"/>
    </row>
    <row r="1154" ht="15.75" customHeight="1" s="64">
      <c r="A1154" s="88" t="n"/>
      <c r="B1154" s="120">
        <f t="array" ref="B1154:B1154">IF(A1154="","",IFERROR(INDEX('3.員工名單'!$B:$B,MATCH(A1154,'3.員工名單'!$A:$A,0)),"查無此員工"))</f>
        <v/>
      </c>
      <c r="C1154" s="120">
        <f t="array" ref="C1154:C1154">IF(A1154="","",IFERROR(INDEX('3.員工名單'!$C:$C,MATCH(A1154,'3.員工名單'!$A:$A,0)),""))</f>
        <v/>
      </c>
      <c r="D1154" s="120">
        <f t="array" ref="D1154:D1154">IF(A1154="","",IFERROR(INDEX('3.員工名單'!$D:$D,MATCH(A1154,'3.員工名單'!$A:$A,0)),""))</f>
        <v/>
      </c>
      <c r="E1154" s="120">
        <f t="array" ref="E1154:E1154">IF(F1154="","",IFERROR(INDEX('1.職能辭典'!$A:$A,MATCH(F1154,'1.職能辭典'!$C:$C,0)),""))</f>
        <v/>
      </c>
      <c r="F1154" s="94" t="n"/>
      <c r="G1154" s="120">
        <f t="array" ref="G1154:G1154">IF(OR(D1154="",F1154=""),"",IFERROR(IF(AND(OR(INDEX('1.職能辭典'!$J:$J,MATCH(F1154,'1.職能辭典'!$C:$C,0))="全部",INDEX('3.員工名單'!$H:$H,MATCH(A1154,'3.員工名單'!$A:$A,0))="兩款共用",INDEX('3.員工名單'!$H:$H,MATCH(A1154,'3.員工名單'!$A:$A,0))=INDEX('1.職能辭典'!$J:$J,MATCH(F1154,'1.職能辭典'!$C:$C,0))),OR(INDEX('1.職能辭典'!$K:$K,MATCH(F1154,'1.職能辭典'!$C:$C,0))="全部",SUMPRODUCT(ISNUMBER(SEARCH({"經營","管理","財務","企劃","營運","技術","數據","美術","測試","客服"},INDEX('3.員工名單'!$I:$I,MATCH(A1154,'3.員工名單'!$A:$A,0))))*ISNUMBER(SEARCH({"經營","管理","財務","企劃","營運","技術","數據","美術","測試","客服"},INDEX('1.職能辭典'!$K:$K,MATCH(F1154,'1.職能辭典'!$C:$C,0)))))&gt;0)),INDEX('2.職務職能需求'!$B$2:$F$28,MATCH(F1154,'2.職務職能需求'!$A$2:$A$28,0),MATCH(D1154,'2.職務職能需求'!$B$1:$F$1,0)),0),""))</f>
        <v/>
      </c>
      <c r="H1154" s="94" t="n"/>
      <c r="I1154" s="94" t="n"/>
      <c r="J1154" s="120">
        <f>IF(OR(G1154="",I1154="",G1154=0),"",I1154-G1154)</f>
        <v/>
      </c>
      <c r="K1154" s="120">
        <f>IF(G1154="","",IF(G1154=0,"不適用",IF(I1154="","待評核",IF(I1154&gt;=G1154,IF(I1154&gt;G1154,"超越","達標"),"待發展"))))</f>
        <v/>
      </c>
      <c r="L1154" s="91" t="n"/>
      <c r="M1154" s="91" t="n"/>
      <c r="N1154" s="88" t="n"/>
    </row>
    <row r="1155" ht="15.75" customHeight="1" s="64">
      <c r="A1155" s="88" t="n"/>
      <c r="B1155" s="120">
        <f t="array" ref="B1155:B1155">IF(A1155="","",IFERROR(INDEX('3.員工名單'!$B:$B,MATCH(A1155,'3.員工名單'!$A:$A,0)),"查無此員工"))</f>
        <v/>
      </c>
      <c r="C1155" s="120">
        <f t="array" ref="C1155:C1155">IF(A1155="","",IFERROR(INDEX('3.員工名單'!$C:$C,MATCH(A1155,'3.員工名單'!$A:$A,0)),""))</f>
        <v/>
      </c>
      <c r="D1155" s="120">
        <f t="array" ref="D1155:D1155">IF(A1155="","",IFERROR(INDEX('3.員工名單'!$D:$D,MATCH(A1155,'3.員工名單'!$A:$A,0)),""))</f>
        <v/>
      </c>
      <c r="E1155" s="120">
        <f t="array" ref="E1155:E1155">IF(F1155="","",IFERROR(INDEX('1.職能辭典'!$A:$A,MATCH(F1155,'1.職能辭典'!$C:$C,0)),""))</f>
        <v/>
      </c>
      <c r="F1155" s="94" t="n"/>
      <c r="G1155" s="120">
        <f t="array" ref="G1155:G1155">IF(OR(D1155="",F1155=""),"",IFERROR(IF(AND(OR(INDEX('1.職能辭典'!$J:$J,MATCH(F1155,'1.職能辭典'!$C:$C,0))="全部",INDEX('3.員工名單'!$H:$H,MATCH(A1155,'3.員工名單'!$A:$A,0))="兩款共用",INDEX('3.員工名單'!$H:$H,MATCH(A1155,'3.員工名單'!$A:$A,0))=INDEX('1.職能辭典'!$J:$J,MATCH(F1155,'1.職能辭典'!$C:$C,0))),OR(INDEX('1.職能辭典'!$K:$K,MATCH(F1155,'1.職能辭典'!$C:$C,0))="全部",SUMPRODUCT(ISNUMBER(SEARCH({"經營","管理","財務","企劃","營運","技術","數據","美術","測試","客服"},INDEX('3.員工名單'!$I:$I,MATCH(A1155,'3.員工名單'!$A:$A,0))))*ISNUMBER(SEARCH({"經營","管理","財務","企劃","營運","技術","數據","美術","測試","客服"},INDEX('1.職能辭典'!$K:$K,MATCH(F1155,'1.職能辭典'!$C:$C,0)))))&gt;0)),INDEX('2.職務職能需求'!$B$2:$F$28,MATCH(F1155,'2.職務職能需求'!$A$2:$A$28,0),MATCH(D1155,'2.職務職能需求'!$B$1:$F$1,0)),0),""))</f>
        <v/>
      </c>
      <c r="H1155" s="94" t="n"/>
      <c r="I1155" s="94" t="n"/>
      <c r="J1155" s="120">
        <f>IF(OR(G1155="",I1155="",G1155=0),"",I1155-G1155)</f>
        <v/>
      </c>
      <c r="K1155" s="120">
        <f>IF(G1155="","",IF(G1155=0,"不適用",IF(I1155="","待評核",IF(I1155&gt;=G1155,IF(I1155&gt;G1155,"超越","達標"),"待發展"))))</f>
        <v/>
      </c>
      <c r="L1155" s="91" t="n"/>
      <c r="M1155" s="91" t="n"/>
      <c r="N1155" s="88" t="n"/>
    </row>
    <row r="1156" ht="15.75" customHeight="1" s="64">
      <c r="A1156" s="88" t="n"/>
      <c r="B1156" s="120">
        <f t="array" ref="B1156:B1156">IF(A1156="","",IFERROR(INDEX('3.員工名單'!$B:$B,MATCH(A1156,'3.員工名單'!$A:$A,0)),"查無此員工"))</f>
        <v/>
      </c>
      <c r="C1156" s="120">
        <f t="array" ref="C1156:C1156">IF(A1156="","",IFERROR(INDEX('3.員工名單'!$C:$C,MATCH(A1156,'3.員工名單'!$A:$A,0)),""))</f>
        <v/>
      </c>
      <c r="D1156" s="120">
        <f t="array" ref="D1156:D1156">IF(A1156="","",IFERROR(INDEX('3.員工名單'!$D:$D,MATCH(A1156,'3.員工名單'!$A:$A,0)),""))</f>
        <v/>
      </c>
      <c r="E1156" s="120">
        <f t="array" ref="E1156:E1156">IF(F1156="","",IFERROR(INDEX('1.職能辭典'!$A:$A,MATCH(F1156,'1.職能辭典'!$C:$C,0)),""))</f>
        <v/>
      </c>
      <c r="F1156" s="94" t="n"/>
      <c r="G1156" s="120">
        <f t="array" ref="G1156:G1156">IF(OR(D1156="",F1156=""),"",IFERROR(IF(AND(OR(INDEX('1.職能辭典'!$J:$J,MATCH(F1156,'1.職能辭典'!$C:$C,0))="全部",INDEX('3.員工名單'!$H:$H,MATCH(A1156,'3.員工名單'!$A:$A,0))="兩款共用",INDEX('3.員工名單'!$H:$H,MATCH(A1156,'3.員工名單'!$A:$A,0))=INDEX('1.職能辭典'!$J:$J,MATCH(F1156,'1.職能辭典'!$C:$C,0))),OR(INDEX('1.職能辭典'!$K:$K,MATCH(F1156,'1.職能辭典'!$C:$C,0))="全部",SUMPRODUCT(ISNUMBER(SEARCH({"經營","管理","財務","企劃","營運","技術","數據","美術","測試","客服"},INDEX('3.員工名單'!$I:$I,MATCH(A1156,'3.員工名單'!$A:$A,0))))*ISNUMBER(SEARCH({"經營","管理","財務","企劃","營運","技術","數據","美術","測試","客服"},INDEX('1.職能辭典'!$K:$K,MATCH(F1156,'1.職能辭典'!$C:$C,0)))))&gt;0)),INDEX('2.職務職能需求'!$B$2:$F$28,MATCH(F1156,'2.職務職能需求'!$A$2:$A$28,0),MATCH(D1156,'2.職務職能需求'!$B$1:$F$1,0)),0),""))</f>
        <v/>
      </c>
      <c r="H1156" s="94" t="n"/>
      <c r="I1156" s="94" t="n"/>
      <c r="J1156" s="120">
        <f>IF(OR(G1156="",I1156="",G1156=0),"",I1156-G1156)</f>
        <v/>
      </c>
      <c r="K1156" s="120">
        <f>IF(G1156="","",IF(G1156=0,"不適用",IF(I1156="","待評核",IF(I1156&gt;=G1156,IF(I1156&gt;G1156,"超越","達標"),"待發展"))))</f>
        <v/>
      </c>
      <c r="L1156" s="91" t="n"/>
      <c r="M1156" s="91" t="n"/>
      <c r="N1156" s="88" t="n"/>
    </row>
    <row r="1157" ht="15.75" customHeight="1" s="64">
      <c r="A1157" s="88" t="n"/>
      <c r="B1157" s="120">
        <f t="array" ref="B1157:B1157">IF(A1157="","",IFERROR(INDEX('3.員工名單'!$B:$B,MATCH(A1157,'3.員工名單'!$A:$A,0)),"查無此員工"))</f>
        <v/>
      </c>
      <c r="C1157" s="120">
        <f t="array" ref="C1157:C1157">IF(A1157="","",IFERROR(INDEX('3.員工名單'!$C:$C,MATCH(A1157,'3.員工名單'!$A:$A,0)),""))</f>
        <v/>
      </c>
      <c r="D1157" s="120">
        <f t="array" ref="D1157:D1157">IF(A1157="","",IFERROR(INDEX('3.員工名單'!$D:$D,MATCH(A1157,'3.員工名單'!$A:$A,0)),""))</f>
        <v/>
      </c>
      <c r="E1157" s="120">
        <f t="array" ref="E1157:E1157">IF(F1157="","",IFERROR(INDEX('1.職能辭典'!$A:$A,MATCH(F1157,'1.職能辭典'!$C:$C,0)),""))</f>
        <v/>
      </c>
      <c r="F1157" s="94" t="n"/>
      <c r="G1157" s="120">
        <f t="array" ref="G1157:G1157">IF(OR(D1157="",F1157=""),"",IFERROR(IF(AND(OR(INDEX('1.職能辭典'!$J:$J,MATCH(F1157,'1.職能辭典'!$C:$C,0))="全部",INDEX('3.員工名單'!$H:$H,MATCH(A1157,'3.員工名單'!$A:$A,0))="兩款共用",INDEX('3.員工名單'!$H:$H,MATCH(A1157,'3.員工名單'!$A:$A,0))=INDEX('1.職能辭典'!$J:$J,MATCH(F1157,'1.職能辭典'!$C:$C,0))),OR(INDEX('1.職能辭典'!$K:$K,MATCH(F1157,'1.職能辭典'!$C:$C,0))="全部",SUMPRODUCT(ISNUMBER(SEARCH({"經營","管理","財務","企劃","營運","技術","數據","美術","測試","客服"},INDEX('3.員工名單'!$I:$I,MATCH(A1157,'3.員工名單'!$A:$A,0))))*ISNUMBER(SEARCH({"經營","管理","財務","企劃","營運","技術","數據","美術","測試","客服"},INDEX('1.職能辭典'!$K:$K,MATCH(F1157,'1.職能辭典'!$C:$C,0)))))&gt;0)),INDEX('2.職務職能需求'!$B$2:$F$28,MATCH(F1157,'2.職務職能需求'!$A$2:$A$28,0),MATCH(D1157,'2.職務職能需求'!$B$1:$F$1,0)),0),""))</f>
        <v/>
      </c>
      <c r="H1157" s="94" t="n"/>
      <c r="I1157" s="94" t="n"/>
      <c r="J1157" s="120">
        <f>IF(OR(G1157="",I1157="",G1157=0),"",I1157-G1157)</f>
        <v/>
      </c>
      <c r="K1157" s="120">
        <f>IF(G1157="","",IF(G1157=0,"不適用",IF(I1157="","待評核",IF(I1157&gt;=G1157,IF(I1157&gt;G1157,"超越","達標"),"待發展"))))</f>
        <v/>
      </c>
      <c r="L1157" s="91" t="n"/>
      <c r="M1157" s="91" t="n"/>
      <c r="N1157" s="88" t="n"/>
    </row>
    <row r="1158" ht="15.75" customHeight="1" s="64">
      <c r="A1158" s="88" t="n"/>
      <c r="B1158" s="120">
        <f t="array" ref="B1158:B1158">IF(A1158="","",IFERROR(INDEX('3.員工名單'!$B:$B,MATCH(A1158,'3.員工名單'!$A:$A,0)),"查無此員工"))</f>
        <v/>
      </c>
      <c r="C1158" s="120">
        <f t="array" ref="C1158:C1158">IF(A1158="","",IFERROR(INDEX('3.員工名單'!$C:$C,MATCH(A1158,'3.員工名單'!$A:$A,0)),""))</f>
        <v/>
      </c>
      <c r="D1158" s="120">
        <f t="array" ref="D1158:D1158">IF(A1158="","",IFERROR(INDEX('3.員工名單'!$D:$D,MATCH(A1158,'3.員工名單'!$A:$A,0)),""))</f>
        <v/>
      </c>
      <c r="E1158" s="120">
        <f t="array" ref="E1158:E1158">IF(F1158="","",IFERROR(INDEX('1.職能辭典'!$A:$A,MATCH(F1158,'1.職能辭典'!$C:$C,0)),""))</f>
        <v/>
      </c>
      <c r="F1158" s="94" t="n"/>
      <c r="G1158" s="120">
        <f t="array" ref="G1158:G1158">IF(OR(D1158="",F1158=""),"",IFERROR(IF(AND(OR(INDEX('1.職能辭典'!$J:$J,MATCH(F1158,'1.職能辭典'!$C:$C,0))="全部",INDEX('3.員工名單'!$H:$H,MATCH(A1158,'3.員工名單'!$A:$A,0))="兩款共用",INDEX('3.員工名單'!$H:$H,MATCH(A1158,'3.員工名單'!$A:$A,0))=INDEX('1.職能辭典'!$J:$J,MATCH(F1158,'1.職能辭典'!$C:$C,0))),OR(INDEX('1.職能辭典'!$K:$K,MATCH(F1158,'1.職能辭典'!$C:$C,0))="全部",SUMPRODUCT(ISNUMBER(SEARCH({"經營","管理","財務","企劃","營運","技術","數據","美術","測試","客服"},INDEX('3.員工名單'!$I:$I,MATCH(A1158,'3.員工名單'!$A:$A,0))))*ISNUMBER(SEARCH({"經營","管理","財務","企劃","營運","技術","數據","美術","測試","客服"},INDEX('1.職能辭典'!$K:$K,MATCH(F1158,'1.職能辭典'!$C:$C,0)))))&gt;0)),INDEX('2.職務職能需求'!$B$2:$F$28,MATCH(F1158,'2.職務職能需求'!$A$2:$A$28,0),MATCH(D1158,'2.職務職能需求'!$B$1:$F$1,0)),0),""))</f>
        <v/>
      </c>
      <c r="H1158" s="94" t="n"/>
      <c r="I1158" s="94" t="n"/>
      <c r="J1158" s="120">
        <f>IF(OR(G1158="",I1158="",G1158=0),"",I1158-G1158)</f>
        <v/>
      </c>
      <c r="K1158" s="120">
        <f>IF(G1158="","",IF(G1158=0,"不適用",IF(I1158="","待評核",IF(I1158&gt;=G1158,IF(I1158&gt;G1158,"超越","達標"),"待發展"))))</f>
        <v/>
      </c>
      <c r="L1158" s="91" t="n"/>
      <c r="M1158" s="91" t="n"/>
      <c r="N1158" s="88" t="n"/>
    </row>
    <row r="1159" ht="15.75" customHeight="1" s="64">
      <c r="A1159" s="88" t="n"/>
      <c r="B1159" s="120">
        <f t="array" ref="B1159:B1159">IF(A1159="","",IFERROR(INDEX('3.員工名單'!$B:$B,MATCH(A1159,'3.員工名單'!$A:$A,0)),"查無此員工"))</f>
        <v/>
      </c>
      <c r="C1159" s="120">
        <f t="array" ref="C1159:C1159">IF(A1159="","",IFERROR(INDEX('3.員工名單'!$C:$C,MATCH(A1159,'3.員工名單'!$A:$A,0)),""))</f>
        <v/>
      </c>
      <c r="D1159" s="120">
        <f t="array" ref="D1159:D1159">IF(A1159="","",IFERROR(INDEX('3.員工名單'!$D:$D,MATCH(A1159,'3.員工名單'!$A:$A,0)),""))</f>
        <v/>
      </c>
      <c r="E1159" s="120">
        <f t="array" ref="E1159:E1159">IF(F1159="","",IFERROR(INDEX('1.職能辭典'!$A:$A,MATCH(F1159,'1.職能辭典'!$C:$C,0)),""))</f>
        <v/>
      </c>
      <c r="F1159" s="94" t="n"/>
      <c r="G1159" s="120">
        <f t="array" ref="G1159:G1159">IF(OR(D1159="",F1159=""),"",IFERROR(IF(AND(OR(INDEX('1.職能辭典'!$J:$J,MATCH(F1159,'1.職能辭典'!$C:$C,0))="全部",INDEX('3.員工名單'!$H:$H,MATCH(A1159,'3.員工名單'!$A:$A,0))="兩款共用",INDEX('3.員工名單'!$H:$H,MATCH(A1159,'3.員工名單'!$A:$A,0))=INDEX('1.職能辭典'!$J:$J,MATCH(F1159,'1.職能辭典'!$C:$C,0))),OR(INDEX('1.職能辭典'!$K:$K,MATCH(F1159,'1.職能辭典'!$C:$C,0))="全部",SUMPRODUCT(ISNUMBER(SEARCH({"經營","管理","財務","企劃","營運","技術","數據","美術","測試","客服"},INDEX('3.員工名單'!$I:$I,MATCH(A1159,'3.員工名單'!$A:$A,0))))*ISNUMBER(SEARCH({"經營","管理","財務","企劃","營運","技術","數據","美術","測試","客服"},INDEX('1.職能辭典'!$K:$K,MATCH(F1159,'1.職能辭典'!$C:$C,0)))))&gt;0)),INDEX('2.職務職能需求'!$B$2:$F$28,MATCH(F1159,'2.職務職能需求'!$A$2:$A$28,0),MATCH(D1159,'2.職務職能需求'!$B$1:$F$1,0)),0),""))</f>
        <v/>
      </c>
      <c r="H1159" s="94" t="n"/>
      <c r="I1159" s="94" t="n"/>
      <c r="J1159" s="120">
        <f>IF(OR(G1159="",I1159="",G1159=0),"",I1159-G1159)</f>
        <v/>
      </c>
      <c r="K1159" s="120">
        <f>IF(G1159="","",IF(G1159=0,"不適用",IF(I1159="","待評核",IF(I1159&gt;=G1159,IF(I1159&gt;G1159,"超越","達標"),"待發展"))))</f>
        <v/>
      </c>
      <c r="L1159" s="91" t="n"/>
      <c r="M1159" s="91" t="n"/>
      <c r="N1159" s="88" t="n"/>
    </row>
    <row r="1160" ht="15.75" customHeight="1" s="64">
      <c r="A1160" s="88" t="n"/>
      <c r="B1160" s="120">
        <f t="array" ref="B1160:B1160">IF(A1160="","",IFERROR(INDEX('3.員工名單'!$B:$B,MATCH(A1160,'3.員工名單'!$A:$A,0)),"查無此員工"))</f>
        <v/>
      </c>
      <c r="C1160" s="120">
        <f t="array" ref="C1160:C1160">IF(A1160="","",IFERROR(INDEX('3.員工名單'!$C:$C,MATCH(A1160,'3.員工名單'!$A:$A,0)),""))</f>
        <v/>
      </c>
      <c r="D1160" s="120">
        <f t="array" ref="D1160:D1160">IF(A1160="","",IFERROR(INDEX('3.員工名單'!$D:$D,MATCH(A1160,'3.員工名單'!$A:$A,0)),""))</f>
        <v/>
      </c>
      <c r="E1160" s="120">
        <f t="array" ref="E1160:E1160">IF(F1160="","",IFERROR(INDEX('1.職能辭典'!$A:$A,MATCH(F1160,'1.職能辭典'!$C:$C,0)),""))</f>
        <v/>
      </c>
      <c r="F1160" s="94" t="n"/>
      <c r="G1160" s="120">
        <f t="array" ref="G1160:G1160">IF(OR(D1160="",F1160=""),"",IFERROR(IF(AND(OR(INDEX('1.職能辭典'!$J:$J,MATCH(F1160,'1.職能辭典'!$C:$C,0))="全部",INDEX('3.員工名單'!$H:$H,MATCH(A1160,'3.員工名單'!$A:$A,0))="兩款共用",INDEX('3.員工名單'!$H:$H,MATCH(A1160,'3.員工名單'!$A:$A,0))=INDEX('1.職能辭典'!$J:$J,MATCH(F1160,'1.職能辭典'!$C:$C,0))),OR(INDEX('1.職能辭典'!$K:$K,MATCH(F1160,'1.職能辭典'!$C:$C,0))="全部",SUMPRODUCT(ISNUMBER(SEARCH({"經營","管理","財務","企劃","營運","技術","數據","美術","測試","客服"},INDEX('3.員工名單'!$I:$I,MATCH(A1160,'3.員工名單'!$A:$A,0))))*ISNUMBER(SEARCH({"經營","管理","財務","企劃","營運","技術","數據","美術","測試","客服"},INDEX('1.職能辭典'!$K:$K,MATCH(F1160,'1.職能辭典'!$C:$C,0)))))&gt;0)),INDEX('2.職務職能需求'!$B$2:$F$28,MATCH(F1160,'2.職務職能需求'!$A$2:$A$28,0),MATCH(D1160,'2.職務職能需求'!$B$1:$F$1,0)),0),""))</f>
        <v/>
      </c>
      <c r="H1160" s="94" t="n"/>
      <c r="I1160" s="94" t="n"/>
      <c r="J1160" s="120">
        <f>IF(OR(G1160="",I1160="",G1160=0),"",I1160-G1160)</f>
        <v/>
      </c>
      <c r="K1160" s="120">
        <f>IF(G1160="","",IF(G1160=0,"不適用",IF(I1160="","待評核",IF(I1160&gt;=G1160,IF(I1160&gt;G1160,"超越","達標"),"待發展"))))</f>
        <v/>
      </c>
      <c r="L1160" s="91" t="n"/>
      <c r="M1160" s="91" t="n"/>
      <c r="N1160" s="88" t="n"/>
    </row>
    <row r="1161" ht="15.75" customHeight="1" s="64">
      <c r="A1161" s="88" t="n"/>
      <c r="B1161" s="120">
        <f t="array" ref="B1161:B1161">IF(A1161="","",IFERROR(INDEX('3.員工名單'!$B:$B,MATCH(A1161,'3.員工名單'!$A:$A,0)),"查無此員工"))</f>
        <v/>
      </c>
      <c r="C1161" s="120">
        <f t="array" ref="C1161:C1161">IF(A1161="","",IFERROR(INDEX('3.員工名單'!$C:$C,MATCH(A1161,'3.員工名單'!$A:$A,0)),""))</f>
        <v/>
      </c>
      <c r="D1161" s="120">
        <f t="array" ref="D1161:D1161">IF(A1161="","",IFERROR(INDEX('3.員工名單'!$D:$D,MATCH(A1161,'3.員工名單'!$A:$A,0)),""))</f>
        <v/>
      </c>
      <c r="E1161" s="120">
        <f t="array" ref="E1161:E1161">IF(F1161="","",IFERROR(INDEX('1.職能辭典'!$A:$A,MATCH(F1161,'1.職能辭典'!$C:$C,0)),""))</f>
        <v/>
      </c>
      <c r="F1161" s="94" t="n"/>
      <c r="G1161" s="120">
        <f t="array" ref="G1161:G1161">IF(OR(D1161="",F1161=""),"",IFERROR(IF(AND(OR(INDEX('1.職能辭典'!$J:$J,MATCH(F1161,'1.職能辭典'!$C:$C,0))="全部",INDEX('3.員工名單'!$H:$H,MATCH(A1161,'3.員工名單'!$A:$A,0))="兩款共用",INDEX('3.員工名單'!$H:$H,MATCH(A1161,'3.員工名單'!$A:$A,0))=INDEX('1.職能辭典'!$J:$J,MATCH(F1161,'1.職能辭典'!$C:$C,0))),OR(INDEX('1.職能辭典'!$K:$K,MATCH(F1161,'1.職能辭典'!$C:$C,0))="全部",SUMPRODUCT(ISNUMBER(SEARCH({"經營","管理","財務","企劃","營運","技術","數據","美術","測試","客服"},INDEX('3.員工名單'!$I:$I,MATCH(A1161,'3.員工名單'!$A:$A,0))))*ISNUMBER(SEARCH({"經營","管理","財務","企劃","營運","技術","數據","美術","測試","客服"},INDEX('1.職能辭典'!$K:$K,MATCH(F1161,'1.職能辭典'!$C:$C,0)))))&gt;0)),INDEX('2.職務職能需求'!$B$2:$F$28,MATCH(F1161,'2.職務職能需求'!$A$2:$A$28,0),MATCH(D1161,'2.職務職能需求'!$B$1:$F$1,0)),0),""))</f>
        <v/>
      </c>
      <c r="H1161" s="94" t="n"/>
      <c r="I1161" s="94" t="n"/>
      <c r="J1161" s="120">
        <f>IF(OR(G1161="",I1161="",G1161=0),"",I1161-G1161)</f>
        <v/>
      </c>
      <c r="K1161" s="120">
        <f>IF(G1161="","",IF(G1161=0,"不適用",IF(I1161="","待評核",IF(I1161&gt;=G1161,IF(I1161&gt;G1161,"超越","達標"),"待發展"))))</f>
        <v/>
      </c>
      <c r="L1161" s="91" t="n"/>
      <c r="M1161" s="91" t="n"/>
      <c r="N1161" s="88" t="n"/>
    </row>
    <row r="1162" ht="15.75" customHeight="1" s="64">
      <c r="A1162" s="88" t="n"/>
      <c r="B1162" s="120">
        <f t="array" ref="B1162:B1162">IF(A1162="","",IFERROR(INDEX('3.員工名單'!$B:$B,MATCH(A1162,'3.員工名單'!$A:$A,0)),"查無此員工"))</f>
        <v/>
      </c>
      <c r="C1162" s="120">
        <f t="array" ref="C1162:C1162">IF(A1162="","",IFERROR(INDEX('3.員工名單'!$C:$C,MATCH(A1162,'3.員工名單'!$A:$A,0)),""))</f>
        <v/>
      </c>
      <c r="D1162" s="120">
        <f t="array" ref="D1162:D1162">IF(A1162="","",IFERROR(INDEX('3.員工名單'!$D:$D,MATCH(A1162,'3.員工名單'!$A:$A,0)),""))</f>
        <v/>
      </c>
      <c r="E1162" s="120">
        <f t="array" ref="E1162:E1162">IF(F1162="","",IFERROR(INDEX('1.職能辭典'!$A:$A,MATCH(F1162,'1.職能辭典'!$C:$C,0)),""))</f>
        <v/>
      </c>
      <c r="F1162" s="94" t="n"/>
      <c r="G1162" s="120">
        <f t="array" ref="G1162:G1162">IF(OR(D1162="",F1162=""),"",IFERROR(IF(AND(OR(INDEX('1.職能辭典'!$J:$J,MATCH(F1162,'1.職能辭典'!$C:$C,0))="全部",INDEX('3.員工名單'!$H:$H,MATCH(A1162,'3.員工名單'!$A:$A,0))="兩款共用",INDEX('3.員工名單'!$H:$H,MATCH(A1162,'3.員工名單'!$A:$A,0))=INDEX('1.職能辭典'!$J:$J,MATCH(F1162,'1.職能辭典'!$C:$C,0))),OR(INDEX('1.職能辭典'!$K:$K,MATCH(F1162,'1.職能辭典'!$C:$C,0))="全部",SUMPRODUCT(ISNUMBER(SEARCH({"經營","管理","財務","企劃","營運","技術","數據","美術","測試","客服"},INDEX('3.員工名單'!$I:$I,MATCH(A1162,'3.員工名單'!$A:$A,0))))*ISNUMBER(SEARCH({"經營","管理","財務","企劃","營運","技術","數據","美術","測試","客服"},INDEX('1.職能辭典'!$K:$K,MATCH(F1162,'1.職能辭典'!$C:$C,0)))))&gt;0)),INDEX('2.職務職能需求'!$B$2:$F$28,MATCH(F1162,'2.職務職能需求'!$A$2:$A$28,0),MATCH(D1162,'2.職務職能需求'!$B$1:$F$1,0)),0),""))</f>
        <v/>
      </c>
      <c r="H1162" s="94" t="n"/>
      <c r="I1162" s="94" t="n"/>
      <c r="J1162" s="120">
        <f>IF(OR(G1162="",I1162="",G1162=0),"",I1162-G1162)</f>
        <v/>
      </c>
      <c r="K1162" s="120">
        <f>IF(G1162="","",IF(G1162=0,"不適用",IF(I1162="","待評核",IF(I1162&gt;=G1162,IF(I1162&gt;G1162,"超越","達標"),"待發展"))))</f>
        <v/>
      </c>
      <c r="L1162" s="91" t="n"/>
      <c r="M1162" s="91" t="n"/>
      <c r="N1162" s="88" t="n"/>
    </row>
    <row r="1163" ht="15.75" customHeight="1" s="64">
      <c r="A1163" s="88" t="n"/>
      <c r="B1163" s="120">
        <f t="array" ref="B1163:B1163">IF(A1163="","",IFERROR(INDEX('3.員工名單'!$B:$B,MATCH(A1163,'3.員工名單'!$A:$A,0)),"查無此員工"))</f>
        <v/>
      </c>
      <c r="C1163" s="120">
        <f t="array" ref="C1163:C1163">IF(A1163="","",IFERROR(INDEX('3.員工名單'!$C:$C,MATCH(A1163,'3.員工名單'!$A:$A,0)),""))</f>
        <v/>
      </c>
      <c r="D1163" s="120">
        <f t="array" ref="D1163:D1163">IF(A1163="","",IFERROR(INDEX('3.員工名單'!$D:$D,MATCH(A1163,'3.員工名單'!$A:$A,0)),""))</f>
        <v/>
      </c>
      <c r="E1163" s="120">
        <f t="array" ref="E1163:E1163">IF(F1163="","",IFERROR(INDEX('1.職能辭典'!$A:$A,MATCH(F1163,'1.職能辭典'!$C:$C,0)),""))</f>
        <v/>
      </c>
      <c r="F1163" s="94" t="n"/>
      <c r="G1163" s="120">
        <f t="array" ref="G1163:G1163">IF(OR(D1163="",F1163=""),"",IFERROR(IF(AND(OR(INDEX('1.職能辭典'!$J:$J,MATCH(F1163,'1.職能辭典'!$C:$C,0))="全部",INDEX('3.員工名單'!$H:$H,MATCH(A1163,'3.員工名單'!$A:$A,0))="兩款共用",INDEX('3.員工名單'!$H:$H,MATCH(A1163,'3.員工名單'!$A:$A,0))=INDEX('1.職能辭典'!$J:$J,MATCH(F1163,'1.職能辭典'!$C:$C,0))),OR(INDEX('1.職能辭典'!$K:$K,MATCH(F1163,'1.職能辭典'!$C:$C,0))="全部",SUMPRODUCT(ISNUMBER(SEARCH({"經營","管理","財務","企劃","營運","技術","數據","美術","測試","客服"},INDEX('3.員工名單'!$I:$I,MATCH(A1163,'3.員工名單'!$A:$A,0))))*ISNUMBER(SEARCH({"經營","管理","財務","企劃","營運","技術","數據","美術","測試","客服"},INDEX('1.職能辭典'!$K:$K,MATCH(F1163,'1.職能辭典'!$C:$C,0)))))&gt;0)),INDEX('2.職務職能需求'!$B$2:$F$28,MATCH(F1163,'2.職務職能需求'!$A$2:$A$28,0),MATCH(D1163,'2.職務職能需求'!$B$1:$F$1,0)),0),""))</f>
        <v/>
      </c>
      <c r="H1163" s="94" t="n"/>
      <c r="I1163" s="94" t="n"/>
      <c r="J1163" s="120">
        <f>IF(OR(G1163="",I1163="",G1163=0),"",I1163-G1163)</f>
        <v/>
      </c>
      <c r="K1163" s="120">
        <f>IF(G1163="","",IF(G1163=0,"不適用",IF(I1163="","待評核",IF(I1163&gt;=G1163,IF(I1163&gt;G1163,"超越","達標"),"待發展"))))</f>
        <v/>
      </c>
      <c r="L1163" s="91" t="n"/>
      <c r="M1163" s="91" t="n"/>
      <c r="N1163" s="88" t="n"/>
    </row>
    <row r="1164" ht="15.75" customHeight="1" s="64">
      <c r="A1164" s="88" t="n"/>
      <c r="B1164" s="120">
        <f t="array" ref="B1164:B1164">IF(A1164="","",IFERROR(INDEX('3.員工名單'!$B:$B,MATCH(A1164,'3.員工名單'!$A:$A,0)),"查無此員工"))</f>
        <v/>
      </c>
      <c r="C1164" s="120">
        <f t="array" ref="C1164:C1164">IF(A1164="","",IFERROR(INDEX('3.員工名單'!$C:$C,MATCH(A1164,'3.員工名單'!$A:$A,0)),""))</f>
        <v/>
      </c>
      <c r="D1164" s="120">
        <f t="array" ref="D1164:D1164">IF(A1164="","",IFERROR(INDEX('3.員工名單'!$D:$D,MATCH(A1164,'3.員工名單'!$A:$A,0)),""))</f>
        <v/>
      </c>
      <c r="E1164" s="120">
        <f t="array" ref="E1164:E1164">IF(F1164="","",IFERROR(INDEX('1.職能辭典'!$A:$A,MATCH(F1164,'1.職能辭典'!$C:$C,0)),""))</f>
        <v/>
      </c>
      <c r="F1164" s="94" t="n"/>
      <c r="G1164" s="120">
        <f t="array" ref="G1164:G1164">IF(OR(D1164="",F1164=""),"",IFERROR(IF(AND(OR(INDEX('1.職能辭典'!$J:$J,MATCH(F1164,'1.職能辭典'!$C:$C,0))="全部",INDEX('3.員工名單'!$H:$H,MATCH(A1164,'3.員工名單'!$A:$A,0))="兩款共用",INDEX('3.員工名單'!$H:$H,MATCH(A1164,'3.員工名單'!$A:$A,0))=INDEX('1.職能辭典'!$J:$J,MATCH(F1164,'1.職能辭典'!$C:$C,0))),OR(INDEX('1.職能辭典'!$K:$K,MATCH(F1164,'1.職能辭典'!$C:$C,0))="全部",SUMPRODUCT(ISNUMBER(SEARCH({"經營","管理","財務","企劃","營運","技術","數據","美術","測試","客服"},INDEX('3.員工名單'!$I:$I,MATCH(A1164,'3.員工名單'!$A:$A,0))))*ISNUMBER(SEARCH({"經營","管理","財務","企劃","營運","技術","數據","美術","測試","客服"},INDEX('1.職能辭典'!$K:$K,MATCH(F1164,'1.職能辭典'!$C:$C,0)))))&gt;0)),INDEX('2.職務職能需求'!$B$2:$F$28,MATCH(F1164,'2.職務職能需求'!$A$2:$A$28,0),MATCH(D1164,'2.職務職能需求'!$B$1:$F$1,0)),0),""))</f>
        <v/>
      </c>
      <c r="H1164" s="94" t="n"/>
      <c r="I1164" s="94" t="n"/>
      <c r="J1164" s="120">
        <f>IF(OR(G1164="",I1164="",G1164=0),"",I1164-G1164)</f>
        <v/>
      </c>
      <c r="K1164" s="120">
        <f>IF(G1164="","",IF(G1164=0,"不適用",IF(I1164="","待評核",IF(I1164&gt;=G1164,IF(I1164&gt;G1164,"超越","達標"),"待發展"))))</f>
        <v/>
      </c>
      <c r="L1164" s="91" t="n"/>
      <c r="M1164" s="91" t="n"/>
      <c r="N1164" s="88" t="n"/>
    </row>
    <row r="1165" ht="15.75" customHeight="1" s="64">
      <c r="A1165" s="88" t="n"/>
      <c r="B1165" s="120">
        <f t="array" ref="B1165:B1165">IF(A1165="","",IFERROR(INDEX('3.員工名單'!$B:$B,MATCH(A1165,'3.員工名單'!$A:$A,0)),"查無此員工"))</f>
        <v/>
      </c>
      <c r="C1165" s="120">
        <f t="array" ref="C1165:C1165">IF(A1165="","",IFERROR(INDEX('3.員工名單'!$C:$C,MATCH(A1165,'3.員工名單'!$A:$A,0)),""))</f>
        <v/>
      </c>
      <c r="D1165" s="120">
        <f t="array" ref="D1165:D1165">IF(A1165="","",IFERROR(INDEX('3.員工名單'!$D:$D,MATCH(A1165,'3.員工名單'!$A:$A,0)),""))</f>
        <v/>
      </c>
      <c r="E1165" s="120">
        <f t="array" ref="E1165:E1165">IF(F1165="","",IFERROR(INDEX('1.職能辭典'!$A:$A,MATCH(F1165,'1.職能辭典'!$C:$C,0)),""))</f>
        <v/>
      </c>
      <c r="F1165" s="94" t="n"/>
      <c r="G1165" s="120">
        <f t="array" ref="G1165:G1165">IF(OR(D1165="",F1165=""),"",IFERROR(IF(AND(OR(INDEX('1.職能辭典'!$J:$J,MATCH(F1165,'1.職能辭典'!$C:$C,0))="全部",INDEX('3.員工名單'!$H:$H,MATCH(A1165,'3.員工名單'!$A:$A,0))="兩款共用",INDEX('3.員工名單'!$H:$H,MATCH(A1165,'3.員工名單'!$A:$A,0))=INDEX('1.職能辭典'!$J:$J,MATCH(F1165,'1.職能辭典'!$C:$C,0))),OR(INDEX('1.職能辭典'!$K:$K,MATCH(F1165,'1.職能辭典'!$C:$C,0))="全部",SUMPRODUCT(ISNUMBER(SEARCH({"經營","管理","財務","企劃","營運","技術","數據","美術","測試","客服"},INDEX('3.員工名單'!$I:$I,MATCH(A1165,'3.員工名單'!$A:$A,0))))*ISNUMBER(SEARCH({"經營","管理","財務","企劃","營運","技術","數據","美術","測試","客服"},INDEX('1.職能辭典'!$K:$K,MATCH(F1165,'1.職能辭典'!$C:$C,0)))))&gt;0)),INDEX('2.職務職能需求'!$B$2:$F$28,MATCH(F1165,'2.職務職能需求'!$A$2:$A$28,0),MATCH(D1165,'2.職務職能需求'!$B$1:$F$1,0)),0),""))</f>
        <v/>
      </c>
      <c r="H1165" s="94" t="n"/>
      <c r="I1165" s="94" t="n"/>
      <c r="J1165" s="120">
        <f>IF(OR(G1165="",I1165="",G1165=0),"",I1165-G1165)</f>
        <v/>
      </c>
      <c r="K1165" s="120">
        <f>IF(G1165="","",IF(G1165=0,"不適用",IF(I1165="","待評核",IF(I1165&gt;=G1165,IF(I1165&gt;G1165,"超越","達標"),"待發展"))))</f>
        <v/>
      </c>
      <c r="L1165" s="91" t="n"/>
      <c r="M1165" s="91" t="n"/>
      <c r="N1165" s="88" t="n"/>
    </row>
    <row r="1166" ht="15.75" customHeight="1" s="64">
      <c r="A1166" s="88" t="n"/>
      <c r="B1166" s="120">
        <f t="array" ref="B1166:B1166">IF(A1166="","",IFERROR(INDEX('3.員工名單'!$B:$B,MATCH(A1166,'3.員工名單'!$A:$A,0)),"查無此員工"))</f>
        <v/>
      </c>
      <c r="C1166" s="120">
        <f t="array" ref="C1166:C1166">IF(A1166="","",IFERROR(INDEX('3.員工名單'!$C:$C,MATCH(A1166,'3.員工名單'!$A:$A,0)),""))</f>
        <v/>
      </c>
      <c r="D1166" s="120">
        <f t="array" ref="D1166:D1166">IF(A1166="","",IFERROR(INDEX('3.員工名單'!$D:$D,MATCH(A1166,'3.員工名單'!$A:$A,0)),""))</f>
        <v/>
      </c>
      <c r="E1166" s="120">
        <f t="array" ref="E1166:E1166">IF(F1166="","",IFERROR(INDEX('1.職能辭典'!$A:$A,MATCH(F1166,'1.職能辭典'!$C:$C,0)),""))</f>
        <v/>
      </c>
      <c r="F1166" s="94" t="n"/>
      <c r="G1166" s="120">
        <f t="array" ref="G1166:G1166">IF(OR(D1166="",F1166=""),"",IFERROR(IF(AND(OR(INDEX('1.職能辭典'!$J:$J,MATCH(F1166,'1.職能辭典'!$C:$C,0))="全部",INDEX('3.員工名單'!$H:$H,MATCH(A1166,'3.員工名單'!$A:$A,0))="兩款共用",INDEX('3.員工名單'!$H:$H,MATCH(A1166,'3.員工名單'!$A:$A,0))=INDEX('1.職能辭典'!$J:$J,MATCH(F1166,'1.職能辭典'!$C:$C,0))),OR(INDEX('1.職能辭典'!$K:$K,MATCH(F1166,'1.職能辭典'!$C:$C,0))="全部",SUMPRODUCT(ISNUMBER(SEARCH({"經營","管理","財務","企劃","營運","技術","數據","美術","測試","客服"},INDEX('3.員工名單'!$I:$I,MATCH(A1166,'3.員工名單'!$A:$A,0))))*ISNUMBER(SEARCH({"經營","管理","財務","企劃","營運","技術","數據","美術","測試","客服"},INDEX('1.職能辭典'!$K:$K,MATCH(F1166,'1.職能辭典'!$C:$C,0)))))&gt;0)),INDEX('2.職務職能需求'!$B$2:$F$28,MATCH(F1166,'2.職務職能需求'!$A$2:$A$28,0),MATCH(D1166,'2.職務職能需求'!$B$1:$F$1,0)),0),""))</f>
        <v/>
      </c>
      <c r="H1166" s="94" t="n"/>
      <c r="I1166" s="94" t="n"/>
      <c r="J1166" s="120">
        <f>IF(OR(G1166="",I1166="",G1166=0),"",I1166-G1166)</f>
        <v/>
      </c>
      <c r="K1166" s="120">
        <f>IF(G1166="","",IF(G1166=0,"不適用",IF(I1166="","待評核",IF(I1166&gt;=G1166,IF(I1166&gt;G1166,"超越","達標"),"待發展"))))</f>
        <v/>
      </c>
      <c r="L1166" s="91" t="n"/>
      <c r="M1166" s="91" t="n"/>
      <c r="N1166" s="88" t="n"/>
    </row>
    <row r="1167" ht="15.75" customHeight="1" s="64">
      <c r="A1167" s="88" t="n"/>
      <c r="B1167" s="120">
        <f t="array" ref="B1167:B1167">IF(A1167="","",IFERROR(INDEX('3.員工名單'!$B:$B,MATCH(A1167,'3.員工名單'!$A:$A,0)),"查無此員工"))</f>
        <v/>
      </c>
      <c r="C1167" s="120">
        <f t="array" ref="C1167:C1167">IF(A1167="","",IFERROR(INDEX('3.員工名單'!$C:$C,MATCH(A1167,'3.員工名單'!$A:$A,0)),""))</f>
        <v/>
      </c>
      <c r="D1167" s="120">
        <f t="array" ref="D1167:D1167">IF(A1167="","",IFERROR(INDEX('3.員工名單'!$D:$D,MATCH(A1167,'3.員工名單'!$A:$A,0)),""))</f>
        <v/>
      </c>
      <c r="E1167" s="120">
        <f t="array" ref="E1167:E1167">IF(F1167="","",IFERROR(INDEX('1.職能辭典'!$A:$A,MATCH(F1167,'1.職能辭典'!$C:$C,0)),""))</f>
        <v/>
      </c>
      <c r="F1167" s="94" t="n"/>
      <c r="G1167" s="120">
        <f t="array" ref="G1167:G1167">IF(OR(D1167="",F1167=""),"",IFERROR(IF(AND(OR(INDEX('1.職能辭典'!$J:$J,MATCH(F1167,'1.職能辭典'!$C:$C,0))="全部",INDEX('3.員工名單'!$H:$H,MATCH(A1167,'3.員工名單'!$A:$A,0))="兩款共用",INDEX('3.員工名單'!$H:$H,MATCH(A1167,'3.員工名單'!$A:$A,0))=INDEX('1.職能辭典'!$J:$J,MATCH(F1167,'1.職能辭典'!$C:$C,0))),OR(INDEX('1.職能辭典'!$K:$K,MATCH(F1167,'1.職能辭典'!$C:$C,0))="全部",SUMPRODUCT(ISNUMBER(SEARCH({"經營","管理","財務","企劃","營運","技術","數據","美術","測試","客服"},INDEX('3.員工名單'!$I:$I,MATCH(A1167,'3.員工名單'!$A:$A,0))))*ISNUMBER(SEARCH({"經營","管理","財務","企劃","營運","技術","數據","美術","測試","客服"},INDEX('1.職能辭典'!$K:$K,MATCH(F1167,'1.職能辭典'!$C:$C,0)))))&gt;0)),INDEX('2.職務職能需求'!$B$2:$F$28,MATCH(F1167,'2.職務職能需求'!$A$2:$A$28,0),MATCH(D1167,'2.職務職能需求'!$B$1:$F$1,0)),0),""))</f>
        <v/>
      </c>
      <c r="H1167" s="94" t="n"/>
      <c r="I1167" s="94" t="n"/>
      <c r="J1167" s="120">
        <f>IF(OR(G1167="",I1167="",G1167=0),"",I1167-G1167)</f>
        <v/>
      </c>
      <c r="K1167" s="120">
        <f>IF(G1167="","",IF(G1167=0,"不適用",IF(I1167="","待評核",IF(I1167&gt;=G1167,IF(I1167&gt;G1167,"超越","達標"),"待發展"))))</f>
        <v/>
      </c>
      <c r="L1167" s="91" t="n"/>
      <c r="M1167" s="91" t="n"/>
      <c r="N1167" s="88" t="n"/>
    </row>
    <row r="1168" ht="15.75" customHeight="1" s="64">
      <c r="A1168" s="88" t="n"/>
      <c r="B1168" s="120">
        <f t="array" ref="B1168:B1168">IF(A1168="","",IFERROR(INDEX('3.員工名單'!$B:$B,MATCH(A1168,'3.員工名單'!$A:$A,0)),"查無此員工"))</f>
        <v/>
      </c>
      <c r="C1168" s="120">
        <f t="array" ref="C1168:C1168">IF(A1168="","",IFERROR(INDEX('3.員工名單'!$C:$C,MATCH(A1168,'3.員工名單'!$A:$A,0)),""))</f>
        <v/>
      </c>
      <c r="D1168" s="120">
        <f t="array" ref="D1168:D1168">IF(A1168="","",IFERROR(INDEX('3.員工名單'!$D:$D,MATCH(A1168,'3.員工名單'!$A:$A,0)),""))</f>
        <v/>
      </c>
      <c r="E1168" s="120">
        <f t="array" ref="E1168:E1168">IF(F1168="","",IFERROR(INDEX('1.職能辭典'!$A:$A,MATCH(F1168,'1.職能辭典'!$C:$C,0)),""))</f>
        <v/>
      </c>
      <c r="F1168" s="94" t="n"/>
      <c r="G1168" s="120">
        <f t="array" ref="G1168:G1168">IF(OR(D1168="",F1168=""),"",IFERROR(IF(AND(OR(INDEX('1.職能辭典'!$J:$J,MATCH(F1168,'1.職能辭典'!$C:$C,0))="全部",INDEX('3.員工名單'!$H:$H,MATCH(A1168,'3.員工名單'!$A:$A,0))="兩款共用",INDEX('3.員工名單'!$H:$H,MATCH(A1168,'3.員工名單'!$A:$A,0))=INDEX('1.職能辭典'!$J:$J,MATCH(F1168,'1.職能辭典'!$C:$C,0))),OR(INDEX('1.職能辭典'!$K:$K,MATCH(F1168,'1.職能辭典'!$C:$C,0))="全部",SUMPRODUCT(ISNUMBER(SEARCH({"經營","管理","財務","企劃","營運","技術","數據","美術","測試","客服"},INDEX('3.員工名單'!$I:$I,MATCH(A1168,'3.員工名單'!$A:$A,0))))*ISNUMBER(SEARCH({"經營","管理","財務","企劃","營運","技術","數據","美術","測試","客服"},INDEX('1.職能辭典'!$K:$K,MATCH(F1168,'1.職能辭典'!$C:$C,0)))))&gt;0)),INDEX('2.職務職能需求'!$B$2:$F$28,MATCH(F1168,'2.職務職能需求'!$A$2:$A$28,0),MATCH(D1168,'2.職務職能需求'!$B$1:$F$1,0)),0),""))</f>
        <v/>
      </c>
      <c r="H1168" s="94" t="n"/>
      <c r="I1168" s="94" t="n"/>
      <c r="J1168" s="120">
        <f>IF(OR(G1168="",I1168="",G1168=0),"",I1168-G1168)</f>
        <v/>
      </c>
      <c r="K1168" s="120">
        <f>IF(G1168="","",IF(G1168=0,"不適用",IF(I1168="","待評核",IF(I1168&gt;=G1168,IF(I1168&gt;G1168,"超越","達標"),"待發展"))))</f>
        <v/>
      </c>
      <c r="L1168" s="91" t="n"/>
      <c r="M1168" s="91" t="n"/>
      <c r="N1168" s="88" t="n"/>
    </row>
    <row r="1169" ht="15.75" customHeight="1" s="64">
      <c r="A1169" s="88" t="n"/>
      <c r="B1169" s="120">
        <f t="array" ref="B1169:B1169">IF(A1169="","",IFERROR(INDEX('3.員工名單'!$B:$B,MATCH(A1169,'3.員工名單'!$A:$A,0)),"查無此員工"))</f>
        <v/>
      </c>
      <c r="C1169" s="120">
        <f t="array" ref="C1169:C1169">IF(A1169="","",IFERROR(INDEX('3.員工名單'!$C:$C,MATCH(A1169,'3.員工名單'!$A:$A,0)),""))</f>
        <v/>
      </c>
      <c r="D1169" s="120">
        <f t="array" ref="D1169:D1169">IF(A1169="","",IFERROR(INDEX('3.員工名單'!$D:$D,MATCH(A1169,'3.員工名單'!$A:$A,0)),""))</f>
        <v/>
      </c>
      <c r="E1169" s="120">
        <f t="array" ref="E1169:E1169">IF(F1169="","",IFERROR(INDEX('1.職能辭典'!$A:$A,MATCH(F1169,'1.職能辭典'!$C:$C,0)),""))</f>
        <v/>
      </c>
      <c r="F1169" s="94" t="n"/>
      <c r="G1169" s="120">
        <f t="array" ref="G1169:G1169">IF(OR(D1169="",F1169=""),"",IFERROR(IF(AND(OR(INDEX('1.職能辭典'!$J:$J,MATCH(F1169,'1.職能辭典'!$C:$C,0))="全部",INDEX('3.員工名單'!$H:$H,MATCH(A1169,'3.員工名單'!$A:$A,0))="兩款共用",INDEX('3.員工名單'!$H:$H,MATCH(A1169,'3.員工名單'!$A:$A,0))=INDEX('1.職能辭典'!$J:$J,MATCH(F1169,'1.職能辭典'!$C:$C,0))),OR(INDEX('1.職能辭典'!$K:$K,MATCH(F1169,'1.職能辭典'!$C:$C,0))="全部",SUMPRODUCT(ISNUMBER(SEARCH({"經營","管理","財務","企劃","營運","技術","數據","美術","測試","客服"},INDEX('3.員工名單'!$I:$I,MATCH(A1169,'3.員工名單'!$A:$A,0))))*ISNUMBER(SEARCH({"經營","管理","財務","企劃","營運","技術","數據","美術","測試","客服"},INDEX('1.職能辭典'!$K:$K,MATCH(F1169,'1.職能辭典'!$C:$C,0)))))&gt;0)),INDEX('2.職務職能需求'!$B$2:$F$28,MATCH(F1169,'2.職務職能需求'!$A$2:$A$28,0),MATCH(D1169,'2.職務職能需求'!$B$1:$F$1,0)),0),""))</f>
        <v/>
      </c>
      <c r="H1169" s="94" t="n"/>
      <c r="I1169" s="94" t="n"/>
      <c r="J1169" s="120">
        <f>IF(OR(G1169="",I1169="",G1169=0),"",I1169-G1169)</f>
        <v/>
      </c>
      <c r="K1169" s="120">
        <f>IF(G1169="","",IF(G1169=0,"不適用",IF(I1169="","待評核",IF(I1169&gt;=G1169,IF(I1169&gt;G1169,"超越","達標"),"待發展"))))</f>
        <v/>
      </c>
      <c r="L1169" s="91" t="n"/>
      <c r="M1169" s="91" t="n"/>
      <c r="N1169" s="88" t="n"/>
    </row>
    <row r="1170" ht="15.75" customHeight="1" s="64">
      <c r="A1170" s="88" t="n"/>
      <c r="B1170" s="120">
        <f t="array" ref="B1170:B1170">IF(A1170="","",IFERROR(INDEX('3.員工名單'!$B:$B,MATCH(A1170,'3.員工名單'!$A:$A,0)),"查無此員工"))</f>
        <v/>
      </c>
      <c r="C1170" s="120">
        <f t="array" ref="C1170:C1170">IF(A1170="","",IFERROR(INDEX('3.員工名單'!$C:$C,MATCH(A1170,'3.員工名單'!$A:$A,0)),""))</f>
        <v/>
      </c>
      <c r="D1170" s="120">
        <f t="array" ref="D1170:D1170">IF(A1170="","",IFERROR(INDEX('3.員工名單'!$D:$D,MATCH(A1170,'3.員工名單'!$A:$A,0)),""))</f>
        <v/>
      </c>
      <c r="E1170" s="120">
        <f t="array" ref="E1170:E1170">IF(F1170="","",IFERROR(INDEX('1.職能辭典'!$A:$A,MATCH(F1170,'1.職能辭典'!$C:$C,0)),""))</f>
        <v/>
      </c>
      <c r="F1170" s="94" t="n"/>
      <c r="G1170" s="120">
        <f t="array" ref="G1170:G1170">IF(OR(D1170="",F1170=""),"",IFERROR(IF(AND(OR(INDEX('1.職能辭典'!$J:$J,MATCH(F1170,'1.職能辭典'!$C:$C,0))="全部",INDEX('3.員工名單'!$H:$H,MATCH(A1170,'3.員工名單'!$A:$A,0))="兩款共用",INDEX('3.員工名單'!$H:$H,MATCH(A1170,'3.員工名單'!$A:$A,0))=INDEX('1.職能辭典'!$J:$J,MATCH(F1170,'1.職能辭典'!$C:$C,0))),OR(INDEX('1.職能辭典'!$K:$K,MATCH(F1170,'1.職能辭典'!$C:$C,0))="全部",SUMPRODUCT(ISNUMBER(SEARCH({"經營","管理","財務","企劃","營運","技術","數據","美術","測試","客服"},INDEX('3.員工名單'!$I:$I,MATCH(A1170,'3.員工名單'!$A:$A,0))))*ISNUMBER(SEARCH({"經營","管理","財務","企劃","營運","技術","數據","美術","測試","客服"},INDEX('1.職能辭典'!$K:$K,MATCH(F1170,'1.職能辭典'!$C:$C,0)))))&gt;0)),INDEX('2.職務職能需求'!$B$2:$F$28,MATCH(F1170,'2.職務職能需求'!$A$2:$A$28,0),MATCH(D1170,'2.職務職能需求'!$B$1:$F$1,0)),0),""))</f>
        <v/>
      </c>
      <c r="H1170" s="94" t="n"/>
      <c r="I1170" s="94" t="n"/>
      <c r="J1170" s="120">
        <f>IF(OR(G1170="",I1170="",G1170=0),"",I1170-G1170)</f>
        <v/>
      </c>
      <c r="K1170" s="120">
        <f>IF(G1170="","",IF(G1170=0,"不適用",IF(I1170="","待評核",IF(I1170&gt;=G1170,IF(I1170&gt;G1170,"超越","達標"),"待發展"))))</f>
        <v/>
      </c>
      <c r="L1170" s="91" t="n"/>
      <c r="M1170" s="91" t="n"/>
      <c r="N1170" s="88" t="n"/>
    </row>
    <row r="1171" ht="15.75" customHeight="1" s="64">
      <c r="A1171" s="88" t="n"/>
      <c r="B1171" s="120">
        <f t="array" ref="B1171:B1171">IF(A1171="","",IFERROR(INDEX('3.員工名單'!$B:$B,MATCH(A1171,'3.員工名單'!$A:$A,0)),"查無此員工"))</f>
        <v/>
      </c>
      <c r="C1171" s="120">
        <f t="array" ref="C1171:C1171">IF(A1171="","",IFERROR(INDEX('3.員工名單'!$C:$C,MATCH(A1171,'3.員工名單'!$A:$A,0)),""))</f>
        <v/>
      </c>
      <c r="D1171" s="120">
        <f t="array" ref="D1171:D1171">IF(A1171="","",IFERROR(INDEX('3.員工名單'!$D:$D,MATCH(A1171,'3.員工名單'!$A:$A,0)),""))</f>
        <v/>
      </c>
      <c r="E1171" s="120">
        <f t="array" ref="E1171:E1171">IF(F1171="","",IFERROR(INDEX('1.職能辭典'!$A:$A,MATCH(F1171,'1.職能辭典'!$C:$C,0)),""))</f>
        <v/>
      </c>
      <c r="F1171" s="94" t="n"/>
      <c r="G1171" s="120">
        <f t="array" ref="G1171:G1171">IF(OR(D1171="",F1171=""),"",IFERROR(IF(AND(OR(INDEX('1.職能辭典'!$J:$J,MATCH(F1171,'1.職能辭典'!$C:$C,0))="全部",INDEX('3.員工名單'!$H:$H,MATCH(A1171,'3.員工名單'!$A:$A,0))="兩款共用",INDEX('3.員工名單'!$H:$H,MATCH(A1171,'3.員工名單'!$A:$A,0))=INDEX('1.職能辭典'!$J:$J,MATCH(F1171,'1.職能辭典'!$C:$C,0))),OR(INDEX('1.職能辭典'!$K:$K,MATCH(F1171,'1.職能辭典'!$C:$C,0))="全部",SUMPRODUCT(ISNUMBER(SEARCH({"經營","管理","財務","企劃","營運","技術","數據","美術","測試","客服"},INDEX('3.員工名單'!$I:$I,MATCH(A1171,'3.員工名單'!$A:$A,0))))*ISNUMBER(SEARCH({"經營","管理","財務","企劃","營運","技術","數據","美術","測試","客服"},INDEX('1.職能辭典'!$K:$K,MATCH(F1171,'1.職能辭典'!$C:$C,0)))))&gt;0)),INDEX('2.職務職能需求'!$B$2:$F$28,MATCH(F1171,'2.職務職能需求'!$A$2:$A$28,0),MATCH(D1171,'2.職務職能需求'!$B$1:$F$1,0)),0),""))</f>
        <v/>
      </c>
      <c r="H1171" s="94" t="n"/>
      <c r="I1171" s="94" t="n"/>
      <c r="J1171" s="120">
        <f>IF(OR(G1171="",I1171="",G1171=0),"",I1171-G1171)</f>
        <v/>
      </c>
      <c r="K1171" s="120">
        <f>IF(G1171="","",IF(G1171=0,"不適用",IF(I1171="","待評核",IF(I1171&gt;=G1171,IF(I1171&gt;G1171,"超越","達標"),"待發展"))))</f>
        <v/>
      </c>
      <c r="L1171" s="91" t="n"/>
      <c r="M1171" s="91" t="n"/>
      <c r="N1171" s="88" t="n"/>
    </row>
    <row r="1172" ht="15.75" customHeight="1" s="64">
      <c r="A1172" s="88" t="n"/>
      <c r="B1172" s="120">
        <f t="array" ref="B1172:B1172">IF(A1172="","",IFERROR(INDEX('3.員工名單'!$B:$B,MATCH(A1172,'3.員工名單'!$A:$A,0)),"查無此員工"))</f>
        <v/>
      </c>
      <c r="C1172" s="120">
        <f t="array" ref="C1172:C1172">IF(A1172="","",IFERROR(INDEX('3.員工名單'!$C:$C,MATCH(A1172,'3.員工名單'!$A:$A,0)),""))</f>
        <v/>
      </c>
      <c r="D1172" s="120">
        <f t="array" ref="D1172:D1172">IF(A1172="","",IFERROR(INDEX('3.員工名單'!$D:$D,MATCH(A1172,'3.員工名單'!$A:$A,0)),""))</f>
        <v/>
      </c>
      <c r="E1172" s="120">
        <f t="array" ref="E1172:E1172">IF(F1172="","",IFERROR(INDEX('1.職能辭典'!$A:$A,MATCH(F1172,'1.職能辭典'!$C:$C,0)),""))</f>
        <v/>
      </c>
      <c r="F1172" s="94" t="n"/>
      <c r="G1172" s="120">
        <f t="array" ref="G1172:G1172">IF(OR(D1172="",F1172=""),"",IFERROR(IF(AND(OR(INDEX('1.職能辭典'!$J:$J,MATCH(F1172,'1.職能辭典'!$C:$C,0))="全部",INDEX('3.員工名單'!$H:$H,MATCH(A1172,'3.員工名單'!$A:$A,0))="兩款共用",INDEX('3.員工名單'!$H:$H,MATCH(A1172,'3.員工名單'!$A:$A,0))=INDEX('1.職能辭典'!$J:$J,MATCH(F1172,'1.職能辭典'!$C:$C,0))),OR(INDEX('1.職能辭典'!$K:$K,MATCH(F1172,'1.職能辭典'!$C:$C,0))="全部",SUMPRODUCT(ISNUMBER(SEARCH({"經營","管理","財務","企劃","營運","技術","數據","美術","測試","客服"},INDEX('3.員工名單'!$I:$I,MATCH(A1172,'3.員工名單'!$A:$A,0))))*ISNUMBER(SEARCH({"經營","管理","財務","企劃","營運","技術","數據","美術","測試","客服"},INDEX('1.職能辭典'!$K:$K,MATCH(F1172,'1.職能辭典'!$C:$C,0)))))&gt;0)),INDEX('2.職務職能需求'!$B$2:$F$28,MATCH(F1172,'2.職務職能需求'!$A$2:$A$28,0),MATCH(D1172,'2.職務職能需求'!$B$1:$F$1,0)),0),""))</f>
        <v/>
      </c>
      <c r="H1172" s="94" t="n"/>
      <c r="I1172" s="94" t="n"/>
      <c r="J1172" s="120">
        <f>IF(OR(G1172="",I1172="",G1172=0),"",I1172-G1172)</f>
        <v/>
      </c>
      <c r="K1172" s="120">
        <f>IF(G1172="","",IF(G1172=0,"不適用",IF(I1172="","待評核",IF(I1172&gt;=G1172,IF(I1172&gt;G1172,"超越","達標"),"待發展"))))</f>
        <v/>
      </c>
      <c r="L1172" s="91" t="n"/>
      <c r="M1172" s="91" t="n"/>
      <c r="N1172" s="88" t="n"/>
    </row>
    <row r="1173" ht="15.75" customHeight="1" s="64">
      <c r="A1173" s="88" t="n"/>
      <c r="B1173" s="120">
        <f t="array" ref="B1173:B1173">IF(A1173="","",IFERROR(INDEX('3.員工名單'!$B:$B,MATCH(A1173,'3.員工名單'!$A:$A,0)),"查無此員工"))</f>
        <v/>
      </c>
      <c r="C1173" s="120">
        <f t="array" ref="C1173:C1173">IF(A1173="","",IFERROR(INDEX('3.員工名單'!$C:$C,MATCH(A1173,'3.員工名單'!$A:$A,0)),""))</f>
        <v/>
      </c>
      <c r="D1173" s="120">
        <f t="array" ref="D1173:D1173">IF(A1173="","",IFERROR(INDEX('3.員工名單'!$D:$D,MATCH(A1173,'3.員工名單'!$A:$A,0)),""))</f>
        <v/>
      </c>
      <c r="E1173" s="120">
        <f t="array" ref="E1173:E1173">IF(F1173="","",IFERROR(INDEX('1.職能辭典'!$A:$A,MATCH(F1173,'1.職能辭典'!$C:$C,0)),""))</f>
        <v/>
      </c>
      <c r="F1173" s="94" t="n"/>
      <c r="G1173" s="120">
        <f t="array" ref="G1173:G1173">IF(OR(D1173="",F1173=""),"",IFERROR(IF(AND(OR(INDEX('1.職能辭典'!$J:$J,MATCH(F1173,'1.職能辭典'!$C:$C,0))="全部",INDEX('3.員工名單'!$H:$H,MATCH(A1173,'3.員工名單'!$A:$A,0))="兩款共用",INDEX('3.員工名單'!$H:$H,MATCH(A1173,'3.員工名單'!$A:$A,0))=INDEX('1.職能辭典'!$J:$J,MATCH(F1173,'1.職能辭典'!$C:$C,0))),OR(INDEX('1.職能辭典'!$K:$K,MATCH(F1173,'1.職能辭典'!$C:$C,0))="全部",SUMPRODUCT(ISNUMBER(SEARCH({"經營","管理","財務","企劃","營運","技術","數據","美術","測試","客服"},INDEX('3.員工名單'!$I:$I,MATCH(A1173,'3.員工名單'!$A:$A,0))))*ISNUMBER(SEARCH({"經營","管理","財務","企劃","營運","技術","數據","美術","測試","客服"},INDEX('1.職能辭典'!$K:$K,MATCH(F1173,'1.職能辭典'!$C:$C,0)))))&gt;0)),INDEX('2.職務職能需求'!$B$2:$F$28,MATCH(F1173,'2.職務職能需求'!$A$2:$A$28,0),MATCH(D1173,'2.職務職能需求'!$B$1:$F$1,0)),0),""))</f>
        <v/>
      </c>
      <c r="H1173" s="94" t="n"/>
      <c r="I1173" s="94" t="n"/>
      <c r="J1173" s="120">
        <f>IF(OR(G1173="",I1173="",G1173=0),"",I1173-G1173)</f>
        <v/>
      </c>
      <c r="K1173" s="120">
        <f>IF(G1173="","",IF(G1173=0,"不適用",IF(I1173="","待評核",IF(I1173&gt;=G1173,IF(I1173&gt;G1173,"超越","達標"),"待發展"))))</f>
        <v/>
      </c>
      <c r="L1173" s="91" t="n"/>
      <c r="M1173" s="91" t="n"/>
      <c r="N1173" s="88" t="n"/>
    </row>
    <row r="1174" ht="15.75" customHeight="1" s="64">
      <c r="A1174" s="88" t="n"/>
      <c r="B1174" s="120">
        <f t="array" ref="B1174:B1174">IF(A1174="","",IFERROR(INDEX('3.員工名單'!$B:$B,MATCH(A1174,'3.員工名單'!$A:$A,0)),"查無此員工"))</f>
        <v/>
      </c>
      <c r="C1174" s="120">
        <f t="array" ref="C1174:C1174">IF(A1174="","",IFERROR(INDEX('3.員工名單'!$C:$C,MATCH(A1174,'3.員工名單'!$A:$A,0)),""))</f>
        <v/>
      </c>
      <c r="D1174" s="120">
        <f t="array" ref="D1174:D1174">IF(A1174="","",IFERROR(INDEX('3.員工名單'!$D:$D,MATCH(A1174,'3.員工名單'!$A:$A,0)),""))</f>
        <v/>
      </c>
      <c r="E1174" s="120">
        <f t="array" ref="E1174:E1174">IF(F1174="","",IFERROR(INDEX('1.職能辭典'!$A:$A,MATCH(F1174,'1.職能辭典'!$C:$C,0)),""))</f>
        <v/>
      </c>
      <c r="F1174" s="94" t="n"/>
      <c r="G1174" s="120">
        <f t="array" ref="G1174:G1174">IF(OR(D1174="",F1174=""),"",IFERROR(IF(AND(OR(INDEX('1.職能辭典'!$J:$J,MATCH(F1174,'1.職能辭典'!$C:$C,0))="全部",INDEX('3.員工名單'!$H:$H,MATCH(A1174,'3.員工名單'!$A:$A,0))="兩款共用",INDEX('3.員工名單'!$H:$H,MATCH(A1174,'3.員工名單'!$A:$A,0))=INDEX('1.職能辭典'!$J:$J,MATCH(F1174,'1.職能辭典'!$C:$C,0))),OR(INDEX('1.職能辭典'!$K:$K,MATCH(F1174,'1.職能辭典'!$C:$C,0))="全部",SUMPRODUCT(ISNUMBER(SEARCH({"經營","管理","財務","企劃","營運","技術","數據","美術","測試","客服"},INDEX('3.員工名單'!$I:$I,MATCH(A1174,'3.員工名單'!$A:$A,0))))*ISNUMBER(SEARCH({"經營","管理","財務","企劃","營運","技術","數據","美術","測試","客服"},INDEX('1.職能辭典'!$K:$K,MATCH(F1174,'1.職能辭典'!$C:$C,0)))))&gt;0)),INDEX('2.職務職能需求'!$B$2:$F$28,MATCH(F1174,'2.職務職能需求'!$A$2:$A$28,0),MATCH(D1174,'2.職務職能需求'!$B$1:$F$1,0)),0),""))</f>
        <v/>
      </c>
      <c r="H1174" s="94" t="n"/>
      <c r="I1174" s="94" t="n"/>
      <c r="J1174" s="120">
        <f>IF(OR(G1174="",I1174="",G1174=0),"",I1174-G1174)</f>
        <v/>
      </c>
      <c r="K1174" s="120">
        <f>IF(G1174="","",IF(G1174=0,"不適用",IF(I1174="","待評核",IF(I1174&gt;=G1174,IF(I1174&gt;G1174,"超越","達標"),"待發展"))))</f>
        <v/>
      </c>
      <c r="L1174" s="91" t="n"/>
      <c r="M1174" s="91" t="n"/>
      <c r="N1174" s="88" t="n"/>
    </row>
    <row r="1175" ht="15.75" customHeight="1" s="64">
      <c r="A1175" s="88" t="n"/>
      <c r="B1175" s="120">
        <f t="array" ref="B1175:B1175">IF(A1175="","",IFERROR(INDEX('3.員工名單'!$B:$B,MATCH(A1175,'3.員工名單'!$A:$A,0)),"查無此員工"))</f>
        <v/>
      </c>
      <c r="C1175" s="120">
        <f t="array" ref="C1175:C1175">IF(A1175="","",IFERROR(INDEX('3.員工名單'!$C:$C,MATCH(A1175,'3.員工名單'!$A:$A,0)),""))</f>
        <v/>
      </c>
      <c r="D1175" s="120">
        <f t="array" ref="D1175:D1175">IF(A1175="","",IFERROR(INDEX('3.員工名單'!$D:$D,MATCH(A1175,'3.員工名單'!$A:$A,0)),""))</f>
        <v/>
      </c>
      <c r="E1175" s="120">
        <f t="array" ref="E1175:E1175">IF(F1175="","",IFERROR(INDEX('1.職能辭典'!$A:$A,MATCH(F1175,'1.職能辭典'!$C:$C,0)),""))</f>
        <v/>
      </c>
      <c r="F1175" s="94" t="n"/>
      <c r="G1175" s="120">
        <f t="array" ref="G1175:G1175">IF(OR(D1175="",F1175=""),"",IFERROR(IF(AND(OR(INDEX('1.職能辭典'!$J:$J,MATCH(F1175,'1.職能辭典'!$C:$C,0))="全部",INDEX('3.員工名單'!$H:$H,MATCH(A1175,'3.員工名單'!$A:$A,0))="兩款共用",INDEX('3.員工名單'!$H:$H,MATCH(A1175,'3.員工名單'!$A:$A,0))=INDEX('1.職能辭典'!$J:$J,MATCH(F1175,'1.職能辭典'!$C:$C,0))),OR(INDEX('1.職能辭典'!$K:$K,MATCH(F1175,'1.職能辭典'!$C:$C,0))="全部",SUMPRODUCT(ISNUMBER(SEARCH({"經營","管理","財務","企劃","營運","技術","數據","美術","測試","客服"},INDEX('3.員工名單'!$I:$I,MATCH(A1175,'3.員工名單'!$A:$A,0))))*ISNUMBER(SEARCH({"經營","管理","財務","企劃","營運","技術","數據","美術","測試","客服"},INDEX('1.職能辭典'!$K:$K,MATCH(F1175,'1.職能辭典'!$C:$C,0)))))&gt;0)),INDEX('2.職務職能需求'!$B$2:$F$28,MATCH(F1175,'2.職務職能需求'!$A$2:$A$28,0),MATCH(D1175,'2.職務職能需求'!$B$1:$F$1,0)),0),""))</f>
        <v/>
      </c>
      <c r="H1175" s="94" t="n"/>
      <c r="I1175" s="94" t="n"/>
      <c r="J1175" s="120">
        <f>IF(OR(G1175="",I1175="",G1175=0),"",I1175-G1175)</f>
        <v/>
      </c>
      <c r="K1175" s="120">
        <f>IF(G1175="","",IF(G1175=0,"不適用",IF(I1175="","待評核",IF(I1175&gt;=G1175,IF(I1175&gt;G1175,"超越","達標"),"待發展"))))</f>
        <v/>
      </c>
      <c r="L1175" s="91" t="n"/>
      <c r="M1175" s="91" t="n"/>
      <c r="N1175" s="88" t="n"/>
    </row>
    <row r="1176" ht="15.75" customHeight="1" s="64">
      <c r="A1176" s="88" t="n"/>
      <c r="B1176" s="120">
        <f t="array" ref="B1176:B1176">IF(A1176="","",IFERROR(INDEX('3.員工名單'!$B:$B,MATCH(A1176,'3.員工名單'!$A:$A,0)),"查無此員工"))</f>
        <v/>
      </c>
      <c r="C1176" s="120">
        <f t="array" ref="C1176:C1176">IF(A1176="","",IFERROR(INDEX('3.員工名單'!$C:$C,MATCH(A1176,'3.員工名單'!$A:$A,0)),""))</f>
        <v/>
      </c>
      <c r="D1176" s="120">
        <f t="array" ref="D1176:D1176">IF(A1176="","",IFERROR(INDEX('3.員工名單'!$D:$D,MATCH(A1176,'3.員工名單'!$A:$A,0)),""))</f>
        <v/>
      </c>
      <c r="E1176" s="120">
        <f t="array" ref="E1176:E1176">IF(F1176="","",IFERROR(INDEX('1.職能辭典'!$A:$A,MATCH(F1176,'1.職能辭典'!$C:$C,0)),""))</f>
        <v/>
      </c>
      <c r="F1176" s="94" t="n"/>
      <c r="G1176" s="120">
        <f t="array" ref="G1176:G1176">IF(OR(D1176="",F1176=""),"",IFERROR(IF(AND(OR(INDEX('1.職能辭典'!$J:$J,MATCH(F1176,'1.職能辭典'!$C:$C,0))="全部",INDEX('3.員工名單'!$H:$H,MATCH(A1176,'3.員工名單'!$A:$A,0))="兩款共用",INDEX('3.員工名單'!$H:$H,MATCH(A1176,'3.員工名單'!$A:$A,0))=INDEX('1.職能辭典'!$J:$J,MATCH(F1176,'1.職能辭典'!$C:$C,0))),OR(INDEX('1.職能辭典'!$K:$K,MATCH(F1176,'1.職能辭典'!$C:$C,0))="全部",SUMPRODUCT(ISNUMBER(SEARCH({"經營","管理","財務","企劃","營運","技術","數據","美術","測試","客服"},INDEX('3.員工名單'!$I:$I,MATCH(A1176,'3.員工名單'!$A:$A,0))))*ISNUMBER(SEARCH({"經營","管理","財務","企劃","營運","技術","數據","美術","測試","客服"},INDEX('1.職能辭典'!$K:$K,MATCH(F1176,'1.職能辭典'!$C:$C,0)))))&gt;0)),INDEX('2.職務職能需求'!$B$2:$F$28,MATCH(F1176,'2.職務職能需求'!$A$2:$A$28,0),MATCH(D1176,'2.職務職能需求'!$B$1:$F$1,0)),0),""))</f>
        <v/>
      </c>
      <c r="H1176" s="94" t="n"/>
      <c r="I1176" s="94" t="n"/>
      <c r="J1176" s="120">
        <f>IF(OR(G1176="",I1176="",G1176=0),"",I1176-G1176)</f>
        <v/>
      </c>
      <c r="K1176" s="120">
        <f>IF(G1176="","",IF(G1176=0,"不適用",IF(I1176="","待評核",IF(I1176&gt;=G1176,IF(I1176&gt;G1176,"超越","達標"),"待發展"))))</f>
        <v/>
      </c>
      <c r="L1176" s="91" t="n"/>
      <c r="M1176" s="91" t="n"/>
      <c r="N1176" s="88" t="n"/>
    </row>
    <row r="1177" ht="15.75" customHeight="1" s="64">
      <c r="A1177" s="88" t="n"/>
      <c r="B1177" s="120">
        <f t="array" ref="B1177:B1177">IF(A1177="","",IFERROR(INDEX('3.員工名單'!$B:$B,MATCH(A1177,'3.員工名單'!$A:$A,0)),"查無此員工"))</f>
        <v/>
      </c>
      <c r="C1177" s="120">
        <f t="array" ref="C1177:C1177">IF(A1177="","",IFERROR(INDEX('3.員工名單'!$C:$C,MATCH(A1177,'3.員工名單'!$A:$A,0)),""))</f>
        <v/>
      </c>
      <c r="D1177" s="120">
        <f t="array" ref="D1177:D1177">IF(A1177="","",IFERROR(INDEX('3.員工名單'!$D:$D,MATCH(A1177,'3.員工名單'!$A:$A,0)),""))</f>
        <v/>
      </c>
      <c r="E1177" s="120">
        <f t="array" ref="E1177:E1177">IF(F1177="","",IFERROR(INDEX('1.職能辭典'!$A:$A,MATCH(F1177,'1.職能辭典'!$C:$C,0)),""))</f>
        <v/>
      </c>
      <c r="F1177" s="94" t="n"/>
      <c r="G1177" s="120">
        <f t="array" ref="G1177:G1177">IF(OR(D1177="",F1177=""),"",IFERROR(IF(AND(OR(INDEX('1.職能辭典'!$J:$J,MATCH(F1177,'1.職能辭典'!$C:$C,0))="全部",INDEX('3.員工名單'!$H:$H,MATCH(A1177,'3.員工名單'!$A:$A,0))="兩款共用",INDEX('3.員工名單'!$H:$H,MATCH(A1177,'3.員工名單'!$A:$A,0))=INDEX('1.職能辭典'!$J:$J,MATCH(F1177,'1.職能辭典'!$C:$C,0))),OR(INDEX('1.職能辭典'!$K:$K,MATCH(F1177,'1.職能辭典'!$C:$C,0))="全部",SUMPRODUCT(ISNUMBER(SEARCH({"經營","管理","財務","企劃","營運","技術","數據","美術","測試","客服"},INDEX('3.員工名單'!$I:$I,MATCH(A1177,'3.員工名單'!$A:$A,0))))*ISNUMBER(SEARCH({"經營","管理","財務","企劃","營運","技術","數據","美術","測試","客服"},INDEX('1.職能辭典'!$K:$K,MATCH(F1177,'1.職能辭典'!$C:$C,0)))))&gt;0)),INDEX('2.職務職能需求'!$B$2:$F$28,MATCH(F1177,'2.職務職能需求'!$A$2:$A$28,0),MATCH(D1177,'2.職務職能需求'!$B$1:$F$1,0)),0),""))</f>
        <v/>
      </c>
      <c r="H1177" s="94" t="n"/>
      <c r="I1177" s="94" t="n"/>
      <c r="J1177" s="120">
        <f>IF(OR(G1177="",I1177="",G1177=0),"",I1177-G1177)</f>
        <v/>
      </c>
      <c r="K1177" s="120">
        <f>IF(G1177="","",IF(G1177=0,"不適用",IF(I1177="","待評核",IF(I1177&gt;=G1177,IF(I1177&gt;G1177,"超越","達標"),"待發展"))))</f>
        <v/>
      </c>
      <c r="L1177" s="91" t="n"/>
      <c r="M1177" s="91" t="n"/>
      <c r="N1177" s="88" t="n"/>
    </row>
    <row r="1178" ht="15.75" customHeight="1" s="64">
      <c r="A1178" s="88" t="n"/>
      <c r="B1178" s="120">
        <f t="array" ref="B1178:B1178">IF(A1178="","",IFERROR(INDEX('3.員工名單'!$B:$B,MATCH(A1178,'3.員工名單'!$A:$A,0)),"查無此員工"))</f>
        <v/>
      </c>
      <c r="C1178" s="120">
        <f t="array" ref="C1178:C1178">IF(A1178="","",IFERROR(INDEX('3.員工名單'!$C:$C,MATCH(A1178,'3.員工名單'!$A:$A,0)),""))</f>
        <v/>
      </c>
      <c r="D1178" s="120">
        <f t="array" ref="D1178:D1178">IF(A1178="","",IFERROR(INDEX('3.員工名單'!$D:$D,MATCH(A1178,'3.員工名單'!$A:$A,0)),""))</f>
        <v/>
      </c>
      <c r="E1178" s="120">
        <f t="array" ref="E1178:E1178">IF(F1178="","",IFERROR(INDEX('1.職能辭典'!$A:$A,MATCH(F1178,'1.職能辭典'!$C:$C,0)),""))</f>
        <v/>
      </c>
      <c r="F1178" s="94" t="n"/>
      <c r="G1178" s="120">
        <f t="array" ref="G1178:G1178">IF(OR(D1178="",F1178=""),"",IFERROR(IF(AND(OR(INDEX('1.職能辭典'!$J:$J,MATCH(F1178,'1.職能辭典'!$C:$C,0))="全部",INDEX('3.員工名單'!$H:$H,MATCH(A1178,'3.員工名單'!$A:$A,0))="兩款共用",INDEX('3.員工名單'!$H:$H,MATCH(A1178,'3.員工名單'!$A:$A,0))=INDEX('1.職能辭典'!$J:$J,MATCH(F1178,'1.職能辭典'!$C:$C,0))),OR(INDEX('1.職能辭典'!$K:$K,MATCH(F1178,'1.職能辭典'!$C:$C,0))="全部",SUMPRODUCT(ISNUMBER(SEARCH({"經營","管理","財務","企劃","營運","技術","數據","美術","測試","客服"},INDEX('3.員工名單'!$I:$I,MATCH(A1178,'3.員工名單'!$A:$A,0))))*ISNUMBER(SEARCH({"經營","管理","財務","企劃","營運","技術","數據","美術","測試","客服"},INDEX('1.職能辭典'!$K:$K,MATCH(F1178,'1.職能辭典'!$C:$C,0)))))&gt;0)),INDEX('2.職務職能需求'!$B$2:$F$28,MATCH(F1178,'2.職務職能需求'!$A$2:$A$28,0),MATCH(D1178,'2.職務職能需求'!$B$1:$F$1,0)),0),""))</f>
        <v/>
      </c>
      <c r="H1178" s="94" t="n"/>
      <c r="I1178" s="94" t="n"/>
      <c r="J1178" s="120">
        <f>IF(OR(G1178="",I1178="",G1178=0),"",I1178-G1178)</f>
        <v/>
      </c>
      <c r="K1178" s="120">
        <f>IF(G1178="","",IF(G1178=0,"不適用",IF(I1178="","待評核",IF(I1178&gt;=G1178,IF(I1178&gt;G1178,"超越","達標"),"待發展"))))</f>
        <v/>
      </c>
      <c r="L1178" s="91" t="n"/>
      <c r="M1178" s="91" t="n"/>
      <c r="N1178" s="88" t="n"/>
    </row>
    <row r="1179" ht="15.75" customHeight="1" s="64">
      <c r="A1179" s="88" t="n"/>
      <c r="B1179" s="120">
        <f t="array" ref="B1179:B1179">IF(A1179="","",IFERROR(INDEX('3.員工名單'!$B:$B,MATCH(A1179,'3.員工名單'!$A:$A,0)),"查無此員工"))</f>
        <v/>
      </c>
      <c r="C1179" s="120">
        <f t="array" ref="C1179:C1179">IF(A1179="","",IFERROR(INDEX('3.員工名單'!$C:$C,MATCH(A1179,'3.員工名單'!$A:$A,0)),""))</f>
        <v/>
      </c>
      <c r="D1179" s="120">
        <f t="array" ref="D1179:D1179">IF(A1179="","",IFERROR(INDEX('3.員工名單'!$D:$D,MATCH(A1179,'3.員工名單'!$A:$A,0)),""))</f>
        <v/>
      </c>
      <c r="E1179" s="120">
        <f t="array" ref="E1179:E1179">IF(F1179="","",IFERROR(INDEX('1.職能辭典'!$A:$A,MATCH(F1179,'1.職能辭典'!$C:$C,0)),""))</f>
        <v/>
      </c>
      <c r="F1179" s="94" t="n"/>
      <c r="G1179" s="120">
        <f t="array" ref="G1179:G1179">IF(OR(D1179="",F1179=""),"",IFERROR(IF(AND(OR(INDEX('1.職能辭典'!$J:$J,MATCH(F1179,'1.職能辭典'!$C:$C,0))="全部",INDEX('3.員工名單'!$H:$H,MATCH(A1179,'3.員工名單'!$A:$A,0))="兩款共用",INDEX('3.員工名單'!$H:$H,MATCH(A1179,'3.員工名單'!$A:$A,0))=INDEX('1.職能辭典'!$J:$J,MATCH(F1179,'1.職能辭典'!$C:$C,0))),OR(INDEX('1.職能辭典'!$K:$K,MATCH(F1179,'1.職能辭典'!$C:$C,0))="全部",SUMPRODUCT(ISNUMBER(SEARCH({"經營","管理","財務","企劃","營運","技術","數據","美術","測試","客服"},INDEX('3.員工名單'!$I:$I,MATCH(A1179,'3.員工名單'!$A:$A,0))))*ISNUMBER(SEARCH({"經營","管理","財務","企劃","營運","技術","數據","美術","測試","客服"},INDEX('1.職能辭典'!$K:$K,MATCH(F1179,'1.職能辭典'!$C:$C,0)))))&gt;0)),INDEX('2.職務職能需求'!$B$2:$F$28,MATCH(F1179,'2.職務職能需求'!$A$2:$A$28,0),MATCH(D1179,'2.職務職能需求'!$B$1:$F$1,0)),0),""))</f>
        <v/>
      </c>
      <c r="H1179" s="94" t="n"/>
      <c r="I1179" s="94" t="n"/>
      <c r="J1179" s="120">
        <f>IF(OR(G1179="",I1179="",G1179=0),"",I1179-G1179)</f>
        <v/>
      </c>
      <c r="K1179" s="120">
        <f>IF(G1179="","",IF(G1179=0,"不適用",IF(I1179="","待評核",IF(I1179&gt;=G1179,IF(I1179&gt;G1179,"超越","達標"),"待發展"))))</f>
        <v/>
      </c>
      <c r="L1179" s="91" t="n"/>
      <c r="M1179" s="91" t="n"/>
      <c r="N1179" s="88" t="n"/>
    </row>
    <row r="1180" ht="15.75" customHeight="1" s="64">
      <c r="A1180" s="88" t="n"/>
      <c r="B1180" s="120">
        <f t="array" ref="B1180:B1180">IF(A1180="","",IFERROR(INDEX('3.員工名單'!$B:$B,MATCH(A1180,'3.員工名單'!$A:$A,0)),"查無此員工"))</f>
        <v/>
      </c>
      <c r="C1180" s="120">
        <f t="array" ref="C1180:C1180">IF(A1180="","",IFERROR(INDEX('3.員工名單'!$C:$C,MATCH(A1180,'3.員工名單'!$A:$A,0)),""))</f>
        <v/>
      </c>
      <c r="D1180" s="120">
        <f t="array" ref="D1180:D1180">IF(A1180="","",IFERROR(INDEX('3.員工名單'!$D:$D,MATCH(A1180,'3.員工名單'!$A:$A,0)),""))</f>
        <v/>
      </c>
      <c r="E1180" s="120">
        <f t="array" ref="E1180:E1180">IF(F1180="","",IFERROR(INDEX('1.職能辭典'!$A:$A,MATCH(F1180,'1.職能辭典'!$C:$C,0)),""))</f>
        <v/>
      </c>
      <c r="F1180" s="94" t="n"/>
      <c r="G1180" s="120">
        <f t="array" ref="G1180:G1180">IF(OR(D1180="",F1180=""),"",IFERROR(IF(AND(OR(INDEX('1.職能辭典'!$J:$J,MATCH(F1180,'1.職能辭典'!$C:$C,0))="全部",INDEX('3.員工名單'!$H:$H,MATCH(A1180,'3.員工名單'!$A:$A,0))="兩款共用",INDEX('3.員工名單'!$H:$H,MATCH(A1180,'3.員工名單'!$A:$A,0))=INDEX('1.職能辭典'!$J:$J,MATCH(F1180,'1.職能辭典'!$C:$C,0))),OR(INDEX('1.職能辭典'!$K:$K,MATCH(F1180,'1.職能辭典'!$C:$C,0))="全部",SUMPRODUCT(ISNUMBER(SEARCH({"經營","管理","財務","企劃","營運","技術","數據","美術","測試","客服"},INDEX('3.員工名單'!$I:$I,MATCH(A1180,'3.員工名單'!$A:$A,0))))*ISNUMBER(SEARCH({"經營","管理","財務","企劃","營運","技術","數據","美術","測試","客服"},INDEX('1.職能辭典'!$K:$K,MATCH(F1180,'1.職能辭典'!$C:$C,0)))))&gt;0)),INDEX('2.職務職能需求'!$B$2:$F$28,MATCH(F1180,'2.職務職能需求'!$A$2:$A$28,0),MATCH(D1180,'2.職務職能需求'!$B$1:$F$1,0)),0),""))</f>
        <v/>
      </c>
      <c r="H1180" s="94" t="n"/>
      <c r="I1180" s="94" t="n"/>
      <c r="J1180" s="120">
        <f>IF(OR(G1180="",I1180="",G1180=0),"",I1180-G1180)</f>
        <v/>
      </c>
      <c r="K1180" s="120">
        <f>IF(G1180="","",IF(G1180=0,"不適用",IF(I1180="","待評核",IF(I1180&gt;=G1180,IF(I1180&gt;G1180,"超越","達標"),"待發展"))))</f>
        <v/>
      </c>
      <c r="L1180" s="91" t="n"/>
      <c r="M1180" s="91" t="n"/>
      <c r="N1180" s="88" t="n"/>
    </row>
    <row r="1181" ht="15.75" customHeight="1" s="64">
      <c r="A1181" s="88" t="n"/>
      <c r="B1181" s="120">
        <f t="array" ref="B1181:B1181">IF(A1181="","",IFERROR(INDEX('3.員工名單'!$B:$B,MATCH(A1181,'3.員工名單'!$A:$A,0)),"查無此員工"))</f>
        <v/>
      </c>
      <c r="C1181" s="120">
        <f t="array" ref="C1181:C1181">IF(A1181="","",IFERROR(INDEX('3.員工名單'!$C:$C,MATCH(A1181,'3.員工名單'!$A:$A,0)),""))</f>
        <v/>
      </c>
      <c r="D1181" s="120">
        <f t="array" ref="D1181:D1181">IF(A1181="","",IFERROR(INDEX('3.員工名單'!$D:$D,MATCH(A1181,'3.員工名單'!$A:$A,0)),""))</f>
        <v/>
      </c>
      <c r="E1181" s="120">
        <f t="array" ref="E1181:E1181">IF(F1181="","",IFERROR(INDEX('1.職能辭典'!$A:$A,MATCH(F1181,'1.職能辭典'!$C:$C,0)),""))</f>
        <v/>
      </c>
      <c r="F1181" s="94" t="n"/>
      <c r="G1181" s="120">
        <f t="array" ref="G1181:G1181">IF(OR(D1181="",F1181=""),"",IFERROR(IF(AND(OR(INDEX('1.職能辭典'!$J:$J,MATCH(F1181,'1.職能辭典'!$C:$C,0))="全部",INDEX('3.員工名單'!$H:$H,MATCH(A1181,'3.員工名單'!$A:$A,0))="兩款共用",INDEX('3.員工名單'!$H:$H,MATCH(A1181,'3.員工名單'!$A:$A,0))=INDEX('1.職能辭典'!$J:$J,MATCH(F1181,'1.職能辭典'!$C:$C,0))),OR(INDEX('1.職能辭典'!$K:$K,MATCH(F1181,'1.職能辭典'!$C:$C,0))="全部",SUMPRODUCT(ISNUMBER(SEARCH({"經營","管理","財務","企劃","營運","技術","數據","美術","測試","客服"},INDEX('3.員工名單'!$I:$I,MATCH(A1181,'3.員工名單'!$A:$A,0))))*ISNUMBER(SEARCH({"經營","管理","財務","企劃","營運","技術","數據","美術","測試","客服"},INDEX('1.職能辭典'!$K:$K,MATCH(F1181,'1.職能辭典'!$C:$C,0)))))&gt;0)),INDEX('2.職務職能需求'!$B$2:$F$28,MATCH(F1181,'2.職務職能需求'!$A$2:$A$28,0),MATCH(D1181,'2.職務職能需求'!$B$1:$F$1,0)),0),""))</f>
        <v/>
      </c>
      <c r="H1181" s="94" t="n"/>
      <c r="I1181" s="94" t="n"/>
      <c r="J1181" s="120">
        <f>IF(OR(G1181="",I1181="",G1181=0),"",I1181-G1181)</f>
        <v/>
      </c>
      <c r="K1181" s="120">
        <f>IF(G1181="","",IF(G1181=0,"不適用",IF(I1181="","待評核",IF(I1181&gt;=G1181,IF(I1181&gt;G1181,"超越","達標"),"待發展"))))</f>
        <v/>
      </c>
      <c r="L1181" s="91" t="n"/>
      <c r="M1181" s="91" t="n"/>
      <c r="N1181" s="88" t="n"/>
    </row>
    <row r="1182" ht="15.75" customHeight="1" s="64">
      <c r="A1182" s="88" t="n"/>
      <c r="B1182" s="120">
        <f t="array" ref="B1182:B1182">IF(A1182="","",IFERROR(INDEX('3.員工名單'!$B:$B,MATCH(A1182,'3.員工名單'!$A:$A,0)),"查無此員工"))</f>
        <v/>
      </c>
      <c r="C1182" s="120">
        <f t="array" ref="C1182:C1182">IF(A1182="","",IFERROR(INDEX('3.員工名單'!$C:$C,MATCH(A1182,'3.員工名單'!$A:$A,0)),""))</f>
        <v/>
      </c>
      <c r="D1182" s="120">
        <f t="array" ref="D1182:D1182">IF(A1182="","",IFERROR(INDEX('3.員工名單'!$D:$D,MATCH(A1182,'3.員工名單'!$A:$A,0)),""))</f>
        <v/>
      </c>
      <c r="E1182" s="120">
        <f t="array" ref="E1182:E1182">IF(F1182="","",IFERROR(INDEX('1.職能辭典'!$A:$A,MATCH(F1182,'1.職能辭典'!$C:$C,0)),""))</f>
        <v/>
      </c>
      <c r="F1182" s="94" t="n"/>
      <c r="G1182" s="120">
        <f t="array" ref="G1182:G1182">IF(OR(D1182="",F1182=""),"",IFERROR(IF(AND(OR(INDEX('1.職能辭典'!$J:$J,MATCH(F1182,'1.職能辭典'!$C:$C,0))="全部",INDEX('3.員工名單'!$H:$H,MATCH(A1182,'3.員工名單'!$A:$A,0))="兩款共用",INDEX('3.員工名單'!$H:$H,MATCH(A1182,'3.員工名單'!$A:$A,0))=INDEX('1.職能辭典'!$J:$J,MATCH(F1182,'1.職能辭典'!$C:$C,0))),OR(INDEX('1.職能辭典'!$K:$K,MATCH(F1182,'1.職能辭典'!$C:$C,0))="全部",SUMPRODUCT(ISNUMBER(SEARCH({"經營","管理","財務","企劃","營運","技術","數據","美術","測試","客服"},INDEX('3.員工名單'!$I:$I,MATCH(A1182,'3.員工名單'!$A:$A,0))))*ISNUMBER(SEARCH({"經營","管理","財務","企劃","營運","技術","數據","美術","測試","客服"},INDEX('1.職能辭典'!$K:$K,MATCH(F1182,'1.職能辭典'!$C:$C,0)))))&gt;0)),INDEX('2.職務職能需求'!$B$2:$F$28,MATCH(F1182,'2.職務職能需求'!$A$2:$A$28,0),MATCH(D1182,'2.職務職能需求'!$B$1:$F$1,0)),0),""))</f>
        <v/>
      </c>
      <c r="H1182" s="94" t="n"/>
      <c r="I1182" s="94" t="n"/>
      <c r="J1182" s="120">
        <f>IF(OR(G1182="",I1182="",G1182=0),"",I1182-G1182)</f>
        <v/>
      </c>
      <c r="K1182" s="120">
        <f>IF(G1182="","",IF(G1182=0,"不適用",IF(I1182="","待評核",IF(I1182&gt;=G1182,IF(I1182&gt;G1182,"超越","達標"),"待發展"))))</f>
        <v/>
      </c>
      <c r="L1182" s="91" t="n"/>
      <c r="M1182" s="91" t="n"/>
      <c r="N1182" s="88" t="n"/>
    </row>
    <row r="1183" ht="15.75" customHeight="1" s="64">
      <c r="A1183" s="88" t="n"/>
      <c r="B1183" s="120">
        <f t="array" ref="B1183:B1183">IF(A1183="","",IFERROR(INDEX('3.員工名單'!$B:$B,MATCH(A1183,'3.員工名單'!$A:$A,0)),"查無此員工"))</f>
        <v/>
      </c>
      <c r="C1183" s="120">
        <f t="array" ref="C1183:C1183">IF(A1183="","",IFERROR(INDEX('3.員工名單'!$C:$C,MATCH(A1183,'3.員工名單'!$A:$A,0)),""))</f>
        <v/>
      </c>
      <c r="D1183" s="120">
        <f t="array" ref="D1183:D1183">IF(A1183="","",IFERROR(INDEX('3.員工名單'!$D:$D,MATCH(A1183,'3.員工名單'!$A:$A,0)),""))</f>
        <v/>
      </c>
      <c r="E1183" s="120">
        <f t="array" ref="E1183:E1183">IF(F1183="","",IFERROR(INDEX('1.職能辭典'!$A:$A,MATCH(F1183,'1.職能辭典'!$C:$C,0)),""))</f>
        <v/>
      </c>
      <c r="F1183" s="94" t="n"/>
      <c r="G1183" s="120">
        <f t="array" ref="G1183:G1183">IF(OR(D1183="",F1183=""),"",IFERROR(IF(AND(OR(INDEX('1.職能辭典'!$J:$J,MATCH(F1183,'1.職能辭典'!$C:$C,0))="全部",INDEX('3.員工名單'!$H:$H,MATCH(A1183,'3.員工名單'!$A:$A,0))="兩款共用",INDEX('3.員工名單'!$H:$H,MATCH(A1183,'3.員工名單'!$A:$A,0))=INDEX('1.職能辭典'!$J:$J,MATCH(F1183,'1.職能辭典'!$C:$C,0))),OR(INDEX('1.職能辭典'!$K:$K,MATCH(F1183,'1.職能辭典'!$C:$C,0))="全部",SUMPRODUCT(ISNUMBER(SEARCH({"經營","管理","財務","企劃","營運","技術","數據","美術","測試","客服"},INDEX('3.員工名單'!$I:$I,MATCH(A1183,'3.員工名單'!$A:$A,0))))*ISNUMBER(SEARCH({"經營","管理","財務","企劃","營運","技術","數據","美術","測試","客服"},INDEX('1.職能辭典'!$K:$K,MATCH(F1183,'1.職能辭典'!$C:$C,0)))))&gt;0)),INDEX('2.職務職能需求'!$B$2:$F$28,MATCH(F1183,'2.職務職能需求'!$A$2:$A$28,0),MATCH(D1183,'2.職務職能需求'!$B$1:$F$1,0)),0),""))</f>
        <v/>
      </c>
      <c r="H1183" s="94" t="n"/>
      <c r="I1183" s="94" t="n"/>
      <c r="J1183" s="120">
        <f>IF(OR(G1183="",I1183="",G1183=0),"",I1183-G1183)</f>
        <v/>
      </c>
      <c r="K1183" s="120">
        <f>IF(G1183="","",IF(G1183=0,"不適用",IF(I1183="","待評核",IF(I1183&gt;=G1183,IF(I1183&gt;G1183,"超越","達標"),"待發展"))))</f>
        <v/>
      </c>
      <c r="L1183" s="91" t="n"/>
      <c r="M1183" s="91" t="n"/>
      <c r="N1183" s="88" t="n"/>
    </row>
    <row r="1184" ht="15.75" customHeight="1" s="64">
      <c r="A1184" s="88" t="n"/>
      <c r="B1184" s="120">
        <f t="array" ref="B1184:B1184">IF(A1184="","",IFERROR(INDEX('3.員工名單'!$B:$B,MATCH(A1184,'3.員工名單'!$A:$A,0)),"查無此員工"))</f>
        <v/>
      </c>
      <c r="C1184" s="120">
        <f t="array" ref="C1184:C1184">IF(A1184="","",IFERROR(INDEX('3.員工名單'!$C:$C,MATCH(A1184,'3.員工名單'!$A:$A,0)),""))</f>
        <v/>
      </c>
      <c r="D1184" s="120">
        <f t="array" ref="D1184:D1184">IF(A1184="","",IFERROR(INDEX('3.員工名單'!$D:$D,MATCH(A1184,'3.員工名單'!$A:$A,0)),""))</f>
        <v/>
      </c>
      <c r="E1184" s="120">
        <f t="array" ref="E1184:E1184">IF(F1184="","",IFERROR(INDEX('1.職能辭典'!$A:$A,MATCH(F1184,'1.職能辭典'!$C:$C,0)),""))</f>
        <v/>
      </c>
      <c r="F1184" s="94" t="n"/>
      <c r="G1184" s="120">
        <f t="array" ref="G1184:G1184">IF(OR(D1184="",F1184=""),"",IFERROR(IF(AND(OR(INDEX('1.職能辭典'!$J:$J,MATCH(F1184,'1.職能辭典'!$C:$C,0))="全部",INDEX('3.員工名單'!$H:$H,MATCH(A1184,'3.員工名單'!$A:$A,0))="兩款共用",INDEX('3.員工名單'!$H:$H,MATCH(A1184,'3.員工名單'!$A:$A,0))=INDEX('1.職能辭典'!$J:$J,MATCH(F1184,'1.職能辭典'!$C:$C,0))),OR(INDEX('1.職能辭典'!$K:$K,MATCH(F1184,'1.職能辭典'!$C:$C,0))="全部",SUMPRODUCT(ISNUMBER(SEARCH({"經營","管理","財務","企劃","營運","技術","數據","美術","測試","客服"},INDEX('3.員工名單'!$I:$I,MATCH(A1184,'3.員工名單'!$A:$A,0))))*ISNUMBER(SEARCH({"經營","管理","財務","企劃","營運","技術","數據","美術","測試","客服"},INDEX('1.職能辭典'!$K:$K,MATCH(F1184,'1.職能辭典'!$C:$C,0)))))&gt;0)),INDEX('2.職務職能需求'!$B$2:$F$28,MATCH(F1184,'2.職務職能需求'!$A$2:$A$28,0),MATCH(D1184,'2.職務職能需求'!$B$1:$F$1,0)),0),""))</f>
        <v/>
      </c>
      <c r="H1184" s="94" t="n"/>
      <c r="I1184" s="94" t="n"/>
      <c r="J1184" s="120">
        <f>IF(OR(G1184="",I1184="",G1184=0),"",I1184-G1184)</f>
        <v/>
      </c>
      <c r="K1184" s="120">
        <f>IF(G1184="","",IF(G1184=0,"不適用",IF(I1184="","待評核",IF(I1184&gt;=G1184,IF(I1184&gt;G1184,"超越","達標"),"待發展"))))</f>
        <v/>
      </c>
      <c r="L1184" s="91" t="n"/>
      <c r="M1184" s="91" t="n"/>
      <c r="N1184" s="88" t="n"/>
    </row>
    <row r="1185" ht="15.75" customHeight="1" s="64">
      <c r="A1185" s="88" t="n"/>
      <c r="B1185" s="120">
        <f t="array" ref="B1185:B1185">IF(A1185="","",IFERROR(INDEX('3.員工名單'!$B:$B,MATCH(A1185,'3.員工名單'!$A:$A,0)),"查無此員工"))</f>
        <v/>
      </c>
      <c r="C1185" s="120">
        <f t="array" ref="C1185:C1185">IF(A1185="","",IFERROR(INDEX('3.員工名單'!$C:$C,MATCH(A1185,'3.員工名單'!$A:$A,0)),""))</f>
        <v/>
      </c>
      <c r="D1185" s="120">
        <f t="array" ref="D1185:D1185">IF(A1185="","",IFERROR(INDEX('3.員工名單'!$D:$D,MATCH(A1185,'3.員工名單'!$A:$A,0)),""))</f>
        <v/>
      </c>
      <c r="E1185" s="120">
        <f t="array" ref="E1185:E1185">IF(F1185="","",IFERROR(INDEX('1.職能辭典'!$A:$A,MATCH(F1185,'1.職能辭典'!$C:$C,0)),""))</f>
        <v/>
      </c>
      <c r="F1185" s="94" t="n"/>
      <c r="G1185" s="120">
        <f t="array" ref="G1185:G1185">IF(OR(D1185="",F1185=""),"",IFERROR(IF(AND(OR(INDEX('1.職能辭典'!$J:$J,MATCH(F1185,'1.職能辭典'!$C:$C,0))="全部",INDEX('3.員工名單'!$H:$H,MATCH(A1185,'3.員工名單'!$A:$A,0))="兩款共用",INDEX('3.員工名單'!$H:$H,MATCH(A1185,'3.員工名單'!$A:$A,0))=INDEX('1.職能辭典'!$J:$J,MATCH(F1185,'1.職能辭典'!$C:$C,0))),OR(INDEX('1.職能辭典'!$K:$K,MATCH(F1185,'1.職能辭典'!$C:$C,0))="全部",SUMPRODUCT(ISNUMBER(SEARCH({"經營","管理","財務","企劃","營運","技術","數據","美術","測試","客服"},INDEX('3.員工名單'!$I:$I,MATCH(A1185,'3.員工名單'!$A:$A,0))))*ISNUMBER(SEARCH({"經營","管理","財務","企劃","營運","技術","數據","美術","測試","客服"},INDEX('1.職能辭典'!$K:$K,MATCH(F1185,'1.職能辭典'!$C:$C,0)))))&gt;0)),INDEX('2.職務職能需求'!$B$2:$F$28,MATCH(F1185,'2.職務職能需求'!$A$2:$A$28,0),MATCH(D1185,'2.職務職能需求'!$B$1:$F$1,0)),0),""))</f>
        <v/>
      </c>
      <c r="H1185" s="94" t="n"/>
      <c r="I1185" s="94" t="n"/>
      <c r="J1185" s="120">
        <f>IF(OR(G1185="",I1185="",G1185=0),"",I1185-G1185)</f>
        <v/>
      </c>
      <c r="K1185" s="120">
        <f>IF(G1185="","",IF(G1185=0,"不適用",IF(I1185="","待評核",IF(I1185&gt;=G1185,IF(I1185&gt;G1185,"超越","達標"),"待發展"))))</f>
        <v/>
      </c>
      <c r="L1185" s="91" t="n"/>
      <c r="M1185" s="91" t="n"/>
      <c r="N1185" s="88" t="n"/>
    </row>
    <row r="1186" ht="15.75" customHeight="1" s="64">
      <c r="A1186" s="88" t="n"/>
      <c r="B1186" s="120">
        <f t="array" ref="B1186:B1186">IF(A1186="","",IFERROR(INDEX('3.員工名單'!$B:$B,MATCH(A1186,'3.員工名單'!$A:$A,0)),"查無此員工"))</f>
        <v/>
      </c>
      <c r="C1186" s="120">
        <f t="array" ref="C1186:C1186">IF(A1186="","",IFERROR(INDEX('3.員工名單'!$C:$C,MATCH(A1186,'3.員工名單'!$A:$A,0)),""))</f>
        <v/>
      </c>
      <c r="D1186" s="120">
        <f t="array" ref="D1186:D1186">IF(A1186="","",IFERROR(INDEX('3.員工名單'!$D:$D,MATCH(A1186,'3.員工名單'!$A:$A,0)),""))</f>
        <v/>
      </c>
      <c r="E1186" s="120">
        <f t="array" ref="E1186:E1186">IF(F1186="","",IFERROR(INDEX('1.職能辭典'!$A:$A,MATCH(F1186,'1.職能辭典'!$C:$C,0)),""))</f>
        <v/>
      </c>
      <c r="F1186" s="94" t="n"/>
      <c r="G1186" s="120">
        <f t="array" ref="G1186:G1186">IF(OR(D1186="",F1186=""),"",IFERROR(IF(AND(OR(INDEX('1.職能辭典'!$J:$J,MATCH(F1186,'1.職能辭典'!$C:$C,0))="全部",INDEX('3.員工名單'!$H:$H,MATCH(A1186,'3.員工名單'!$A:$A,0))="兩款共用",INDEX('3.員工名單'!$H:$H,MATCH(A1186,'3.員工名單'!$A:$A,0))=INDEX('1.職能辭典'!$J:$J,MATCH(F1186,'1.職能辭典'!$C:$C,0))),OR(INDEX('1.職能辭典'!$K:$K,MATCH(F1186,'1.職能辭典'!$C:$C,0))="全部",SUMPRODUCT(ISNUMBER(SEARCH({"經營","管理","財務","企劃","營運","技術","數據","美術","測試","客服"},INDEX('3.員工名單'!$I:$I,MATCH(A1186,'3.員工名單'!$A:$A,0))))*ISNUMBER(SEARCH({"經營","管理","財務","企劃","營運","技術","數據","美術","測試","客服"},INDEX('1.職能辭典'!$K:$K,MATCH(F1186,'1.職能辭典'!$C:$C,0)))))&gt;0)),INDEX('2.職務職能需求'!$B$2:$F$28,MATCH(F1186,'2.職務職能需求'!$A$2:$A$28,0),MATCH(D1186,'2.職務職能需求'!$B$1:$F$1,0)),0),""))</f>
        <v/>
      </c>
      <c r="H1186" s="94" t="n"/>
      <c r="I1186" s="94" t="n"/>
      <c r="J1186" s="120">
        <f>IF(OR(G1186="",I1186="",G1186=0),"",I1186-G1186)</f>
        <v/>
      </c>
      <c r="K1186" s="120">
        <f>IF(G1186="","",IF(G1186=0,"不適用",IF(I1186="","待評核",IF(I1186&gt;=G1186,IF(I1186&gt;G1186,"超越","達標"),"待發展"))))</f>
        <v/>
      </c>
      <c r="L1186" s="91" t="n"/>
      <c r="M1186" s="91" t="n"/>
      <c r="N1186" s="88" t="n"/>
    </row>
    <row r="1187" ht="15.75" customHeight="1" s="64">
      <c r="A1187" s="88" t="n"/>
      <c r="B1187" s="120">
        <f t="array" ref="B1187:B1187">IF(A1187="","",IFERROR(INDEX('3.員工名單'!$B:$B,MATCH(A1187,'3.員工名單'!$A:$A,0)),"查無此員工"))</f>
        <v/>
      </c>
      <c r="C1187" s="120">
        <f t="array" ref="C1187:C1187">IF(A1187="","",IFERROR(INDEX('3.員工名單'!$C:$C,MATCH(A1187,'3.員工名單'!$A:$A,0)),""))</f>
        <v/>
      </c>
      <c r="D1187" s="120">
        <f t="array" ref="D1187:D1187">IF(A1187="","",IFERROR(INDEX('3.員工名單'!$D:$D,MATCH(A1187,'3.員工名單'!$A:$A,0)),""))</f>
        <v/>
      </c>
      <c r="E1187" s="120">
        <f t="array" ref="E1187:E1187">IF(F1187="","",IFERROR(INDEX('1.職能辭典'!$A:$A,MATCH(F1187,'1.職能辭典'!$C:$C,0)),""))</f>
        <v/>
      </c>
      <c r="F1187" s="94" t="n"/>
      <c r="G1187" s="120">
        <f t="array" ref="G1187:G1187">IF(OR(D1187="",F1187=""),"",IFERROR(IF(AND(OR(INDEX('1.職能辭典'!$J:$J,MATCH(F1187,'1.職能辭典'!$C:$C,0))="全部",INDEX('3.員工名單'!$H:$H,MATCH(A1187,'3.員工名單'!$A:$A,0))="兩款共用",INDEX('3.員工名單'!$H:$H,MATCH(A1187,'3.員工名單'!$A:$A,0))=INDEX('1.職能辭典'!$J:$J,MATCH(F1187,'1.職能辭典'!$C:$C,0))),OR(INDEX('1.職能辭典'!$K:$K,MATCH(F1187,'1.職能辭典'!$C:$C,0))="全部",SUMPRODUCT(ISNUMBER(SEARCH({"經營","管理","財務","企劃","營運","技術","數據","美術","測試","客服"},INDEX('3.員工名單'!$I:$I,MATCH(A1187,'3.員工名單'!$A:$A,0))))*ISNUMBER(SEARCH({"經營","管理","財務","企劃","營運","技術","數據","美術","測試","客服"},INDEX('1.職能辭典'!$K:$K,MATCH(F1187,'1.職能辭典'!$C:$C,0)))))&gt;0)),INDEX('2.職務職能需求'!$B$2:$F$28,MATCH(F1187,'2.職務職能需求'!$A$2:$A$28,0),MATCH(D1187,'2.職務職能需求'!$B$1:$F$1,0)),0),""))</f>
        <v/>
      </c>
      <c r="H1187" s="94" t="n"/>
      <c r="I1187" s="94" t="n"/>
      <c r="J1187" s="120">
        <f>IF(OR(G1187="",I1187="",G1187=0),"",I1187-G1187)</f>
        <v/>
      </c>
      <c r="K1187" s="120">
        <f>IF(G1187="","",IF(G1187=0,"不適用",IF(I1187="","待評核",IF(I1187&gt;=G1187,IF(I1187&gt;G1187,"超越","達標"),"待發展"))))</f>
        <v/>
      </c>
      <c r="L1187" s="91" t="n"/>
      <c r="M1187" s="91" t="n"/>
      <c r="N1187" s="88" t="n"/>
    </row>
    <row r="1188" ht="15.75" customHeight="1" s="64">
      <c r="A1188" s="88" t="n"/>
      <c r="B1188" s="120">
        <f t="array" ref="B1188:B1188">IF(A1188="","",IFERROR(INDEX('3.員工名單'!$B:$B,MATCH(A1188,'3.員工名單'!$A:$A,0)),"查無此員工"))</f>
        <v/>
      </c>
      <c r="C1188" s="120">
        <f t="array" ref="C1188:C1188">IF(A1188="","",IFERROR(INDEX('3.員工名單'!$C:$C,MATCH(A1188,'3.員工名單'!$A:$A,0)),""))</f>
        <v/>
      </c>
      <c r="D1188" s="120">
        <f t="array" ref="D1188:D1188">IF(A1188="","",IFERROR(INDEX('3.員工名單'!$D:$D,MATCH(A1188,'3.員工名單'!$A:$A,0)),""))</f>
        <v/>
      </c>
      <c r="E1188" s="120">
        <f t="array" ref="E1188:E1188">IF(F1188="","",IFERROR(INDEX('1.職能辭典'!$A:$A,MATCH(F1188,'1.職能辭典'!$C:$C,0)),""))</f>
        <v/>
      </c>
      <c r="F1188" s="94" t="n"/>
      <c r="G1188" s="120">
        <f t="array" ref="G1188:G1188">IF(OR(D1188="",F1188=""),"",IFERROR(IF(AND(OR(INDEX('1.職能辭典'!$J:$J,MATCH(F1188,'1.職能辭典'!$C:$C,0))="全部",INDEX('3.員工名單'!$H:$H,MATCH(A1188,'3.員工名單'!$A:$A,0))="兩款共用",INDEX('3.員工名單'!$H:$H,MATCH(A1188,'3.員工名單'!$A:$A,0))=INDEX('1.職能辭典'!$J:$J,MATCH(F1188,'1.職能辭典'!$C:$C,0))),OR(INDEX('1.職能辭典'!$K:$K,MATCH(F1188,'1.職能辭典'!$C:$C,0))="全部",SUMPRODUCT(ISNUMBER(SEARCH({"經營","管理","財務","企劃","營運","技術","數據","美術","測試","客服"},INDEX('3.員工名單'!$I:$I,MATCH(A1188,'3.員工名單'!$A:$A,0))))*ISNUMBER(SEARCH({"經營","管理","財務","企劃","營運","技術","數據","美術","測試","客服"},INDEX('1.職能辭典'!$K:$K,MATCH(F1188,'1.職能辭典'!$C:$C,0)))))&gt;0)),INDEX('2.職務職能需求'!$B$2:$F$28,MATCH(F1188,'2.職務職能需求'!$A$2:$A$28,0),MATCH(D1188,'2.職務職能需求'!$B$1:$F$1,0)),0),""))</f>
        <v/>
      </c>
      <c r="H1188" s="94" t="n"/>
      <c r="I1188" s="94" t="n"/>
      <c r="J1188" s="120">
        <f>IF(OR(G1188="",I1188="",G1188=0),"",I1188-G1188)</f>
        <v/>
      </c>
      <c r="K1188" s="120">
        <f>IF(G1188="","",IF(G1188=0,"不適用",IF(I1188="","待評核",IF(I1188&gt;=G1188,IF(I1188&gt;G1188,"超越","達標"),"待發展"))))</f>
        <v/>
      </c>
      <c r="L1188" s="91" t="n"/>
      <c r="M1188" s="91" t="n"/>
      <c r="N1188" s="88" t="n"/>
    </row>
    <row r="1189" ht="15.75" customHeight="1" s="64">
      <c r="A1189" s="88" t="n"/>
      <c r="B1189" s="120">
        <f t="array" ref="B1189:B1189">IF(A1189="","",IFERROR(INDEX('3.員工名單'!$B:$B,MATCH(A1189,'3.員工名單'!$A:$A,0)),"查無此員工"))</f>
        <v/>
      </c>
      <c r="C1189" s="120">
        <f t="array" ref="C1189:C1189">IF(A1189="","",IFERROR(INDEX('3.員工名單'!$C:$C,MATCH(A1189,'3.員工名單'!$A:$A,0)),""))</f>
        <v/>
      </c>
      <c r="D1189" s="120">
        <f t="array" ref="D1189:D1189">IF(A1189="","",IFERROR(INDEX('3.員工名單'!$D:$D,MATCH(A1189,'3.員工名單'!$A:$A,0)),""))</f>
        <v/>
      </c>
      <c r="E1189" s="120">
        <f t="array" ref="E1189:E1189">IF(F1189="","",IFERROR(INDEX('1.職能辭典'!$A:$A,MATCH(F1189,'1.職能辭典'!$C:$C,0)),""))</f>
        <v/>
      </c>
      <c r="F1189" s="94" t="n"/>
      <c r="G1189" s="120">
        <f t="array" ref="G1189:G1189">IF(OR(D1189="",F1189=""),"",IFERROR(IF(AND(OR(INDEX('1.職能辭典'!$J:$J,MATCH(F1189,'1.職能辭典'!$C:$C,0))="全部",INDEX('3.員工名單'!$H:$H,MATCH(A1189,'3.員工名單'!$A:$A,0))="兩款共用",INDEX('3.員工名單'!$H:$H,MATCH(A1189,'3.員工名單'!$A:$A,0))=INDEX('1.職能辭典'!$J:$J,MATCH(F1189,'1.職能辭典'!$C:$C,0))),OR(INDEX('1.職能辭典'!$K:$K,MATCH(F1189,'1.職能辭典'!$C:$C,0))="全部",SUMPRODUCT(ISNUMBER(SEARCH({"經營","管理","財務","企劃","營運","技術","數據","美術","測試","客服"},INDEX('3.員工名單'!$I:$I,MATCH(A1189,'3.員工名單'!$A:$A,0))))*ISNUMBER(SEARCH({"經營","管理","財務","企劃","營運","技術","數據","美術","測試","客服"},INDEX('1.職能辭典'!$K:$K,MATCH(F1189,'1.職能辭典'!$C:$C,0)))))&gt;0)),INDEX('2.職務職能需求'!$B$2:$F$28,MATCH(F1189,'2.職務職能需求'!$A$2:$A$28,0),MATCH(D1189,'2.職務職能需求'!$B$1:$F$1,0)),0),""))</f>
        <v/>
      </c>
      <c r="H1189" s="94" t="n"/>
      <c r="I1189" s="94" t="n"/>
      <c r="J1189" s="120">
        <f>IF(OR(G1189="",I1189="",G1189=0),"",I1189-G1189)</f>
        <v/>
      </c>
      <c r="K1189" s="120">
        <f>IF(G1189="","",IF(G1189=0,"不適用",IF(I1189="","待評核",IF(I1189&gt;=G1189,IF(I1189&gt;G1189,"超越","達標"),"待發展"))))</f>
        <v/>
      </c>
      <c r="L1189" s="91" t="n"/>
      <c r="M1189" s="91" t="n"/>
      <c r="N1189" s="88" t="n"/>
    </row>
    <row r="1190" ht="15.75" customHeight="1" s="64">
      <c r="A1190" s="88" t="n"/>
      <c r="B1190" s="120">
        <f t="array" ref="B1190:B1190">IF(A1190="","",IFERROR(INDEX('3.員工名單'!$B:$B,MATCH(A1190,'3.員工名單'!$A:$A,0)),"查無此員工"))</f>
        <v/>
      </c>
      <c r="C1190" s="120">
        <f t="array" ref="C1190:C1190">IF(A1190="","",IFERROR(INDEX('3.員工名單'!$C:$C,MATCH(A1190,'3.員工名單'!$A:$A,0)),""))</f>
        <v/>
      </c>
      <c r="D1190" s="120">
        <f t="array" ref="D1190:D1190">IF(A1190="","",IFERROR(INDEX('3.員工名單'!$D:$D,MATCH(A1190,'3.員工名單'!$A:$A,0)),""))</f>
        <v/>
      </c>
      <c r="E1190" s="120">
        <f t="array" ref="E1190:E1190">IF(F1190="","",IFERROR(INDEX('1.職能辭典'!$A:$A,MATCH(F1190,'1.職能辭典'!$C:$C,0)),""))</f>
        <v/>
      </c>
      <c r="F1190" s="94" t="n"/>
      <c r="G1190" s="120">
        <f t="array" ref="G1190:G1190">IF(OR(D1190="",F1190=""),"",IFERROR(IF(AND(OR(INDEX('1.職能辭典'!$J:$J,MATCH(F1190,'1.職能辭典'!$C:$C,0))="全部",INDEX('3.員工名單'!$H:$H,MATCH(A1190,'3.員工名單'!$A:$A,0))="兩款共用",INDEX('3.員工名單'!$H:$H,MATCH(A1190,'3.員工名單'!$A:$A,0))=INDEX('1.職能辭典'!$J:$J,MATCH(F1190,'1.職能辭典'!$C:$C,0))),OR(INDEX('1.職能辭典'!$K:$K,MATCH(F1190,'1.職能辭典'!$C:$C,0))="全部",SUMPRODUCT(ISNUMBER(SEARCH({"經營","管理","財務","企劃","營運","技術","數據","美術","測試","客服"},INDEX('3.員工名單'!$I:$I,MATCH(A1190,'3.員工名單'!$A:$A,0))))*ISNUMBER(SEARCH({"經營","管理","財務","企劃","營運","技術","數據","美術","測試","客服"},INDEX('1.職能辭典'!$K:$K,MATCH(F1190,'1.職能辭典'!$C:$C,0)))))&gt;0)),INDEX('2.職務職能需求'!$B$2:$F$28,MATCH(F1190,'2.職務職能需求'!$A$2:$A$28,0),MATCH(D1190,'2.職務職能需求'!$B$1:$F$1,0)),0),""))</f>
        <v/>
      </c>
      <c r="H1190" s="94" t="n"/>
      <c r="I1190" s="94" t="n"/>
      <c r="J1190" s="120">
        <f>IF(OR(G1190="",I1190="",G1190=0),"",I1190-G1190)</f>
        <v/>
      </c>
      <c r="K1190" s="120">
        <f>IF(G1190="","",IF(G1190=0,"不適用",IF(I1190="","待評核",IF(I1190&gt;=G1190,IF(I1190&gt;G1190,"超越","達標"),"待發展"))))</f>
        <v/>
      </c>
      <c r="L1190" s="91" t="n"/>
      <c r="M1190" s="91" t="n"/>
      <c r="N1190" s="88" t="n"/>
    </row>
    <row r="1191" ht="15.75" customHeight="1" s="64">
      <c r="A1191" s="88" t="n"/>
      <c r="B1191" s="120">
        <f t="array" ref="B1191:B1191">IF(A1191="","",IFERROR(INDEX('3.員工名單'!$B:$B,MATCH(A1191,'3.員工名單'!$A:$A,0)),"查無此員工"))</f>
        <v/>
      </c>
      <c r="C1191" s="120">
        <f t="array" ref="C1191:C1191">IF(A1191="","",IFERROR(INDEX('3.員工名單'!$C:$C,MATCH(A1191,'3.員工名單'!$A:$A,0)),""))</f>
        <v/>
      </c>
      <c r="D1191" s="120">
        <f t="array" ref="D1191:D1191">IF(A1191="","",IFERROR(INDEX('3.員工名單'!$D:$D,MATCH(A1191,'3.員工名單'!$A:$A,0)),""))</f>
        <v/>
      </c>
      <c r="E1191" s="120">
        <f t="array" ref="E1191:E1191">IF(F1191="","",IFERROR(INDEX('1.職能辭典'!$A:$A,MATCH(F1191,'1.職能辭典'!$C:$C,0)),""))</f>
        <v/>
      </c>
      <c r="F1191" s="94" t="n"/>
      <c r="G1191" s="120">
        <f t="array" ref="G1191:G1191">IF(OR(D1191="",F1191=""),"",IFERROR(IF(AND(OR(INDEX('1.職能辭典'!$J:$J,MATCH(F1191,'1.職能辭典'!$C:$C,0))="全部",INDEX('3.員工名單'!$H:$H,MATCH(A1191,'3.員工名單'!$A:$A,0))="兩款共用",INDEX('3.員工名單'!$H:$H,MATCH(A1191,'3.員工名單'!$A:$A,0))=INDEX('1.職能辭典'!$J:$J,MATCH(F1191,'1.職能辭典'!$C:$C,0))),OR(INDEX('1.職能辭典'!$K:$K,MATCH(F1191,'1.職能辭典'!$C:$C,0))="全部",SUMPRODUCT(ISNUMBER(SEARCH({"經營","管理","財務","企劃","營運","技術","數據","美術","測試","客服"},INDEX('3.員工名單'!$I:$I,MATCH(A1191,'3.員工名單'!$A:$A,0))))*ISNUMBER(SEARCH({"經營","管理","財務","企劃","營運","技術","數據","美術","測試","客服"},INDEX('1.職能辭典'!$K:$K,MATCH(F1191,'1.職能辭典'!$C:$C,0)))))&gt;0)),INDEX('2.職務職能需求'!$B$2:$F$28,MATCH(F1191,'2.職務職能需求'!$A$2:$A$28,0),MATCH(D1191,'2.職務職能需求'!$B$1:$F$1,0)),0),""))</f>
        <v/>
      </c>
      <c r="H1191" s="94" t="n"/>
      <c r="I1191" s="94" t="n"/>
      <c r="J1191" s="120">
        <f>IF(OR(G1191="",I1191="",G1191=0),"",I1191-G1191)</f>
        <v/>
      </c>
      <c r="K1191" s="120">
        <f>IF(G1191="","",IF(G1191=0,"不適用",IF(I1191="","待評核",IF(I1191&gt;=G1191,IF(I1191&gt;G1191,"超越","達標"),"待發展"))))</f>
        <v/>
      </c>
      <c r="L1191" s="91" t="n"/>
      <c r="M1191" s="91" t="n"/>
      <c r="N1191" s="88" t="n"/>
    </row>
    <row r="1192" ht="15.75" customHeight="1" s="64">
      <c r="A1192" s="88" t="n"/>
      <c r="B1192" s="120">
        <f t="array" ref="B1192:B1192">IF(A1192="","",IFERROR(INDEX('3.員工名單'!$B:$B,MATCH(A1192,'3.員工名單'!$A:$A,0)),"查無此員工"))</f>
        <v/>
      </c>
      <c r="C1192" s="120">
        <f t="array" ref="C1192:C1192">IF(A1192="","",IFERROR(INDEX('3.員工名單'!$C:$C,MATCH(A1192,'3.員工名單'!$A:$A,0)),""))</f>
        <v/>
      </c>
      <c r="D1192" s="120">
        <f t="array" ref="D1192:D1192">IF(A1192="","",IFERROR(INDEX('3.員工名單'!$D:$D,MATCH(A1192,'3.員工名單'!$A:$A,0)),""))</f>
        <v/>
      </c>
      <c r="E1192" s="120">
        <f t="array" ref="E1192:E1192">IF(F1192="","",IFERROR(INDEX('1.職能辭典'!$A:$A,MATCH(F1192,'1.職能辭典'!$C:$C,0)),""))</f>
        <v/>
      </c>
      <c r="F1192" s="94" t="n"/>
      <c r="G1192" s="120">
        <f t="array" ref="G1192:G1192">IF(OR(D1192="",F1192=""),"",IFERROR(IF(AND(OR(INDEX('1.職能辭典'!$J:$J,MATCH(F1192,'1.職能辭典'!$C:$C,0))="全部",INDEX('3.員工名單'!$H:$H,MATCH(A1192,'3.員工名單'!$A:$A,0))="兩款共用",INDEX('3.員工名單'!$H:$H,MATCH(A1192,'3.員工名單'!$A:$A,0))=INDEX('1.職能辭典'!$J:$J,MATCH(F1192,'1.職能辭典'!$C:$C,0))),OR(INDEX('1.職能辭典'!$K:$K,MATCH(F1192,'1.職能辭典'!$C:$C,0))="全部",SUMPRODUCT(ISNUMBER(SEARCH({"經營","管理","財務","企劃","營運","技術","數據","美術","測試","客服"},INDEX('3.員工名單'!$I:$I,MATCH(A1192,'3.員工名單'!$A:$A,0))))*ISNUMBER(SEARCH({"經營","管理","財務","企劃","營運","技術","數據","美術","測試","客服"},INDEX('1.職能辭典'!$K:$K,MATCH(F1192,'1.職能辭典'!$C:$C,0)))))&gt;0)),INDEX('2.職務職能需求'!$B$2:$F$28,MATCH(F1192,'2.職務職能需求'!$A$2:$A$28,0),MATCH(D1192,'2.職務職能需求'!$B$1:$F$1,0)),0),""))</f>
        <v/>
      </c>
      <c r="H1192" s="94" t="n"/>
      <c r="I1192" s="94" t="n"/>
      <c r="J1192" s="120">
        <f>IF(OR(G1192="",I1192="",G1192=0),"",I1192-G1192)</f>
        <v/>
      </c>
      <c r="K1192" s="120">
        <f>IF(G1192="","",IF(G1192=0,"不適用",IF(I1192="","待評核",IF(I1192&gt;=G1192,IF(I1192&gt;G1192,"超越","達標"),"待發展"))))</f>
        <v/>
      </c>
      <c r="L1192" s="91" t="n"/>
      <c r="M1192" s="91" t="n"/>
      <c r="N1192" s="88" t="n"/>
    </row>
    <row r="1193" ht="15.75" customHeight="1" s="64">
      <c r="A1193" s="88" t="n"/>
      <c r="B1193" s="120">
        <f t="array" ref="B1193:B1193">IF(A1193="","",IFERROR(INDEX('3.員工名單'!$B:$B,MATCH(A1193,'3.員工名單'!$A:$A,0)),"查無此員工"))</f>
        <v/>
      </c>
      <c r="C1193" s="120">
        <f t="array" ref="C1193:C1193">IF(A1193="","",IFERROR(INDEX('3.員工名單'!$C:$C,MATCH(A1193,'3.員工名單'!$A:$A,0)),""))</f>
        <v/>
      </c>
      <c r="D1193" s="120">
        <f t="array" ref="D1193:D1193">IF(A1193="","",IFERROR(INDEX('3.員工名單'!$D:$D,MATCH(A1193,'3.員工名單'!$A:$A,0)),""))</f>
        <v/>
      </c>
      <c r="E1193" s="120">
        <f t="array" ref="E1193:E1193">IF(F1193="","",IFERROR(INDEX('1.職能辭典'!$A:$A,MATCH(F1193,'1.職能辭典'!$C:$C,0)),""))</f>
        <v/>
      </c>
      <c r="F1193" s="94" t="n"/>
      <c r="G1193" s="120">
        <f t="array" ref="G1193:G1193">IF(OR(D1193="",F1193=""),"",IFERROR(IF(AND(OR(INDEX('1.職能辭典'!$J:$J,MATCH(F1193,'1.職能辭典'!$C:$C,0))="全部",INDEX('3.員工名單'!$H:$H,MATCH(A1193,'3.員工名單'!$A:$A,0))="兩款共用",INDEX('3.員工名單'!$H:$H,MATCH(A1193,'3.員工名單'!$A:$A,0))=INDEX('1.職能辭典'!$J:$J,MATCH(F1193,'1.職能辭典'!$C:$C,0))),OR(INDEX('1.職能辭典'!$K:$K,MATCH(F1193,'1.職能辭典'!$C:$C,0))="全部",SUMPRODUCT(ISNUMBER(SEARCH({"經營","管理","財務","企劃","營運","技術","數據","美術","測試","客服"},INDEX('3.員工名單'!$I:$I,MATCH(A1193,'3.員工名單'!$A:$A,0))))*ISNUMBER(SEARCH({"經營","管理","財務","企劃","營運","技術","數據","美術","測試","客服"},INDEX('1.職能辭典'!$K:$K,MATCH(F1193,'1.職能辭典'!$C:$C,0)))))&gt;0)),INDEX('2.職務職能需求'!$B$2:$F$28,MATCH(F1193,'2.職務職能需求'!$A$2:$A$28,0),MATCH(D1193,'2.職務職能需求'!$B$1:$F$1,0)),0),""))</f>
        <v/>
      </c>
      <c r="H1193" s="94" t="n"/>
      <c r="I1193" s="94" t="n"/>
      <c r="J1193" s="120">
        <f>IF(OR(G1193="",I1193="",G1193=0),"",I1193-G1193)</f>
        <v/>
      </c>
      <c r="K1193" s="120">
        <f>IF(G1193="","",IF(G1193=0,"不適用",IF(I1193="","待評核",IF(I1193&gt;=G1193,IF(I1193&gt;G1193,"超越","達標"),"待發展"))))</f>
        <v/>
      </c>
      <c r="L1193" s="91" t="n"/>
      <c r="M1193" s="91" t="n"/>
      <c r="N1193" s="88" t="n"/>
    </row>
    <row r="1194" ht="15.75" customHeight="1" s="64">
      <c r="A1194" s="88" t="n"/>
      <c r="B1194" s="120">
        <f t="array" ref="B1194:B1194">IF(A1194="","",IFERROR(INDEX('3.員工名單'!$B:$B,MATCH(A1194,'3.員工名單'!$A:$A,0)),"查無此員工"))</f>
        <v/>
      </c>
      <c r="C1194" s="120">
        <f t="array" ref="C1194:C1194">IF(A1194="","",IFERROR(INDEX('3.員工名單'!$C:$C,MATCH(A1194,'3.員工名單'!$A:$A,0)),""))</f>
        <v/>
      </c>
      <c r="D1194" s="120">
        <f t="array" ref="D1194:D1194">IF(A1194="","",IFERROR(INDEX('3.員工名單'!$D:$D,MATCH(A1194,'3.員工名單'!$A:$A,0)),""))</f>
        <v/>
      </c>
      <c r="E1194" s="120">
        <f t="array" ref="E1194:E1194">IF(F1194="","",IFERROR(INDEX('1.職能辭典'!$A:$A,MATCH(F1194,'1.職能辭典'!$C:$C,0)),""))</f>
        <v/>
      </c>
      <c r="F1194" s="94" t="n"/>
      <c r="G1194" s="120">
        <f t="array" ref="G1194:G1194">IF(OR(D1194="",F1194=""),"",IFERROR(IF(AND(OR(INDEX('1.職能辭典'!$J:$J,MATCH(F1194,'1.職能辭典'!$C:$C,0))="全部",INDEX('3.員工名單'!$H:$H,MATCH(A1194,'3.員工名單'!$A:$A,0))="兩款共用",INDEX('3.員工名單'!$H:$H,MATCH(A1194,'3.員工名單'!$A:$A,0))=INDEX('1.職能辭典'!$J:$J,MATCH(F1194,'1.職能辭典'!$C:$C,0))),OR(INDEX('1.職能辭典'!$K:$K,MATCH(F1194,'1.職能辭典'!$C:$C,0))="全部",SUMPRODUCT(ISNUMBER(SEARCH({"經營","管理","財務","企劃","營運","技術","數據","美術","測試","客服"},INDEX('3.員工名單'!$I:$I,MATCH(A1194,'3.員工名單'!$A:$A,0))))*ISNUMBER(SEARCH({"經營","管理","財務","企劃","營運","技術","數據","美術","測試","客服"},INDEX('1.職能辭典'!$K:$K,MATCH(F1194,'1.職能辭典'!$C:$C,0)))))&gt;0)),INDEX('2.職務職能需求'!$B$2:$F$28,MATCH(F1194,'2.職務職能需求'!$A$2:$A$28,0),MATCH(D1194,'2.職務職能需求'!$B$1:$F$1,0)),0),""))</f>
        <v/>
      </c>
      <c r="H1194" s="94" t="n"/>
      <c r="I1194" s="94" t="n"/>
      <c r="J1194" s="120">
        <f>IF(OR(G1194="",I1194="",G1194=0),"",I1194-G1194)</f>
        <v/>
      </c>
      <c r="K1194" s="120">
        <f>IF(G1194="","",IF(G1194=0,"不適用",IF(I1194="","待評核",IF(I1194&gt;=G1194,IF(I1194&gt;G1194,"超越","達標"),"待發展"))))</f>
        <v/>
      </c>
      <c r="L1194" s="91" t="n"/>
      <c r="M1194" s="91" t="n"/>
      <c r="N1194" s="88" t="n"/>
    </row>
    <row r="1195" ht="15.75" customHeight="1" s="64">
      <c r="A1195" s="88" t="n"/>
      <c r="B1195" s="120">
        <f t="array" ref="B1195:B1195">IF(A1195="","",IFERROR(INDEX('3.員工名單'!$B:$B,MATCH(A1195,'3.員工名單'!$A:$A,0)),"查無此員工"))</f>
        <v/>
      </c>
      <c r="C1195" s="120">
        <f t="array" ref="C1195:C1195">IF(A1195="","",IFERROR(INDEX('3.員工名單'!$C:$C,MATCH(A1195,'3.員工名單'!$A:$A,0)),""))</f>
        <v/>
      </c>
      <c r="D1195" s="120">
        <f t="array" ref="D1195:D1195">IF(A1195="","",IFERROR(INDEX('3.員工名單'!$D:$D,MATCH(A1195,'3.員工名單'!$A:$A,0)),""))</f>
        <v/>
      </c>
      <c r="E1195" s="120">
        <f t="array" ref="E1195:E1195">IF(F1195="","",IFERROR(INDEX('1.職能辭典'!$A:$A,MATCH(F1195,'1.職能辭典'!$C:$C,0)),""))</f>
        <v/>
      </c>
      <c r="F1195" s="94" t="n"/>
      <c r="G1195" s="120">
        <f t="array" ref="G1195:G1195">IF(OR(D1195="",F1195=""),"",IFERROR(IF(AND(OR(INDEX('1.職能辭典'!$J:$J,MATCH(F1195,'1.職能辭典'!$C:$C,0))="全部",INDEX('3.員工名單'!$H:$H,MATCH(A1195,'3.員工名單'!$A:$A,0))="兩款共用",INDEX('3.員工名單'!$H:$H,MATCH(A1195,'3.員工名單'!$A:$A,0))=INDEX('1.職能辭典'!$J:$J,MATCH(F1195,'1.職能辭典'!$C:$C,0))),OR(INDEX('1.職能辭典'!$K:$K,MATCH(F1195,'1.職能辭典'!$C:$C,0))="全部",SUMPRODUCT(ISNUMBER(SEARCH({"經營","管理","財務","企劃","營運","技術","數據","美術","測試","客服"},INDEX('3.員工名單'!$I:$I,MATCH(A1195,'3.員工名單'!$A:$A,0))))*ISNUMBER(SEARCH({"經營","管理","財務","企劃","營運","技術","數據","美術","測試","客服"},INDEX('1.職能辭典'!$K:$K,MATCH(F1195,'1.職能辭典'!$C:$C,0)))))&gt;0)),INDEX('2.職務職能需求'!$B$2:$F$28,MATCH(F1195,'2.職務職能需求'!$A$2:$A$28,0),MATCH(D1195,'2.職務職能需求'!$B$1:$F$1,0)),0),""))</f>
        <v/>
      </c>
      <c r="H1195" s="94" t="n"/>
      <c r="I1195" s="94" t="n"/>
      <c r="J1195" s="120">
        <f>IF(OR(G1195="",I1195="",G1195=0),"",I1195-G1195)</f>
        <v/>
      </c>
      <c r="K1195" s="120">
        <f>IF(G1195="","",IF(G1195=0,"不適用",IF(I1195="","待評核",IF(I1195&gt;=G1195,IF(I1195&gt;G1195,"超越","達標"),"待發展"))))</f>
        <v/>
      </c>
      <c r="L1195" s="91" t="n"/>
      <c r="M1195" s="91" t="n"/>
      <c r="N1195" s="88" t="n"/>
    </row>
    <row r="1196" ht="15.75" customHeight="1" s="64">
      <c r="A1196" s="88" t="n"/>
      <c r="B1196" s="120">
        <f t="array" ref="B1196:B1196">IF(A1196="","",IFERROR(INDEX('3.員工名單'!$B:$B,MATCH(A1196,'3.員工名單'!$A:$A,0)),"查無此員工"))</f>
        <v/>
      </c>
      <c r="C1196" s="120">
        <f t="array" ref="C1196:C1196">IF(A1196="","",IFERROR(INDEX('3.員工名單'!$C:$C,MATCH(A1196,'3.員工名單'!$A:$A,0)),""))</f>
        <v/>
      </c>
      <c r="D1196" s="120">
        <f t="array" ref="D1196:D1196">IF(A1196="","",IFERROR(INDEX('3.員工名單'!$D:$D,MATCH(A1196,'3.員工名單'!$A:$A,0)),""))</f>
        <v/>
      </c>
      <c r="E1196" s="120">
        <f t="array" ref="E1196:E1196">IF(F1196="","",IFERROR(INDEX('1.職能辭典'!$A:$A,MATCH(F1196,'1.職能辭典'!$C:$C,0)),""))</f>
        <v/>
      </c>
      <c r="F1196" s="94" t="n"/>
      <c r="G1196" s="120">
        <f t="array" ref="G1196:G1196">IF(OR(D1196="",F1196=""),"",IFERROR(IF(AND(OR(INDEX('1.職能辭典'!$J:$J,MATCH(F1196,'1.職能辭典'!$C:$C,0))="全部",INDEX('3.員工名單'!$H:$H,MATCH(A1196,'3.員工名單'!$A:$A,0))="兩款共用",INDEX('3.員工名單'!$H:$H,MATCH(A1196,'3.員工名單'!$A:$A,0))=INDEX('1.職能辭典'!$J:$J,MATCH(F1196,'1.職能辭典'!$C:$C,0))),OR(INDEX('1.職能辭典'!$K:$K,MATCH(F1196,'1.職能辭典'!$C:$C,0))="全部",SUMPRODUCT(ISNUMBER(SEARCH({"經營","管理","財務","企劃","營運","技術","數據","美術","測試","客服"},INDEX('3.員工名單'!$I:$I,MATCH(A1196,'3.員工名單'!$A:$A,0))))*ISNUMBER(SEARCH({"經營","管理","財務","企劃","營運","技術","數據","美術","測試","客服"},INDEX('1.職能辭典'!$K:$K,MATCH(F1196,'1.職能辭典'!$C:$C,0)))))&gt;0)),INDEX('2.職務職能需求'!$B$2:$F$28,MATCH(F1196,'2.職務職能需求'!$A$2:$A$28,0),MATCH(D1196,'2.職務職能需求'!$B$1:$F$1,0)),0),""))</f>
        <v/>
      </c>
      <c r="H1196" s="94" t="n"/>
      <c r="I1196" s="94" t="n"/>
      <c r="J1196" s="120">
        <f>IF(OR(G1196="",I1196="",G1196=0),"",I1196-G1196)</f>
        <v/>
      </c>
      <c r="K1196" s="120">
        <f>IF(G1196="","",IF(G1196=0,"不適用",IF(I1196="","待評核",IF(I1196&gt;=G1196,IF(I1196&gt;G1196,"超越","達標"),"待發展"))))</f>
        <v/>
      </c>
      <c r="L1196" s="91" t="n"/>
      <c r="M1196" s="91" t="n"/>
      <c r="N1196" s="88" t="n"/>
    </row>
    <row r="1197" ht="15.75" customHeight="1" s="64">
      <c r="A1197" s="88" t="n"/>
      <c r="B1197" s="120">
        <f t="array" ref="B1197:B1197">IF(A1197="","",IFERROR(INDEX('3.員工名單'!$B:$B,MATCH(A1197,'3.員工名單'!$A:$A,0)),"查無此員工"))</f>
        <v/>
      </c>
      <c r="C1197" s="120">
        <f t="array" ref="C1197:C1197">IF(A1197="","",IFERROR(INDEX('3.員工名單'!$C:$C,MATCH(A1197,'3.員工名單'!$A:$A,0)),""))</f>
        <v/>
      </c>
      <c r="D1197" s="120">
        <f t="array" ref="D1197:D1197">IF(A1197="","",IFERROR(INDEX('3.員工名單'!$D:$D,MATCH(A1197,'3.員工名單'!$A:$A,0)),""))</f>
        <v/>
      </c>
      <c r="E1197" s="120">
        <f t="array" ref="E1197:E1197">IF(F1197="","",IFERROR(INDEX('1.職能辭典'!$A:$A,MATCH(F1197,'1.職能辭典'!$C:$C,0)),""))</f>
        <v/>
      </c>
      <c r="F1197" s="94" t="n"/>
      <c r="G1197" s="120">
        <f t="array" ref="G1197:G1197">IF(OR(D1197="",F1197=""),"",IFERROR(IF(AND(OR(INDEX('1.職能辭典'!$J:$J,MATCH(F1197,'1.職能辭典'!$C:$C,0))="全部",INDEX('3.員工名單'!$H:$H,MATCH(A1197,'3.員工名單'!$A:$A,0))="兩款共用",INDEX('3.員工名單'!$H:$H,MATCH(A1197,'3.員工名單'!$A:$A,0))=INDEX('1.職能辭典'!$J:$J,MATCH(F1197,'1.職能辭典'!$C:$C,0))),OR(INDEX('1.職能辭典'!$K:$K,MATCH(F1197,'1.職能辭典'!$C:$C,0))="全部",SUMPRODUCT(ISNUMBER(SEARCH({"經營","管理","財務","企劃","營運","技術","數據","美術","測試","客服"},INDEX('3.員工名單'!$I:$I,MATCH(A1197,'3.員工名單'!$A:$A,0))))*ISNUMBER(SEARCH({"經營","管理","財務","企劃","營運","技術","數據","美術","測試","客服"},INDEX('1.職能辭典'!$K:$K,MATCH(F1197,'1.職能辭典'!$C:$C,0)))))&gt;0)),INDEX('2.職務職能需求'!$B$2:$F$28,MATCH(F1197,'2.職務職能需求'!$A$2:$A$28,0),MATCH(D1197,'2.職務職能需求'!$B$1:$F$1,0)),0),""))</f>
        <v/>
      </c>
      <c r="H1197" s="94" t="n"/>
      <c r="I1197" s="94" t="n"/>
      <c r="J1197" s="120">
        <f>IF(OR(G1197="",I1197="",G1197=0),"",I1197-G1197)</f>
        <v/>
      </c>
      <c r="K1197" s="120">
        <f>IF(G1197="","",IF(G1197=0,"不適用",IF(I1197="","待評核",IF(I1197&gt;=G1197,IF(I1197&gt;G1197,"超越","達標"),"待發展"))))</f>
        <v/>
      </c>
      <c r="L1197" s="91" t="n"/>
      <c r="M1197" s="91" t="n"/>
      <c r="N1197" s="88" t="n"/>
    </row>
    <row r="1198" ht="15.75" customHeight="1" s="64">
      <c r="A1198" s="88" t="n"/>
      <c r="B1198" s="120">
        <f t="array" ref="B1198:B1198">IF(A1198="","",IFERROR(INDEX('3.員工名單'!$B:$B,MATCH(A1198,'3.員工名單'!$A:$A,0)),"查無此員工"))</f>
        <v/>
      </c>
      <c r="C1198" s="120">
        <f t="array" ref="C1198:C1198">IF(A1198="","",IFERROR(INDEX('3.員工名單'!$C:$C,MATCH(A1198,'3.員工名單'!$A:$A,0)),""))</f>
        <v/>
      </c>
      <c r="D1198" s="120">
        <f t="array" ref="D1198:D1198">IF(A1198="","",IFERROR(INDEX('3.員工名單'!$D:$D,MATCH(A1198,'3.員工名單'!$A:$A,0)),""))</f>
        <v/>
      </c>
      <c r="E1198" s="120">
        <f t="array" ref="E1198:E1198">IF(F1198="","",IFERROR(INDEX('1.職能辭典'!$A:$A,MATCH(F1198,'1.職能辭典'!$C:$C,0)),""))</f>
        <v/>
      </c>
      <c r="F1198" s="94" t="n"/>
      <c r="G1198" s="120">
        <f t="array" ref="G1198:G1198">IF(OR(D1198="",F1198=""),"",IFERROR(IF(AND(OR(INDEX('1.職能辭典'!$J:$J,MATCH(F1198,'1.職能辭典'!$C:$C,0))="全部",INDEX('3.員工名單'!$H:$H,MATCH(A1198,'3.員工名單'!$A:$A,0))="兩款共用",INDEX('3.員工名單'!$H:$H,MATCH(A1198,'3.員工名單'!$A:$A,0))=INDEX('1.職能辭典'!$J:$J,MATCH(F1198,'1.職能辭典'!$C:$C,0))),OR(INDEX('1.職能辭典'!$K:$K,MATCH(F1198,'1.職能辭典'!$C:$C,0))="全部",SUMPRODUCT(ISNUMBER(SEARCH({"經營","管理","財務","企劃","營運","技術","數據","美術","測試","客服"},INDEX('3.員工名單'!$I:$I,MATCH(A1198,'3.員工名單'!$A:$A,0))))*ISNUMBER(SEARCH({"經營","管理","財務","企劃","營運","技術","數據","美術","測試","客服"},INDEX('1.職能辭典'!$K:$K,MATCH(F1198,'1.職能辭典'!$C:$C,0)))))&gt;0)),INDEX('2.職務職能需求'!$B$2:$F$28,MATCH(F1198,'2.職務職能需求'!$A$2:$A$28,0),MATCH(D1198,'2.職務職能需求'!$B$1:$F$1,0)),0),""))</f>
        <v/>
      </c>
      <c r="H1198" s="94" t="n"/>
      <c r="I1198" s="94" t="n"/>
      <c r="J1198" s="120">
        <f>IF(OR(G1198="",I1198="",G1198=0),"",I1198-G1198)</f>
        <v/>
      </c>
      <c r="K1198" s="120">
        <f>IF(G1198="","",IF(G1198=0,"不適用",IF(I1198="","待評核",IF(I1198&gt;=G1198,IF(I1198&gt;G1198,"超越","達標"),"待發展"))))</f>
        <v/>
      </c>
      <c r="L1198" s="91" t="n"/>
      <c r="M1198" s="91" t="n"/>
      <c r="N1198" s="88" t="n"/>
    </row>
    <row r="1199" ht="15.75" customHeight="1" s="64">
      <c r="A1199" s="88" t="n"/>
      <c r="B1199" s="120">
        <f t="array" ref="B1199:B1199">IF(A1199="","",IFERROR(INDEX('3.員工名單'!$B:$B,MATCH(A1199,'3.員工名單'!$A:$A,0)),"查無此員工"))</f>
        <v/>
      </c>
      <c r="C1199" s="120">
        <f t="array" ref="C1199:C1199">IF(A1199="","",IFERROR(INDEX('3.員工名單'!$C:$C,MATCH(A1199,'3.員工名單'!$A:$A,0)),""))</f>
        <v/>
      </c>
      <c r="D1199" s="120">
        <f t="array" ref="D1199:D1199">IF(A1199="","",IFERROR(INDEX('3.員工名單'!$D:$D,MATCH(A1199,'3.員工名單'!$A:$A,0)),""))</f>
        <v/>
      </c>
      <c r="E1199" s="120">
        <f t="array" ref="E1199:E1199">IF(F1199="","",IFERROR(INDEX('1.職能辭典'!$A:$A,MATCH(F1199,'1.職能辭典'!$C:$C,0)),""))</f>
        <v/>
      </c>
      <c r="F1199" s="94" t="n"/>
      <c r="G1199" s="120">
        <f t="array" ref="G1199:G1199">IF(OR(D1199="",F1199=""),"",IFERROR(IF(AND(OR(INDEX('1.職能辭典'!$J:$J,MATCH(F1199,'1.職能辭典'!$C:$C,0))="全部",INDEX('3.員工名單'!$H:$H,MATCH(A1199,'3.員工名單'!$A:$A,0))="兩款共用",INDEX('3.員工名單'!$H:$H,MATCH(A1199,'3.員工名單'!$A:$A,0))=INDEX('1.職能辭典'!$J:$J,MATCH(F1199,'1.職能辭典'!$C:$C,0))),OR(INDEX('1.職能辭典'!$K:$K,MATCH(F1199,'1.職能辭典'!$C:$C,0))="全部",SUMPRODUCT(ISNUMBER(SEARCH({"經營","管理","財務","企劃","營運","技術","數據","美術","測試","客服"},INDEX('3.員工名單'!$I:$I,MATCH(A1199,'3.員工名單'!$A:$A,0))))*ISNUMBER(SEARCH({"經營","管理","財務","企劃","營運","技術","數據","美術","測試","客服"},INDEX('1.職能辭典'!$K:$K,MATCH(F1199,'1.職能辭典'!$C:$C,0)))))&gt;0)),INDEX('2.職務職能需求'!$B$2:$F$28,MATCH(F1199,'2.職務職能需求'!$A$2:$A$28,0),MATCH(D1199,'2.職務職能需求'!$B$1:$F$1,0)),0),""))</f>
        <v/>
      </c>
      <c r="H1199" s="94" t="n"/>
      <c r="I1199" s="94" t="n"/>
      <c r="J1199" s="120">
        <f>IF(OR(G1199="",I1199="",G1199=0),"",I1199-G1199)</f>
        <v/>
      </c>
      <c r="K1199" s="120">
        <f>IF(G1199="","",IF(G1199=0,"不適用",IF(I1199="","待評核",IF(I1199&gt;=G1199,IF(I1199&gt;G1199,"超越","達標"),"待發展"))))</f>
        <v/>
      </c>
      <c r="L1199" s="91" t="n"/>
      <c r="M1199" s="91" t="n"/>
      <c r="N1199" s="88" t="n"/>
    </row>
    <row r="1200" ht="15.75" customHeight="1" s="64">
      <c r="A1200" s="88" t="n"/>
      <c r="B1200" s="120">
        <f t="array" ref="B1200:B1200">IF(A1200="","",IFERROR(INDEX('3.員工名單'!$B:$B,MATCH(A1200,'3.員工名單'!$A:$A,0)),"查無此員工"))</f>
        <v/>
      </c>
      <c r="C1200" s="120">
        <f t="array" ref="C1200:C1200">IF(A1200="","",IFERROR(INDEX('3.員工名單'!$C:$C,MATCH(A1200,'3.員工名單'!$A:$A,0)),""))</f>
        <v/>
      </c>
      <c r="D1200" s="120">
        <f t="array" ref="D1200:D1200">IF(A1200="","",IFERROR(INDEX('3.員工名單'!$D:$D,MATCH(A1200,'3.員工名單'!$A:$A,0)),""))</f>
        <v/>
      </c>
      <c r="E1200" s="120">
        <f t="array" ref="E1200:E1200">IF(F1200="","",IFERROR(INDEX('1.職能辭典'!$A:$A,MATCH(F1200,'1.職能辭典'!$C:$C,0)),""))</f>
        <v/>
      </c>
      <c r="F1200" s="94" t="n"/>
      <c r="G1200" s="120">
        <f t="array" ref="G1200:G1200">IF(OR(D1200="",F1200=""),"",IFERROR(IF(AND(OR(INDEX('1.職能辭典'!$J:$J,MATCH(F1200,'1.職能辭典'!$C:$C,0))="全部",INDEX('3.員工名單'!$H:$H,MATCH(A1200,'3.員工名單'!$A:$A,0))="兩款共用",INDEX('3.員工名單'!$H:$H,MATCH(A1200,'3.員工名單'!$A:$A,0))=INDEX('1.職能辭典'!$J:$J,MATCH(F1200,'1.職能辭典'!$C:$C,0))),OR(INDEX('1.職能辭典'!$K:$K,MATCH(F1200,'1.職能辭典'!$C:$C,0))="全部",SUMPRODUCT(ISNUMBER(SEARCH({"經營","管理","財務","企劃","營運","技術","數據","美術","測試","客服"},INDEX('3.員工名單'!$I:$I,MATCH(A1200,'3.員工名單'!$A:$A,0))))*ISNUMBER(SEARCH({"經營","管理","財務","企劃","營運","技術","數據","美術","測試","客服"},INDEX('1.職能辭典'!$K:$K,MATCH(F1200,'1.職能辭典'!$C:$C,0)))))&gt;0)),INDEX('2.職務職能需求'!$B$2:$F$28,MATCH(F1200,'2.職務職能需求'!$A$2:$A$28,0),MATCH(D1200,'2.職務職能需求'!$B$1:$F$1,0)),0),""))</f>
        <v/>
      </c>
      <c r="H1200" s="94" t="n"/>
      <c r="I1200" s="94" t="n"/>
      <c r="J1200" s="120">
        <f>IF(OR(G1200="",I1200="",G1200=0),"",I1200-G1200)</f>
        <v/>
      </c>
      <c r="K1200" s="120">
        <f>IF(G1200="","",IF(G1200=0,"不適用",IF(I1200="","待評核",IF(I1200&gt;=G1200,IF(I1200&gt;G1200,"超越","達標"),"待發展"))))</f>
        <v/>
      </c>
      <c r="L1200" s="91" t="n"/>
      <c r="M1200" s="91" t="n"/>
      <c r="N1200" s="88" t="n"/>
    </row>
    <row r="1201" ht="15.75" customHeight="1" s="64">
      <c r="A1201" s="88" t="n"/>
      <c r="B1201" s="120">
        <f t="array" ref="B1201:B1201">IF(A1201="","",IFERROR(INDEX('3.員工名單'!$B:$B,MATCH(A1201,'3.員工名單'!$A:$A,0)),"查無此員工"))</f>
        <v/>
      </c>
      <c r="C1201" s="120">
        <f t="array" ref="C1201:C1201">IF(A1201="","",IFERROR(INDEX('3.員工名單'!$C:$C,MATCH(A1201,'3.員工名單'!$A:$A,0)),""))</f>
        <v/>
      </c>
      <c r="D1201" s="120">
        <f t="array" ref="D1201:D1201">IF(A1201="","",IFERROR(INDEX('3.員工名單'!$D:$D,MATCH(A1201,'3.員工名單'!$A:$A,0)),""))</f>
        <v/>
      </c>
      <c r="E1201" s="120">
        <f t="array" ref="E1201:E1201">IF(F1201="","",IFERROR(INDEX('1.職能辭典'!$A:$A,MATCH(F1201,'1.職能辭典'!$C:$C,0)),""))</f>
        <v/>
      </c>
      <c r="F1201" s="94" t="n"/>
      <c r="G1201" s="120">
        <f t="array" ref="G1201:G1201">IF(OR(D1201="",F1201=""),"",IFERROR(IF(AND(OR(INDEX('1.職能辭典'!$J:$J,MATCH(F1201,'1.職能辭典'!$C:$C,0))="全部",INDEX('3.員工名單'!$H:$H,MATCH(A1201,'3.員工名單'!$A:$A,0))="兩款共用",INDEX('3.員工名單'!$H:$H,MATCH(A1201,'3.員工名單'!$A:$A,0))=INDEX('1.職能辭典'!$J:$J,MATCH(F1201,'1.職能辭典'!$C:$C,0))),OR(INDEX('1.職能辭典'!$K:$K,MATCH(F1201,'1.職能辭典'!$C:$C,0))="全部",SUMPRODUCT(ISNUMBER(SEARCH({"經營","管理","財務","企劃","營運","技術","數據","美術","測試","客服"},INDEX('3.員工名單'!$I:$I,MATCH(A1201,'3.員工名單'!$A:$A,0))))*ISNUMBER(SEARCH({"經營","管理","財務","企劃","營運","技術","數據","美術","測試","客服"},INDEX('1.職能辭典'!$K:$K,MATCH(F1201,'1.職能辭典'!$C:$C,0)))))&gt;0)),INDEX('2.職務職能需求'!$B$2:$F$28,MATCH(F1201,'2.職務職能需求'!$A$2:$A$28,0),MATCH(D1201,'2.職務職能需求'!$B$1:$F$1,0)),0),""))</f>
        <v/>
      </c>
      <c r="H1201" s="94" t="n"/>
      <c r="I1201" s="94" t="n"/>
      <c r="J1201" s="120">
        <f>IF(OR(G1201="",I1201="",G1201=0),"",I1201-G1201)</f>
        <v/>
      </c>
      <c r="K1201" s="120">
        <f>IF(G1201="","",IF(G1201=0,"不適用",IF(I1201="","待評核",IF(I1201&gt;=G1201,IF(I1201&gt;G1201,"超越","達標"),"待發展"))))</f>
        <v/>
      </c>
      <c r="L1201" s="91" t="n"/>
      <c r="M1201" s="91" t="n"/>
      <c r="N1201" s="88" t="n"/>
    </row>
    <row r="1202" ht="15.75" customHeight="1" s="64">
      <c r="A1202" s="88" t="n"/>
      <c r="B1202" s="120">
        <f t="array" ref="B1202:B1202">IF(A1202="","",IFERROR(INDEX('3.員工名單'!$B:$B,MATCH(A1202,'3.員工名單'!$A:$A,0)),"查無此員工"))</f>
        <v/>
      </c>
      <c r="C1202" s="120">
        <f t="array" ref="C1202:C1202">IF(A1202="","",IFERROR(INDEX('3.員工名單'!$C:$C,MATCH(A1202,'3.員工名單'!$A:$A,0)),""))</f>
        <v/>
      </c>
      <c r="D1202" s="120">
        <f t="array" ref="D1202:D1202">IF(A1202="","",IFERROR(INDEX('3.員工名單'!$D:$D,MATCH(A1202,'3.員工名單'!$A:$A,0)),""))</f>
        <v/>
      </c>
      <c r="E1202" s="120">
        <f t="array" ref="E1202:E1202">IF(F1202="","",IFERROR(INDEX('1.職能辭典'!$A:$A,MATCH(F1202,'1.職能辭典'!$C:$C,0)),""))</f>
        <v/>
      </c>
      <c r="F1202" s="94" t="n"/>
      <c r="G1202" s="120">
        <f t="array" ref="G1202:G1202">IF(OR(D1202="",F1202=""),"",IFERROR(IF(AND(OR(INDEX('1.職能辭典'!$J:$J,MATCH(F1202,'1.職能辭典'!$C:$C,0))="全部",INDEX('3.員工名單'!$H:$H,MATCH(A1202,'3.員工名單'!$A:$A,0))="兩款共用",INDEX('3.員工名單'!$H:$H,MATCH(A1202,'3.員工名單'!$A:$A,0))=INDEX('1.職能辭典'!$J:$J,MATCH(F1202,'1.職能辭典'!$C:$C,0))),OR(INDEX('1.職能辭典'!$K:$K,MATCH(F1202,'1.職能辭典'!$C:$C,0))="全部",SUMPRODUCT(ISNUMBER(SEARCH({"經營","管理","財務","企劃","營運","技術","數據","美術","測試","客服"},INDEX('3.員工名單'!$I:$I,MATCH(A1202,'3.員工名單'!$A:$A,0))))*ISNUMBER(SEARCH({"經營","管理","財務","企劃","營運","技術","數據","美術","測試","客服"},INDEX('1.職能辭典'!$K:$K,MATCH(F1202,'1.職能辭典'!$C:$C,0)))))&gt;0)),INDEX('2.職務職能需求'!$B$2:$F$28,MATCH(F1202,'2.職務職能需求'!$A$2:$A$28,0),MATCH(D1202,'2.職務職能需求'!$B$1:$F$1,0)),0),""))</f>
        <v/>
      </c>
      <c r="H1202" s="94" t="n"/>
      <c r="I1202" s="94" t="n"/>
      <c r="J1202" s="120">
        <f>IF(OR(G1202="",I1202="",G1202=0),"",I1202-G1202)</f>
        <v/>
      </c>
      <c r="K1202" s="120">
        <f>IF(G1202="","",IF(G1202=0,"不適用",IF(I1202="","待評核",IF(I1202&gt;=G1202,IF(I1202&gt;G1202,"超越","達標"),"待發展"))))</f>
        <v/>
      </c>
      <c r="L1202" s="91" t="n"/>
      <c r="M1202" s="91" t="n"/>
      <c r="N1202" s="88" t="n"/>
    </row>
    <row r="1203" ht="15.75" customHeight="1" s="64">
      <c r="A1203" s="88" t="n"/>
      <c r="B1203" s="120">
        <f t="array" ref="B1203:B1203">IF(A1203="","",IFERROR(INDEX('3.員工名單'!$B:$B,MATCH(A1203,'3.員工名單'!$A:$A,0)),"查無此員工"))</f>
        <v/>
      </c>
      <c r="C1203" s="120">
        <f t="array" ref="C1203:C1203">IF(A1203="","",IFERROR(INDEX('3.員工名單'!$C:$C,MATCH(A1203,'3.員工名單'!$A:$A,0)),""))</f>
        <v/>
      </c>
      <c r="D1203" s="120">
        <f t="array" ref="D1203:D1203">IF(A1203="","",IFERROR(INDEX('3.員工名單'!$D:$D,MATCH(A1203,'3.員工名單'!$A:$A,0)),""))</f>
        <v/>
      </c>
      <c r="E1203" s="120">
        <f t="array" ref="E1203:E1203">IF(F1203="","",IFERROR(INDEX('1.職能辭典'!$A:$A,MATCH(F1203,'1.職能辭典'!$C:$C,0)),""))</f>
        <v/>
      </c>
      <c r="F1203" s="94" t="n"/>
      <c r="G1203" s="120">
        <f t="array" ref="G1203:G1203">IF(OR(D1203="",F1203=""),"",IFERROR(IF(AND(OR(INDEX('1.職能辭典'!$J:$J,MATCH(F1203,'1.職能辭典'!$C:$C,0))="全部",INDEX('3.員工名單'!$H:$H,MATCH(A1203,'3.員工名單'!$A:$A,0))="兩款共用",INDEX('3.員工名單'!$H:$H,MATCH(A1203,'3.員工名單'!$A:$A,0))=INDEX('1.職能辭典'!$J:$J,MATCH(F1203,'1.職能辭典'!$C:$C,0))),OR(INDEX('1.職能辭典'!$K:$K,MATCH(F1203,'1.職能辭典'!$C:$C,0))="全部",SUMPRODUCT(ISNUMBER(SEARCH({"經營","管理","財務","企劃","營運","技術","數據","美術","測試","客服"},INDEX('3.員工名單'!$I:$I,MATCH(A1203,'3.員工名單'!$A:$A,0))))*ISNUMBER(SEARCH({"經營","管理","財務","企劃","營運","技術","數據","美術","測試","客服"},INDEX('1.職能辭典'!$K:$K,MATCH(F1203,'1.職能辭典'!$C:$C,0)))))&gt;0)),INDEX('2.職務職能需求'!$B$2:$F$28,MATCH(F1203,'2.職務職能需求'!$A$2:$A$28,0),MATCH(D1203,'2.職務職能需求'!$B$1:$F$1,0)),0),""))</f>
        <v/>
      </c>
      <c r="H1203" s="94" t="n"/>
      <c r="I1203" s="94" t="n"/>
      <c r="J1203" s="120">
        <f>IF(OR(G1203="",I1203="",G1203=0),"",I1203-G1203)</f>
        <v/>
      </c>
      <c r="K1203" s="120">
        <f>IF(G1203="","",IF(G1203=0,"不適用",IF(I1203="","待評核",IF(I1203&gt;=G1203,IF(I1203&gt;G1203,"超越","達標"),"待發展"))))</f>
        <v/>
      </c>
      <c r="L1203" s="91" t="n"/>
      <c r="M1203" s="91" t="n"/>
      <c r="N1203" s="88" t="n"/>
    </row>
    <row r="1204" ht="15.75" customHeight="1" s="64">
      <c r="A1204" s="88" t="n"/>
      <c r="B1204" s="120">
        <f t="array" ref="B1204:B1204">IF(A1204="","",IFERROR(INDEX('3.員工名單'!$B:$B,MATCH(A1204,'3.員工名單'!$A:$A,0)),"查無此員工"))</f>
        <v/>
      </c>
      <c r="C1204" s="120">
        <f t="array" ref="C1204:C1204">IF(A1204="","",IFERROR(INDEX('3.員工名單'!$C:$C,MATCH(A1204,'3.員工名單'!$A:$A,0)),""))</f>
        <v/>
      </c>
      <c r="D1204" s="120">
        <f t="array" ref="D1204:D1204">IF(A1204="","",IFERROR(INDEX('3.員工名單'!$D:$D,MATCH(A1204,'3.員工名單'!$A:$A,0)),""))</f>
        <v/>
      </c>
      <c r="E1204" s="120">
        <f t="array" ref="E1204:E1204">IF(F1204="","",IFERROR(INDEX('1.職能辭典'!$A:$A,MATCH(F1204,'1.職能辭典'!$C:$C,0)),""))</f>
        <v/>
      </c>
      <c r="F1204" s="94" t="n"/>
      <c r="G1204" s="120">
        <f t="array" ref="G1204:G1204">IF(OR(D1204="",F1204=""),"",IFERROR(IF(AND(OR(INDEX('1.職能辭典'!$J:$J,MATCH(F1204,'1.職能辭典'!$C:$C,0))="全部",INDEX('3.員工名單'!$H:$H,MATCH(A1204,'3.員工名單'!$A:$A,0))="兩款共用",INDEX('3.員工名單'!$H:$H,MATCH(A1204,'3.員工名單'!$A:$A,0))=INDEX('1.職能辭典'!$J:$J,MATCH(F1204,'1.職能辭典'!$C:$C,0))),OR(INDEX('1.職能辭典'!$K:$K,MATCH(F1204,'1.職能辭典'!$C:$C,0))="全部",SUMPRODUCT(ISNUMBER(SEARCH({"經營","管理","財務","企劃","營運","技術","數據","美術","測試","客服"},INDEX('3.員工名單'!$I:$I,MATCH(A1204,'3.員工名單'!$A:$A,0))))*ISNUMBER(SEARCH({"經營","管理","財務","企劃","營運","技術","數據","美術","測試","客服"},INDEX('1.職能辭典'!$K:$K,MATCH(F1204,'1.職能辭典'!$C:$C,0)))))&gt;0)),INDEX('2.職務職能需求'!$B$2:$F$28,MATCH(F1204,'2.職務職能需求'!$A$2:$A$28,0),MATCH(D1204,'2.職務職能需求'!$B$1:$F$1,0)),0),""))</f>
        <v/>
      </c>
      <c r="H1204" s="94" t="n"/>
      <c r="I1204" s="94" t="n"/>
      <c r="J1204" s="120">
        <f>IF(OR(G1204="",I1204="",G1204=0),"",I1204-G1204)</f>
        <v/>
      </c>
      <c r="K1204" s="120">
        <f>IF(G1204="","",IF(G1204=0,"不適用",IF(I1204="","待評核",IF(I1204&gt;=G1204,IF(I1204&gt;G1204,"超越","達標"),"待發展"))))</f>
        <v/>
      </c>
      <c r="L1204" s="91" t="n"/>
      <c r="M1204" s="91" t="n"/>
      <c r="N1204" s="88" t="n"/>
    </row>
    <row r="1205" ht="15.75" customHeight="1" s="64">
      <c r="A1205" s="88" t="n"/>
      <c r="B1205" s="120">
        <f t="array" ref="B1205:B1205">IF(A1205="","",IFERROR(INDEX('3.員工名單'!$B:$B,MATCH(A1205,'3.員工名單'!$A:$A,0)),"查無此員工"))</f>
        <v/>
      </c>
      <c r="C1205" s="120">
        <f t="array" ref="C1205:C1205">IF(A1205="","",IFERROR(INDEX('3.員工名單'!$C:$C,MATCH(A1205,'3.員工名單'!$A:$A,0)),""))</f>
        <v/>
      </c>
      <c r="D1205" s="120">
        <f t="array" ref="D1205:D1205">IF(A1205="","",IFERROR(INDEX('3.員工名單'!$D:$D,MATCH(A1205,'3.員工名單'!$A:$A,0)),""))</f>
        <v/>
      </c>
      <c r="E1205" s="120">
        <f t="array" ref="E1205:E1205">IF(F1205="","",IFERROR(INDEX('1.職能辭典'!$A:$A,MATCH(F1205,'1.職能辭典'!$C:$C,0)),""))</f>
        <v/>
      </c>
      <c r="F1205" s="94" t="n"/>
      <c r="G1205" s="120">
        <f t="array" ref="G1205:G1205">IF(OR(D1205="",F1205=""),"",IFERROR(IF(AND(OR(INDEX('1.職能辭典'!$J:$J,MATCH(F1205,'1.職能辭典'!$C:$C,0))="全部",INDEX('3.員工名單'!$H:$H,MATCH(A1205,'3.員工名單'!$A:$A,0))="兩款共用",INDEX('3.員工名單'!$H:$H,MATCH(A1205,'3.員工名單'!$A:$A,0))=INDEX('1.職能辭典'!$J:$J,MATCH(F1205,'1.職能辭典'!$C:$C,0))),OR(INDEX('1.職能辭典'!$K:$K,MATCH(F1205,'1.職能辭典'!$C:$C,0))="全部",SUMPRODUCT(ISNUMBER(SEARCH({"經營","管理","財務","企劃","營運","技術","數據","美術","測試","客服"},INDEX('3.員工名單'!$I:$I,MATCH(A1205,'3.員工名單'!$A:$A,0))))*ISNUMBER(SEARCH({"經營","管理","財務","企劃","營運","技術","數據","美術","測試","客服"},INDEX('1.職能辭典'!$K:$K,MATCH(F1205,'1.職能辭典'!$C:$C,0)))))&gt;0)),INDEX('2.職務職能需求'!$B$2:$F$28,MATCH(F1205,'2.職務職能需求'!$A$2:$A$28,0),MATCH(D1205,'2.職務職能需求'!$B$1:$F$1,0)),0),""))</f>
        <v/>
      </c>
      <c r="H1205" s="94" t="n"/>
      <c r="I1205" s="94" t="n"/>
      <c r="J1205" s="120">
        <f>IF(OR(G1205="",I1205="",G1205=0),"",I1205-G1205)</f>
        <v/>
      </c>
      <c r="K1205" s="120">
        <f>IF(G1205="","",IF(G1205=0,"不適用",IF(I1205="","待評核",IF(I1205&gt;=G1205,IF(I1205&gt;G1205,"超越","達標"),"待發展"))))</f>
        <v/>
      </c>
      <c r="L1205" s="91" t="n"/>
      <c r="M1205" s="91" t="n"/>
      <c r="N1205" s="88" t="n"/>
    </row>
    <row r="1206" ht="15.75" customHeight="1" s="64">
      <c r="A1206" s="88" t="n"/>
      <c r="B1206" s="120">
        <f t="array" ref="B1206:B1206">IF(A1206="","",IFERROR(INDEX('3.員工名單'!$B:$B,MATCH(A1206,'3.員工名單'!$A:$A,0)),"查無此員工"))</f>
        <v/>
      </c>
      <c r="C1206" s="120">
        <f t="array" ref="C1206:C1206">IF(A1206="","",IFERROR(INDEX('3.員工名單'!$C:$C,MATCH(A1206,'3.員工名單'!$A:$A,0)),""))</f>
        <v/>
      </c>
      <c r="D1206" s="120">
        <f t="array" ref="D1206:D1206">IF(A1206="","",IFERROR(INDEX('3.員工名單'!$D:$D,MATCH(A1206,'3.員工名單'!$A:$A,0)),""))</f>
        <v/>
      </c>
      <c r="E1206" s="120">
        <f t="array" ref="E1206:E1206">IF(F1206="","",IFERROR(INDEX('1.職能辭典'!$A:$A,MATCH(F1206,'1.職能辭典'!$C:$C,0)),""))</f>
        <v/>
      </c>
      <c r="F1206" s="94" t="n"/>
      <c r="G1206" s="120">
        <f t="array" ref="G1206:G1206">IF(OR(D1206="",F1206=""),"",IFERROR(IF(AND(OR(INDEX('1.職能辭典'!$J:$J,MATCH(F1206,'1.職能辭典'!$C:$C,0))="全部",INDEX('3.員工名單'!$H:$H,MATCH(A1206,'3.員工名單'!$A:$A,0))="兩款共用",INDEX('3.員工名單'!$H:$H,MATCH(A1206,'3.員工名單'!$A:$A,0))=INDEX('1.職能辭典'!$J:$J,MATCH(F1206,'1.職能辭典'!$C:$C,0))),OR(INDEX('1.職能辭典'!$K:$K,MATCH(F1206,'1.職能辭典'!$C:$C,0))="全部",SUMPRODUCT(ISNUMBER(SEARCH({"經營","管理","財務","企劃","營運","技術","數據","美術","測試","客服"},INDEX('3.員工名單'!$I:$I,MATCH(A1206,'3.員工名單'!$A:$A,0))))*ISNUMBER(SEARCH({"經營","管理","財務","企劃","營運","技術","數據","美術","測試","客服"},INDEX('1.職能辭典'!$K:$K,MATCH(F1206,'1.職能辭典'!$C:$C,0)))))&gt;0)),INDEX('2.職務職能需求'!$B$2:$F$28,MATCH(F1206,'2.職務職能需求'!$A$2:$A$28,0),MATCH(D1206,'2.職務職能需求'!$B$1:$F$1,0)),0),""))</f>
        <v/>
      </c>
      <c r="H1206" s="94" t="n"/>
      <c r="I1206" s="94" t="n"/>
      <c r="J1206" s="120">
        <f>IF(OR(G1206="",I1206="",G1206=0),"",I1206-G1206)</f>
        <v/>
      </c>
      <c r="K1206" s="120">
        <f>IF(G1206="","",IF(G1206=0,"不適用",IF(I1206="","待評核",IF(I1206&gt;=G1206,IF(I1206&gt;G1206,"超越","達標"),"待發展"))))</f>
        <v/>
      </c>
      <c r="L1206" s="91" t="n"/>
      <c r="M1206" s="91" t="n"/>
      <c r="N1206" s="88" t="n"/>
    </row>
    <row r="1207" ht="15.75" customHeight="1" s="64">
      <c r="A1207" s="88" t="n"/>
      <c r="B1207" s="120">
        <f t="array" ref="B1207:B1207">IF(A1207="","",IFERROR(INDEX('3.員工名單'!$B:$B,MATCH(A1207,'3.員工名單'!$A:$A,0)),"查無此員工"))</f>
        <v/>
      </c>
      <c r="C1207" s="120">
        <f t="array" ref="C1207:C1207">IF(A1207="","",IFERROR(INDEX('3.員工名單'!$C:$C,MATCH(A1207,'3.員工名單'!$A:$A,0)),""))</f>
        <v/>
      </c>
      <c r="D1207" s="120">
        <f t="array" ref="D1207:D1207">IF(A1207="","",IFERROR(INDEX('3.員工名單'!$D:$D,MATCH(A1207,'3.員工名單'!$A:$A,0)),""))</f>
        <v/>
      </c>
      <c r="E1207" s="120">
        <f t="array" ref="E1207:E1207">IF(F1207="","",IFERROR(INDEX('1.職能辭典'!$A:$A,MATCH(F1207,'1.職能辭典'!$C:$C,0)),""))</f>
        <v/>
      </c>
      <c r="F1207" s="94" t="n"/>
      <c r="G1207" s="120">
        <f t="array" ref="G1207:G1207">IF(OR(D1207="",F1207=""),"",IFERROR(IF(AND(OR(INDEX('1.職能辭典'!$J:$J,MATCH(F1207,'1.職能辭典'!$C:$C,0))="全部",INDEX('3.員工名單'!$H:$H,MATCH(A1207,'3.員工名單'!$A:$A,0))="兩款共用",INDEX('3.員工名單'!$H:$H,MATCH(A1207,'3.員工名單'!$A:$A,0))=INDEX('1.職能辭典'!$J:$J,MATCH(F1207,'1.職能辭典'!$C:$C,0))),OR(INDEX('1.職能辭典'!$K:$K,MATCH(F1207,'1.職能辭典'!$C:$C,0))="全部",SUMPRODUCT(ISNUMBER(SEARCH({"經營","管理","財務","企劃","營運","技術","數據","美術","測試","客服"},INDEX('3.員工名單'!$I:$I,MATCH(A1207,'3.員工名單'!$A:$A,0))))*ISNUMBER(SEARCH({"經營","管理","財務","企劃","營運","技術","數據","美術","測試","客服"},INDEX('1.職能辭典'!$K:$K,MATCH(F1207,'1.職能辭典'!$C:$C,0)))))&gt;0)),INDEX('2.職務職能需求'!$B$2:$F$28,MATCH(F1207,'2.職務職能需求'!$A$2:$A$28,0),MATCH(D1207,'2.職務職能需求'!$B$1:$F$1,0)),0),""))</f>
        <v/>
      </c>
      <c r="H1207" s="94" t="n"/>
      <c r="I1207" s="94" t="n"/>
      <c r="J1207" s="120">
        <f>IF(OR(G1207="",I1207="",G1207=0),"",I1207-G1207)</f>
        <v/>
      </c>
      <c r="K1207" s="120">
        <f>IF(G1207="","",IF(G1207=0,"不適用",IF(I1207="","待評核",IF(I1207&gt;=G1207,IF(I1207&gt;G1207,"超越","達標"),"待發展"))))</f>
        <v/>
      </c>
      <c r="L1207" s="91" t="n"/>
      <c r="M1207" s="91" t="n"/>
      <c r="N1207" s="88" t="n"/>
    </row>
    <row r="1208" ht="15.75" customHeight="1" s="64">
      <c r="A1208" s="88" t="n"/>
      <c r="B1208" s="120">
        <f t="array" ref="B1208:B1208">IF(A1208="","",IFERROR(INDEX('3.員工名單'!$B:$B,MATCH(A1208,'3.員工名單'!$A:$A,0)),"查無此員工"))</f>
        <v/>
      </c>
      <c r="C1208" s="120">
        <f t="array" ref="C1208:C1208">IF(A1208="","",IFERROR(INDEX('3.員工名單'!$C:$C,MATCH(A1208,'3.員工名單'!$A:$A,0)),""))</f>
        <v/>
      </c>
      <c r="D1208" s="120">
        <f t="array" ref="D1208:D1208">IF(A1208="","",IFERROR(INDEX('3.員工名單'!$D:$D,MATCH(A1208,'3.員工名單'!$A:$A,0)),""))</f>
        <v/>
      </c>
      <c r="E1208" s="120">
        <f t="array" ref="E1208:E1208">IF(F1208="","",IFERROR(INDEX('1.職能辭典'!$A:$A,MATCH(F1208,'1.職能辭典'!$C:$C,0)),""))</f>
        <v/>
      </c>
      <c r="F1208" s="94" t="n"/>
      <c r="G1208" s="120">
        <f t="array" ref="G1208:G1208">IF(OR(D1208="",F1208=""),"",IFERROR(IF(AND(OR(INDEX('1.職能辭典'!$J:$J,MATCH(F1208,'1.職能辭典'!$C:$C,0))="全部",INDEX('3.員工名單'!$H:$H,MATCH(A1208,'3.員工名單'!$A:$A,0))="兩款共用",INDEX('3.員工名單'!$H:$H,MATCH(A1208,'3.員工名單'!$A:$A,0))=INDEX('1.職能辭典'!$J:$J,MATCH(F1208,'1.職能辭典'!$C:$C,0))),OR(INDEX('1.職能辭典'!$K:$K,MATCH(F1208,'1.職能辭典'!$C:$C,0))="全部",SUMPRODUCT(ISNUMBER(SEARCH({"經營","管理","財務","企劃","營運","技術","數據","美術","測試","客服"},INDEX('3.員工名單'!$I:$I,MATCH(A1208,'3.員工名單'!$A:$A,0))))*ISNUMBER(SEARCH({"經營","管理","財務","企劃","營運","技術","數據","美術","測試","客服"},INDEX('1.職能辭典'!$K:$K,MATCH(F1208,'1.職能辭典'!$C:$C,0)))))&gt;0)),INDEX('2.職務職能需求'!$B$2:$F$28,MATCH(F1208,'2.職務職能需求'!$A$2:$A$28,0),MATCH(D1208,'2.職務職能需求'!$B$1:$F$1,0)),0),""))</f>
        <v/>
      </c>
      <c r="H1208" s="94" t="n"/>
      <c r="I1208" s="94" t="n"/>
      <c r="J1208" s="120">
        <f>IF(OR(G1208="",I1208="",G1208=0),"",I1208-G1208)</f>
        <v/>
      </c>
      <c r="K1208" s="120">
        <f>IF(G1208="","",IF(G1208=0,"不適用",IF(I1208="","待評核",IF(I1208&gt;=G1208,IF(I1208&gt;G1208,"超越","達標"),"待發展"))))</f>
        <v/>
      </c>
      <c r="L1208" s="91" t="n"/>
      <c r="M1208" s="91" t="n"/>
      <c r="N1208" s="88" t="n"/>
    </row>
    <row r="1209" ht="15.75" customHeight="1" s="64">
      <c r="A1209" s="88" t="n"/>
      <c r="B1209" s="120">
        <f t="array" ref="B1209:B1209">IF(A1209="","",IFERROR(INDEX('3.員工名單'!$B:$B,MATCH(A1209,'3.員工名單'!$A:$A,0)),"查無此員工"))</f>
        <v/>
      </c>
      <c r="C1209" s="120">
        <f t="array" ref="C1209:C1209">IF(A1209="","",IFERROR(INDEX('3.員工名單'!$C:$C,MATCH(A1209,'3.員工名單'!$A:$A,0)),""))</f>
        <v/>
      </c>
      <c r="D1209" s="120">
        <f t="array" ref="D1209:D1209">IF(A1209="","",IFERROR(INDEX('3.員工名單'!$D:$D,MATCH(A1209,'3.員工名單'!$A:$A,0)),""))</f>
        <v/>
      </c>
      <c r="E1209" s="120">
        <f t="array" ref="E1209:E1209">IF(F1209="","",IFERROR(INDEX('1.職能辭典'!$A:$A,MATCH(F1209,'1.職能辭典'!$C:$C,0)),""))</f>
        <v/>
      </c>
      <c r="F1209" s="94" t="n"/>
      <c r="G1209" s="120">
        <f t="array" ref="G1209:G1209">IF(OR(D1209="",F1209=""),"",IFERROR(IF(AND(OR(INDEX('1.職能辭典'!$J:$J,MATCH(F1209,'1.職能辭典'!$C:$C,0))="全部",INDEX('3.員工名單'!$H:$H,MATCH(A1209,'3.員工名單'!$A:$A,0))="兩款共用",INDEX('3.員工名單'!$H:$H,MATCH(A1209,'3.員工名單'!$A:$A,0))=INDEX('1.職能辭典'!$J:$J,MATCH(F1209,'1.職能辭典'!$C:$C,0))),OR(INDEX('1.職能辭典'!$K:$K,MATCH(F1209,'1.職能辭典'!$C:$C,0))="全部",SUMPRODUCT(ISNUMBER(SEARCH({"經營","管理","財務","企劃","營運","技術","數據","美術","測試","客服"},INDEX('3.員工名單'!$I:$I,MATCH(A1209,'3.員工名單'!$A:$A,0))))*ISNUMBER(SEARCH({"經營","管理","財務","企劃","營運","技術","數據","美術","測試","客服"},INDEX('1.職能辭典'!$K:$K,MATCH(F1209,'1.職能辭典'!$C:$C,0)))))&gt;0)),INDEX('2.職務職能需求'!$B$2:$F$28,MATCH(F1209,'2.職務職能需求'!$A$2:$A$28,0),MATCH(D1209,'2.職務職能需求'!$B$1:$F$1,0)),0),""))</f>
        <v/>
      </c>
      <c r="H1209" s="94" t="n"/>
      <c r="I1209" s="94" t="n"/>
      <c r="J1209" s="120">
        <f>IF(OR(G1209="",I1209="",G1209=0),"",I1209-G1209)</f>
        <v/>
      </c>
      <c r="K1209" s="120">
        <f>IF(G1209="","",IF(G1209=0,"不適用",IF(I1209="","待評核",IF(I1209&gt;=G1209,IF(I1209&gt;G1209,"超越","達標"),"待發展"))))</f>
        <v/>
      </c>
      <c r="L1209" s="91" t="n"/>
      <c r="M1209" s="91" t="n"/>
      <c r="N1209" s="88" t="n"/>
    </row>
    <row r="1210" ht="15.75" customHeight="1" s="64">
      <c r="A1210" s="88" t="n"/>
      <c r="B1210" s="120">
        <f t="array" ref="B1210:B1210">IF(A1210="","",IFERROR(INDEX('3.員工名單'!$B:$B,MATCH(A1210,'3.員工名單'!$A:$A,0)),"查無此員工"))</f>
        <v/>
      </c>
      <c r="C1210" s="120">
        <f t="array" ref="C1210:C1210">IF(A1210="","",IFERROR(INDEX('3.員工名單'!$C:$C,MATCH(A1210,'3.員工名單'!$A:$A,0)),""))</f>
        <v/>
      </c>
      <c r="D1210" s="120">
        <f t="array" ref="D1210:D1210">IF(A1210="","",IFERROR(INDEX('3.員工名單'!$D:$D,MATCH(A1210,'3.員工名單'!$A:$A,0)),""))</f>
        <v/>
      </c>
      <c r="E1210" s="120">
        <f t="array" ref="E1210:E1210">IF(F1210="","",IFERROR(INDEX('1.職能辭典'!$A:$A,MATCH(F1210,'1.職能辭典'!$C:$C,0)),""))</f>
        <v/>
      </c>
      <c r="F1210" s="94" t="n"/>
      <c r="G1210" s="120">
        <f t="array" ref="G1210:G1210">IF(OR(D1210="",F1210=""),"",IFERROR(IF(AND(OR(INDEX('1.職能辭典'!$J:$J,MATCH(F1210,'1.職能辭典'!$C:$C,0))="全部",INDEX('3.員工名單'!$H:$H,MATCH(A1210,'3.員工名單'!$A:$A,0))="兩款共用",INDEX('3.員工名單'!$H:$H,MATCH(A1210,'3.員工名單'!$A:$A,0))=INDEX('1.職能辭典'!$J:$J,MATCH(F1210,'1.職能辭典'!$C:$C,0))),OR(INDEX('1.職能辭典'!$K:$K,MATCH(F1210,'1.職能辭典'!$C:$C,0))="全部",SUMPRODUCT(ISNUMBER(SEARCH({"經營","管理","財務","企劃","營運","技術","數據","美術","測試","客服"},INDEX('3.員工名單'!$I:$I,MATCH(A1210,'3.員工名單'!$A:$A,0))))*ISNUMBER(SEARCH({"經營","管理","財務","企劃","營運","技術","數據","美術","測試","客服"},INDEX('1.職能辭典'!$K:$K,MATCH(F1210,'1.職能辭典'!$C:$C,0)))))&gt;0)),INDEX('2.職務職能需求'!$B$2:$F$28,MATCH(F1210,'2.職務職能需求'!$A$2:$A$28,0),MATCH(D1210,'2.職務職能需求'!$B$1:$F$1,0)),0),""))</f>
        <v/>
      </c>
      <c r="H1210" s="94" t="n"/>
      <c r="I1210" s="94" t="n"/>
      <c r="J1210" s="120">
        <f>IF(OR(G1210="",I1210="",G1210=0),"",I1210-G1210)</f>
        <v/>
      </c>
      <c r="K1210" s="120">
        <f>IF(G1210="","",IF(G1210=0,"不適用",IF(I1210="","待評核",IF(I1210&gt;=G1210,IF(I1210&gt;G1210,"超越","達標"),"待發展"))))</f>
        <v/>
      </c>
      <c r="L1210" s="91" t="n"/>
      <c r="M1210" s="91" t="n"/>
      <c r="N1210" s="88" t="n"/>
    </row>
    <row r="1211" ht="15.75" customHeight="1" s="64">
      <c r="A1211" s="88" t="n"/>
      <c r="B1211" s="120">
        <f t="array" ref="B1211:B1211">IF(A1211="","",IFERROR(INDEX('3.員工名單'!$B:$B,MATCH(A1211,'3.員工名單'!$A:$A,0)),"查無此員工"))</f>
        <v/>
      </c>
      <c r="C1211" s="120">
        <f t="array" ref="C1211:C1211">IF(A1211="","",IFERROR(INDEX('3.員工名單'!$C:$C,MATCH(A1211,'3.員工名單'!$A:$A,0)),""))</f>
        <v/>
      </c>
      <c r="D1211" s="120">
        <f t="array" ref="D1211:D1211">IF(A1211="","",IFERROR(INDEX('3.員工名單'!$D:$D,MATCH(A1211,'3.員工名單'!$A:$A,0)),""))</f>
        <v/>
      </c>
      <c r="E1211" s="120">
        <f t="array" ref="E1211:E1211">IF(F1211="","",IFERROR(INDEX('1.職能辭典'!$A:$A,MATCH(F1211,'1.職能辭典'!$C:$C,0)),""))</f>
        <v/>
      </c>
      <c r="F1211" s="94" t="n"/>
      <c r="G1211" s="120">
        <f t="array" ref="G1211:G1211">IF(OR(D1211="",F1211=""),"",IFERROR(IF(AND(OR(INDEX('1.職能辭典'!$J:$J,MATCH(F1211,'1.職能辭典'!$C:$C,0))="全部",INDEX('3.員工名單'!$H:$H,MATCH(A1211,'3.員工名單'!$A:$A,0))="兩款共用",INDEX('3.員工名單'!$H:$H,MATCH(A1211,'3.員工名單'!$A:$A,0))=INDEX('1.職能辭典'!$J:$J,MATCH(F1211,'1.職能辭典'!$C:$C,0))),OR(INDEX('1.職能辭典'!$K:$K,MATCH(F1211,'1.職能辭典'!$C:$C,0))="全部",SUMPRODUCT(ISNUMBER(SEARCH({"經營","管理","財務","企劃","營運","技術","數據","美術","測試","客服"},INDEX('3.員工名單'!$I:$I,MATCH(A1211,'3.員工名單'!$A:$A,0))))*ISNUMBER(SEARCH({"經營","管理","財務","企劃","營運","技術","數據","美術","測試","客服"},INDEX('1.職能辭典'!$K:$K,MATCH(F1211,'1.職能辭典'!$C:$C,0)))))&gt;0)),INDEX('2.職務職能需求'!$B$2:$F$28,MATCH(F1211,'2.職務職能需求'!$A$2:$A$28,0),MATCH(D1211,'2.職務職能需求'!$B$1:$F$1,0)),0),""))</f>
        <v/>
      </c>
      <c r="H1211" s="94" t="n"/>
      <c r="I1211" s="94" t="n"/>
      <c r="J1211" s="120">
        <f>IF(OR(G1211="",I1211="",G1211=0),"",I1211-G1211)</f>
        <v/>
      </c>
      <c r="K1211" s="120">
        <f>IF(G1211="","",IF(G1211=0,"不適用",IF(I1211="","待評核",IF(I1211&gt;=G1211,IF(I1211&gt;G1211,"超越","達標"),"待發展"))))</f>
        <v/>
      </c>
      <c r="L1211" s="91" t="n"/>
      <c r="M1211" s="91" t="n"/>
      <c r="N1211" s="88" t="n"/>
    </row>
    <row r="1212" ht="15.75" customHeight="1" s="64">
      <c r="A1212" s="88" t="n"/>
      <c r="B1212" s="120">
        <f t="array" ref="B1212:B1212">IF(A1212="","",IFERROR(INDEX('3.員工名單'!$B:$B,MATCH(A1212,'3.員工名單'!$A:$A,0)),"查無此員工"))</f>
        <v/>
      </c>
      <c r="C1212" s="120">
        <f t="array" ref="C1212:C1212">IF(A1212="","",IFERROR(INDEX('3.員工名單'!$C:$C,MATCH(A1212,'3.員工名單'!$A:$A,0)),""))</f>
        <v/>
      </c>
      <c r="D1212" s="120">
        <f t="array" ref="D1212:D1212">IF(A1212="","",IFERROR(INDEX('3.員工名單'!$D:$D,MATCH(A1212,'3.員工名單'!$A:$A,0)),""))</f>
        <v/>
      </c>
      <c r="E1212" s="120">
        <f t="array" ref="E1212:E1212">IF(F1212="","",IFERROR(INDEX('1.職能辭典'!$A:$A,MATCH(F1212,'1.職能辭典'!$C:$C,0)),""))</f>
        <v/>
      </c>
      <c r="F1212" s="94" t="n"/>
      <c r="G1212" s="120">
        <f t="array" ref="G1212:G1212">IF(OR(D1212="",F1212=""),"",IFERROR(IF(AND(OR(INDEX('1.職能辭典'!$J:$J,MATCH(F1212,'1.職能辭典'!$C:$C,0))="全部",INDEX('3.員工名單'!$H:$H,MATCH(A1212,'3.員工名單'!$A:$A,0))="兩款共用",INDEX('3.員工名單'!$H:$H,MATCH(A1212,'3.員工名單'!$A:$A,0))=INDEX('1.職能辭典'!$J:$J,MATCH(F1212,'1.職能辭典'!$C:$C,0))),OR(INDEX('1.職能辭典'!$K:$K,MATCH(F1212,'1.職能辭典'!$C:$C,0))="全部",SUMPRODUCT(ISNUMBER(SEARCH({"經營","管理","財務","企劃","營運","技術","數據","美術","測試","客服"},INDEX('3.員工名單'!$I:$I,MATCH(A1212,'3.員工名單'!$A:$A,0))))*ISNUMBER(SEARCH({"經營","管理","財務","企劃","營運","技術","數據","美術","測試","客服"},INDEX('1.職能辭典'!$K:$K,MATCH(F1212,'1.職能辭典'!$C:$C,0)))))&gt;0)),INDEX('2.職務職能需求'!$B$2:$F$28,MATCH(F1212,'2.職務職能需求'!$A$2:$A$28,0),MATCH(D1212,'2.職務職能需求'!$B$1:$F$1,0)),0),""))</f>
        <v/>
      </c>
      <c r="H1212" s="94" t="n"/>
      <c r="I1212" s="94" t="n"/>
      <c r="J1212" s="120">
        <f>IF(OR(G1212="",I1212="",G1212=0),"",I1212-G1212)</f>
        <v/>
      </c>
      <c r="K1212" s="120">
        <f>IF(G1212="","",IF(G1212=0,"不適用",IF(I1212="","待評核",IF(I1212&gt;=G1212,IF(I1212&gt;G1212,"超越","達標"),"待發展"))))</f>
        <v/>
      </c>
      <c r="L1212" s="91" t="n"/>
      <c r="M1212" s="91" t="n"/>
      <c r="N1212" s="88" t="n"/>
    </row>
    <row r="1213" ht="15.75" customHeight="1" s="64">
      <c r="A1213" s="88" t="n"/>
      <c r="B1213" s="120">
        <f t="array" ref="B1213:B1213">IF(A1213="","",IFERROR(INDEX('3.員工名單'!$B:$B,MATCH(A1213,'3.員工名單'!$A:$A,0)),"查無此員工"))</f>
        <v/>
      </c>
      <c r="C1213" s="120">
        <f t="array" ref="C1213:C1213">IF(A1213="","",IFERROR(INDEX('3.員工名單'!$C:$C,MATCH(A1213,'3.員工名單'!$A:$A,0)),""))</f>
        <v/>
      </c>
      <c r="D1213" s="120">
        <f t="array" ref="D1213:D1213">IF(A1213="","",IFERROR(INDEX('3.員工名單'!$D:$D,MATCH(A1213,'3.員工名單'!$A:$A,0)),""))</f>
        <v/>
      </c>
      <c r="E1213" s="120">
        <f t="array" ref="E1213:E1213">IF(F1213="","",IFERROR(INDEX('1.職能辭典'!$A:$A,MATCH(F1213,'1.職能辭典'!$C:$C,0)),""))</f>
        <v/>
      </c>
      <c r="F1213" s="94" t="n"/>
      <c r="G1213" s="120">
        <f t="array" ref="G1213:G1213">IF(OR(D1213="",F1213=""),"",IFERROR(IF(AND(OR(INDEX('1.職能辭典'!$J:$J,MATCH(F1213,'1.職能辭典'!$C:$C,0))="全部",INDEX('3.員工名單'!$H:$H,MATCH(A1213,'3.員工名單'!$A:$A,0))="兩款共用",INDEX('3.員工名單'!$H:$H,MATCH(A1213,'3.員工名單'!$A:$A,0))=INDEX('1.職能辭典'!$J:$J,MATCH(F1213,'1.職能辭典'!$C:$C,0))),OR(INDEX('1.職能辭典'!$K:$K,MATCH(F1213,'1.職能辭典'!$C:$C,0))="全部",SUMPRODUCT(ISNUMBER(SEARCH({"經營","管理","財務","企劃","營運","技術","數據","美術","測試","客服"},INDEX('3.員工名單'!$I:$I,MATCH(A1213,'3.員工名單'!$A:$A,0))))*ISNUMBER(SEARCH({"經營","管理","財務","企劃","營運","技術","數據","美術","測試","客服"},INDEX('1.職能辭典'!$K:$K,MATCH(F1213,'1.職能辭典'!$C:$C,0)))))&gt;0)),INDEX('2.職務職能需求'!$B$2:$F$28,MATCH(F1213,'2.職務職能需求'!$A$2:$A$28,0),MATCH(D1213,'2.職務職能需求'!$B$1:$F$1,0)),0),""))</f>
        <v/>
      </c>
      <c r="H1213" s="94" t="n"/>
      <c r="I1213" s="94" t="n"/>
      <c r="J1213" s="120">
        <f>IF(OR(G1213="",I1213="",G1213=0),"",I1213-G1213)</f>
        <v/>
      </c>
      <c r="K1213" s="120">
        <f>IF(G1213="","",IF(G1213=0,"不適用",IF(I1213="","待評核",IF(I1213&gt;=G1213,IF(I1213&gt;G1213,"超越","達標"),"待發展"))))</f>
        <v/>
      </c>
      <c r="L1213" s="91" t="n"/>
      <c r="M1213" s="91" t="n"/>
      <c r="N1213" s="88" t="n"/>
    </row>
    <row r="1214" ht="15.75" customHeight="1" s="64">
      <c r="A1214" s="88" t="n"/>
      <c r="B1214" s="120">
        <f t="array" ref="B1214:B1214">IF(A1214="","",IFERROR(INDEX('3.員工名單'!$B:$B,MATCH(A1214,'3.員工名單'!$A:$A,0)),"查無此員工"))</f>
        <v/>
      </c>
      <c r="C1214" s="120">
        <f t="array" ref="C1214:C1214">IF(A1214="","",IFERROR(INDEX('3.員工名單'!$C:$C,MATCH(A1214,'3.員工名單'!$A:$A,0)),""))</f>
        <v/>
      </c>
      <c r="D1214" s="120">
        <f t="array" ref="D1214:D1214">IF(A1214="","",IFERROR(INDEX('3.員工名單'!$D:$D,MATCH(A1214,'3.員工名單'!$A:$A,0)),""))</f>
        <v/>
      </c>
      <c r="E1214" s="120">
        <f t="array" ref="E1214:E1214">IF(F1214="","",IFERROR(INDEX('1.職能辭典'!$A:$A,MATCH(F1214,'1.職能辭典'!$C:$C,0)),""))</f>
        <v/>
      </c>
      <c r="F1214" s="94" t="n"/>
      <c r="G1214" s="120">
        <f t="array" ref="G1214:G1214">IF(OR(D1214="",F1214=""),"",IFERROR(IF(AND(OR(INDEX('1.職能辭典'!$J:$J,MATCH(F1214,'1.職能辭典'!$C:$C,0))="全部",INDEX('3.員工名單'!$H:$H,MATCH(A1214,'3.員工名單'!$A:$A,0))="兩款共用",INDEX('3.員工名單'!$H:$H,MATCH(A1214,'3.員工名單'!$A:$A,0))=INDEX('1.職能辭典'!$J:$J,MATCH(F1214,'1.職能辭典'!$C:$C,0))),OR(INDEX('1.職能辭典'!$K:$K,MATCH(F1214,'1.職能辭典'!$C:$C,0))="全部",SUMPRODUCT(ISNUMBER(SEARCH({"經營","管理","財務","企劃","營運","技術","數據","美術","測試","客服"},INDEX('3.員工名單'!$I:$I,MATCH(A1214,'3.員工名單'!$A:$A,0))))*ISNUMBER(SEARCH({"經營","管理","財務","企劃","營運","技術","數據","美術","測試","客服"},INDEX('1.職能辭典'!$K:$K,MATCH(F1214,'1.職能辭典'!$C:$C,0)))))&gt;0)),INDEX('2.職務職能需求'!$B$2:$F$28,MATCH(F1214,'2.職務職能需求'!$A$2:$A$28,0),MATCH(D1214,'2.職務職能需求'!$B$1:$F$1,0)),0),""))</f>
        <v/>
      </c>
      <c r="H1214" s="94" t="n"/>
      <c r="I1214" s="94" t="n"/>
      <c r="J1214" s="120">
        <f>IF(OR(G1214="",I1214="",G1214=0),"",I1214-G1214)</f>
        <v/>
      </c>
      <c r="K1214" s="120">
        <f>IF(G1214="","",IF(G1214=0,"不適用",IF(I1214="","待評核",IF(I1214&gt;=G1214,IF(I1214&gt;G1214,"超越","達標"),"待發展"))))</f>
        <v/>
      </c>
      <c r="L1214" s="91" t="n"/>
      <c r="M1214" s="91" t="n"/>
      <c r="N1214" s="88" t="n"/>
    </row>
    <row r="1215" ht="15.75" customHeight="1" s="64">
      <c r="A1215" s="88" t="n"/>
      <c r="B1215" s="120">
        <f t="array" ref="B1215:B1215">IF(A1215="","",IFERROR(INDEX('3.員工名單'!$B:$B,MATCH(A1215,'3.員工名單'!$A:$A,0)),"查無此員工"))</f>
        <v/>
      </c>
      <c r="C1215" s="120">
        <f t="array" ref="C1215:C1215">IF(A1215="","",IFERROR(INDEX('3.員工名單'!$C:$C,MATCH(A1215,'3.員工名單'!$A:$A,0)),""))</f>
        <v/>
      </c>
      <c r="D1215" s="120">
        <f t="array" ref="D1215:D1215">IF(A1215="","",IFERROR(INDEX('3.員工名單'!$D:$D,MATCH(A1215,'3.員工名單'!$A:$A,0)),""))</f>
        <v/>
      </c>
      <c r="E1215" s="120">
        <f t="array" ref="E1215:E1215">IF(F1215="","",IFERROR(INDEX('1.職能辭典'!$A:$A,MATCH(F1215,'1.職能辭典'!$C:$C,0)),""))</f>
        <v/>
      </c>
      <c r="F1215" s="94" t="n"/>
      <c r="G1215" s="120">
        <f t="array" ref="G1215:G1215">IF(OR(D1215="",F1215=""),"",IFERROR(IF(AND(OR(INDEX('1.職能辭典'!$J:$J,MATCH(F1215,'1.職能辭典'!$C:$C,0))="全部",INDEX('3.員工名單'!$H:$H,MATCH(A1215,'3.員工名單'!$A:$A,0))="兩款共用",INDEX('3.員工名單'!$H:$H,MATCH(A1215,'3.員工名單'!$A:$A,0))=INDEX('1.職能辭典'!$J:$J,MATCH(F1215,'1.職能辭典'!$C:$C,0))),OR(INDEX('1.職能辭典'!$K:$K,MATCH(F1215,'1.職能辭典'!$C:$C,0))="全部",SUMPRODUCT(ISNUMBER(SEARCH({"經營","管理","財務","企劃","營運","技術","數據","美術","測試","客服"},INDEX('3.員工名單'!$I:$I,MATCH(A1215,'3.員工名單'!$A:$A,0))))*ISNUMBER(SEARCH({"經營","管理","財務","企劃","營運","技術","數據","美術","測試","客服"},INDEX('1.職能辭典'!$K:$K,MATCH(F1215,'1.職能辭典'!$C:$C,0)))))&gt;0)),INDEX('2.職務職能需求'!$B$2:$F$28,MATCH(F1215,'2.職務職能需求'!$A$2:$A$28,0),MATCH(D1215,'2.職務職能需求'!$B$1:$F$1,0)),0),""))</f>
        <v/>
      </c>
      <c r="H1215" s="94" t="n"/>
      <c r="I1215" s="94" t="n"/>
      <c r="J1215" s="120">
        <f>IF(OR(G1215="",I1215="",G1215=0),"",I1215-G1215)</f>
        <v/>
      </c>
      <c r="K1215" s="120">
        <f>IF(G1215="","",IF(G1215=0,"不適用",IF(I1215="","待評核",IF(I1215&gt;=G1215,IF(I1215&gt;G1215,"超越","達標"),"待發展"))))</f>
        <v/>
      </c>
      <c r="L1215" s="91" t="n"/>
      <c r="M1215" s="91" t="n"/>
      <c r="N1215" s="88" t="n"/>
    </row>
    <row r="1216" ht="15.75" customHeight="1" s="64">
      <c r="A1216" s="88" t="n"/>
      <c r="B1216" s="120">
        <f t="array" ref="B1216:B1216">IF(A1216="","",IFERROR(INDEX('3.員工名單'!$B:$B,MATCH(A1216,'3.員工名單'!$A:$A,0)),"查無此員工"))</f>
        <v/>
      </c>
      <c r="C1216" s="120">
        <f t="array" ref="C1216:C1216">IF(A1216="","",IFERROR(INDEX('3.員工名單'!$C:$C,MATCH(A1216,'3.員工名單'!$A:$A,0)),""))</f>
        <v/>
      </c>
      <c r="D1216" s="120">
        <f t="array" ref="D1216:D1216">IF(A1216="","",IFERROR(INDEX('3.員工名單'!$D:$D,MATCH(A1216,'3.員工名單'!$A:$A,0)),""))</f>
        <v/>
      </c>
      <c r="E1216" s="120">
        <f t="array" ref="E1216:E1216">IF(F1216="","",IFERROR(INDEX('1.職能辭典'!$A:$A,MATCH(F1216,'1.職能辭典'!$C:$C,0)),""))</f>
        <v/>
      </c>
      <c r="F1216" s="94" t="n"/>
      <c r="G1216" s="120">
        <f t="array" ref="G1216:G1216">IF(OR(D1216="",F1216=""),"",IFERROR(IF(AND(OR(INDEX('1.職能辭典'!$J:$J,MATCH(F1216,'1.職能辭典'!$C:$C,0))="全部",INDEX('3.員工名單'!$H:$H,MATCH(A1216,'3.員工名單'!$A:$A,0))="兩款共用",INDEX('3.員工名單'!$H:$H,MATCH(A1216,'3.員工名單'!$A:$A,0))=INDEX('1.職能辭典'!$J:$J,MATCH(F1216,'1.職能辭典'!$C:$C,0))),OR(INDEX('1.職能辭典'!$K:$K,MATCH(F1216,'1.職能辭典'!$C:$C,0))="全部",SUMPRODUCT(ISNUMBER(SEARCH({"經營","管理","財務","企劃","營運","技術","數據","美術","測試","客服"},INDEX('3.員工名單'!$I:$I,MATCH(A1216,'3.員工名單'!$A:$A,0))))*ISNUMBER(SEARCH({"經營","管理","財務","企劃","營運","技術","數據","美術","測試","客服"},INDEX('1.職能辭典'!$K:$K,MATCH(F1216,'1.職能辭典'!$C:$C,0)))))&gt;0)),INDEX('2.職務職能需求'!$B$2:$F$28,MATCH(F1216,'2.職務職能需求'!$A$2:$A$28,0),MATCH(D1216,'2.職務職能需求'!$B$1:$F$1,0)),0),""))</f>
        <v/>
      </c>
      <c r="H1216" s="94" t="n"/>
      <c r="I1216" s="94" t="n"/>
      <c r="J1216" s="120">
        <f>IF(OR(G1216="",I1216="",G1216=0),"",I1216-G1216)</f>
        <v/>
      </c>
      <c r="K1216" s="120">
        <f>IF(G1216="","",IF(G1216=0,"不適用",IF(I1216="","待評核",IF(I1216&gt;=G1216,IF(I1216&gt;G1216,"超越","達標"),"待發展"))))</f>
        <v/>
      </c>
      <c r="L1216" s="91" t="n"/>
      <c r="M1216" s="91" t="n"/>
      <c r="N1216" s="88" t="n"/>
    </row>
    <row r="1217" ht="15.75" customHeight="1" s="64">
      <c r="A1217" s="88" t="n"/>
      <c r="B1217" s="120">
        <f t="array" ref="B1217:B1217">IF(A1217="","",IFERROR(INDEX('3.員工名單'!$B:$B,MATCH(A1217,'3.員工名單'!$A:$A,0)),"查無此員工"))</f>
        <v/>
      </c>
      <c r="C1217" s="120">
        <f t="array" ref="C1217:C1217">IF(A1217="","",IFERROR(INDEX('3.員工名單'!$C:$C,MATCH(A1217,'3.員工名單'!$A:$A,0)),""))</f>
        <v/>
      </c>
      <c r="D1217" s="120">
        <f t="array" ref="D1217:D1217">IF(A1217="","",IFERROR(INDEX('3.員工名單'!$D:$D,MATCH(A1217,'3.員工名單'!$A:$A,0)),""))</f>
        <v/>
      </c>
      <c r="E1217" s="120">
        <f t="array" ref="E1217:E1217">IF(F1217="","",IFERROR(INDEX('1.職能辭典'!$A:$A,MATCH(F1217,'1.職能辭典'!$C:$C,0)),""))</f>
        <v/>
      </c>
      <c r="F1217" s="94" t="n"/>
      <c r="G1217" s="120">
        <f t="array" ref="G1217:G1217">IF(OR(D1217="",F1217=""),"",IFERROR(IF(AND(OR(INDEX('1.職能辭典'!$J:$J,MATCH(F1217,'1.職能辭典'!$C:$C,0))="全部",INDEX('3.員工名單'!$H:$H,MATCH(A1217,'3.員工名單'!$A:$A,0))="兩款共用",INDEX('3.員工名單'!$H:$H,MATCH(A1217,'3.員工名單'!$A:$A,0))=INDEX('1.職能辭典'!$J:$J,MATCH(F1217,'1.職能辭典'!$C:$C,0))),OR(INDEX('1.職能辭典'!$K:$K,MATCH(F1217,'1.職能辭典'!$C:$C,0))="全部",SUMPRODUCT(ISNUMBER(SEARCH({"經營","管理","財務","企劃","營運","技術","數據","美術","測試","客服"},INDEX('3.員工名單'!$I:$I,MATCH(A1217,'3.員工名單'!$A:$A,0))))*ISNUMBER(SEARCH({"經營","管理","財務","企劃","營運","技術","數據","美術","測試","客服"},INDEX('1.職能辭典'!$K:$K,MATCH(F1217,'1.職能辭典'!$C:$C,0)))))&gt;0)),INDEX('2.職務職能需求'!$B$2:$F$28,MATCH(F1217,'2.職務職能需求'!$A$2:$A$28,0),MATCH(D1217,'2.職務職能需求'!$B$1:$F$1,0)),0),""))</f>
        <v/>
      </c>
      <c r="H1217" s="94" t="n"/>
      <c r="I1217" s="94" t="n"/>
      <c r="J1217" s="120">
        <f>IF(OR(G1217="",I1217="",G1217=0),"",I1217-G1217)</f>
        <v/>
      </c>
      <c r="K1217" s="120">
        <f>IF(G1217="","",IF(G1217=0,"不適用",IF(I1217="","待評核",IF(I1217&gt;=G1217,IF(I1217&gt;G1217,"超越","達標"),"待發展"))))</f>
        <v/>
      </c>
      <c r="L1217" s="91" t="n"/>
      <c r="M1217" s="91" t="n"/>
      <c r="N1217" s="88" t="n"/>
    </row>
    <row r="1218" ht="15.75" customHeight="1" s="64">
      <c r="A1218" s="88" t="n"/>
      <c r="B1218" s="120">
        <f t="array" ref="B1218:B1218">IF(A1218="","",IFERROR(INDEX('3.員工名單'!$B:$B,MATCH(A1218,'3.員工名單'!$A:$A,0)),"查無此員工"))</f>
        <v/>
      </c>
      <c r="C1218" s="120">
        <f t="array" ref="C1218:C1218">IF(A1218="","",IFERROR(INDEX('3.員工名單'!$C:$C,MATCH(A1218,'3.員工名單'!$A:$A,0)),""))</f>
        <v/>
      </c>
      <c r="D1218" s="120">
        <f t="array" ref="D1218:D1218">IF(A1218="","",IFERROR(INDEX('3.員工名單'!$D:$D,MATCH(A1218,'3.員工名單'!$A:$A,0)),""))</f>
        <v/>
      </c>
      <c r="E1218" s="120">
        <f t="array" ref="E1218:E1218">IF(F1218="","",IFERROR(INDEX('1.職能辭典'!$A:$A,MATCH(F1218,'1.職能辭典'!$C:$C,0)),""))</f>
        <v/>
      </c>
      <c r="F1218" s="94" t="n"/>
      <c r="G1218" s="120">
        <f t="array" ref="G1218:G1218">IF(OR(D1218="",F1218=""),"",IFERROR(IF(AND(OR(INDEX('1.職能辭典'!$J:$J,MATCH(F1218,'1.職能辭典'!$C:$C,0))="全部",INDEX('3.員工名單'!$H:$H,MATCH(A1218,'3.員工名單'!$A:$A,0))="兩款共用",INDEX('3.員工名單'!$H:$H,MATCH(A1218,'3.員工名單'!$A:$A,0))=INDEX('1.職能辭典'!$J:$J,MATCH(F1218,'1.職能辭典'!$C:$C,0))),OR(INDEX('1.職能辭典'!$K:$K,MATCH(F1218,'1.職能辭典'!$C:$C,0))="全部",SUMPRODUCT(ISNUMBER(SEARCH({"經營","管理","財務","企劃","營運","技術","數據","美術","測試","客服"},INDEX('3.員工名單'!$I:$I,MATCH(A1218,'3.員工名單'!$A:$A,0))))*ISNUMBER(SEARCH({"經營","管理","財務","企劃","營運","技術","數據","美術","測試","客服"},INDEX('1.職能辭典'!$K:$K,MATCH(F1218,'1.職能辭典'!$C:$C,0)))))&gt;0)),INDEX('2.職務職能需求'!$B$2:$F$28,MATCH(F1218,'2.職務職能需求'!$A$2:$A$28,0),MATCH(D1218,'2.職務職能需求'!$B$1:$F$1,0)),0),""))</f>
        <v/>
      </c>
      <c r="H1218" s="94" t="n"/>
      <c r="I1218" s="94" t="n"/>
      <c r="J1218" s="120">
        <f>IF(OR(G1218="",I1218="",G1218=0),"",I1218-G1218)</f>
        <v/>
      </c>
      <c r="K1218" s="120">
        <f>IF(G1218="","",IF(G1218=0,"不適用",IF(I1218="","待評核",IF(I1218&gt;=G1218,IF(I1218&gt;G1218,"超越","達標"),"待發展"))))</f>
        <v/>
      </c>
      <c r="L1218" s="91" t="n"/>
      <c r="M1218" s="91" t="n"/>
      <c r="N1218" s="88" t="n"/>
    </row>
    <row r="1219" ht="15.75" customHeight="1" s="64">
      <c r="A1219" s="88" t="n"/>
      <c r="B1219" s="120">
        <f t="array" ref="B1219:B1219">IF(A1219="","",IFERROR(INDEX('3.員工名單'!$B:$B,MATCH(A1219,'3.員工名單'!$A:$A,0)),"查無此員工"))</f>
        <v/>
      </c>
      <c r="C1219" s="120">
        <f t="array" ref="C1219:C1219">IF(A1219="","",IFERROR(INDEX('3.員工名單'!$C:$C,MATCH(A1219,'3.員工名單'!$A:$A,0)),""))</f>
        <v/>
      </c>
      <c r="D1219" s="120">
        <f t="array" ref="D1219:D1219">IF(A1219="","",IFERROR(INDEX('3.員工名單'!$D:$D,MATCH(A1219,'3.員工名單'!$A:$A,0)),""))</f>
        <v/>
      </c>
      <c r="E1219" s="120">
        <f t="array" ref="E1219:E1219">IF(F1219="","",IFERROR(INDEX('1.職能辭典'!$A:$A,MATCH(F1219,'1.職能辭典'!$C:$C,0)),""))</f>
        <v/>
      </c>
      <c r="F1219" s="94" t="n"/>
      <c r="G1219" s="120">
        <f t="array" ref="G1219:G1219">IF(OR(D1219="",F1219=""),"",IFERROR(IF(AND(OR(INDEX('1.職能辭典'!$J:$J,MATCH(F1219,'1.職能辭典'!$C:$C,0))="全部",INDEX('3.員工名單'!$H:$H,MATCH(A1219,'3.員工名單'!$A:$A,0))="兩款共用",INDEX('3.員工名單'!$H:$H,MATCH(A1219,'3.員工名單'!$A:$A,0))=INDEX('1.職能辭典'!$J:$J,MATCH(F1219,'1.職能辭典'!$C:$C,0))),OR(INDEX('1.職能辭典'!$K:$K,MATCH(F1219,'1.職能辭典'!$C:$C,0))="全部",SUMPRODUCT(ISNUMBER(SEARCH({"經營","管理","財務","企劃","營運","技術","數據","美術","測試","客服"},INDEX('3.員工名單'!$I:$I,MATCH(A1219,'3.員工名單'!$A:$A,0))))*ISNUMBER(SEARCH({"經營","管理","財務","企劃","營運","技術","數據","美術","測試","客服"},INDEX('1.職能辭典'!$K:$K,MATCH(F1219,'1.職能辭典'!$C:$C,0)))))&gt;0)),INDEX('2.職務職能需求'!$B$2:$F$28,MATCH(F1219,'2.職務職能需求'!$A$2:$A$28,0),MATCH(D1219,'2.職務職能需求'!$B$1:$F$1,0)),0),""))</f>
        <v/>
      </c>
      <c r="H1219" s="94" t="n"/>
      <c r="I1219" s="94" t="n"/>
      <c r="J1219" s="120">
        <f>IF(OR(G1219="",I1219="",G1219=0),"",I1219-G1219)</f>
        <v/>
      </c>
      <c r="K1219" s="120">
        <f>IF(G1219="","",IF(G1219=0,"不適用",IF(I1219="","待評核",IF(I1219&gt;=G1219,IF(I1219&gt;G1219,"超越","達標"),"待發展"))))</f>
        <v/>
      </c>
      <c r="L1219" s="91" t="n"/>
      <c r="M1219" s="91" t="n"/>
      <c r="N1219" s="88" t="n"/>
    </row>
    <row r="1220" ht="15.75" customHeight="1" s="64">
      <c r="A1220" s="88" t="n"/>
      <c r="B1220" s="120">
        <f t="array" ref="B1220:B1220">IF(A1220="","",IFERROR(INDEX('3.員工名單'!$B:$B,MATCH(A1220,'3.員工名單'!$A:$A,0)),"查無此員工"))</f>
        <v/>
      </c>
      <c r="C1220" s="120">
        <f t="array" ref="C1220:C1220">IF(A1220="","",IFERROR(INDEX('3.員工名單'!$C:$C,MATCH(A1220,'3.員工名單'!$A:$A,0)),""))</f>
        <v/>
      </c>
      <c r="D1220" s="120">
        <f t="array" ref="D1220:D1220">IF(A1220="","",IFERROR(INDEX('3.員工名單'!$D:$D,MATCH(A1220,'3.員工名單'!$A:$A,0)),""))</f>
        <v/>
      </c>
      <c r="E1220" s="120">
        <f t="array" ref="E1220:E1220">IF(F1220="","",IFERROR(INDEX('1.職能辭典'!$A:$A,MATCH(F1220,'1.職能辭典'!$C:$C,0)),""))</f>
        <v/>
      </c>
      <c r="F1220" s="94" t="n"/>
      <c r="G1220" s="120">
        <f t="array" ref="G1220:G1220">IF(OR(D1220="",F1220=""),"",IFERROR(IF(AND(OR(INDEX('1.職能辭典'!$J:$J,MATCH(F1220,'1.職能辭典'!$C:$C,0))="全部",INDEX('3.員工名單'!$H:$H,MATCH(A1220,'3.員工名單'!$A:$A,0))="兩款共用",INDEX('3.員工名單'!$H:$H,MATCH(A1220,'3.員工名單'!$A:$A,0))=INDEX('1.職能辭典'!$J:$J,MATCH(F1220,'1.職能辭典'!$C:$C,0))),OR(INDEX('1.職能辭典'!$K:$K,MATCH(F1220,'1.職能辭典'!$C:$C,0))="全部",SUMPRODUCT(ISNUMBER(SEARCH({"經營","管理","財務","企劃","營運","技術","數據","美術","測試","客服"},INDEX('3.員工名單'!$I:$I,MATCH(A1220,'3.員工名單'!$A:$A,0))))*ISNUMBER(SEARCH({"經營","管理","財務","企劃","營運","技術","數據","美術","測試","客服"},INDEX('1.職能辭典'!$K:$K,MATCH(F1220,'1.職能辭典'!$C:$C,0)))))&gt;0)),INDEX('2.職務職能需求'!$B$2:$F$28,MATCH(F1220,'2.職務職能需求'!$A$2:$A$28,0),MATCH(D1220,'2.職務職能需求'!$B$1:$F$1,0)),0),""))</f>
        <v/>
      </c>
      <c r="H1220" s="94" t="n"/>
      <c r="I1220" s="94" t="n"/>
      <c r="J1220" s="120">
        <f>IF(OR(G1220="",I1220="",G1220=0),"",I1220-G1220)</f>
        <v/>
      </c>
      <c r="K1220" s="120">
        <f>IF(G1220="","",IF(G1220=0,"不適用",IF(I1220="","待評核",IF(I1220&gt;=G1220,IF(I1220&gt;G1220,"超越","達標"),"待發展"))))</f>
        <v/>
      </c>
      <c r="L1220" s="91" t="n"/>
      <c r="M1220" s="91" t="n"/>
      <c r="N1220" s="88" t="n"/>
    </row>
    <row r="1221" ht="15.75" customHeight="1" s="64">
      <c r="A1221" s="88" t="n"/>
      <c r="B1221" s="120">
        <f t="array" ref="B1221:B1221">IF(A1221="","",IFERROR(INDEX('3.員工名單'!$B:$B,MATCH(A1221,'3.員工名單'!$A:$A,0)),"查無此員工"))</f>
        <v/>
      </c>
      <c r="C1221" s="120">
        <f t="array" ref="C1221:C1221">IF(A1221="","",IFERROR(INDEX('3.員工名單'!$C:$C,MATCH(A1221,'3.員工名單'!$A:$A,0)),""))</f>
        <v/>
      </c>
      <c r="D1221" s="120">
        <f t="array" ref="D1221:D1221">IF(A1221="","",IFERROR(INDEX('3.員工名單'!$D:$D,MATCH(A1221,'3.員工名單'!$A:$A,0)),""))</f>
        <v/>
      </c>
      <c r="E1221" s="120">
        <f t="array" ref="E1221:E1221">IF(F1221="","",IFERROR(INDEX('1.職能辭典'!$A:$A,MATCH(F1221,'1.職能辭典'!$C:$C,0)),""))</f>
        <v/>
      </c>
      <c r="F1221" s="94" t="n"/>
      <c r="G1221" s="120">
        <f t="array" ref="G1221:G1221">IF(OR(D1221="",F1221=""),"",IFERROR(IF(AND(OR(INDEX('1.職能辭典'!$J:$J,MATCH(F1221,'1.職能辭典'!$C:$C,0))="全部",INDEX('3.員工名單'!$H:$H,MATCH(A1221,'3.員工名單'!$A:$A,0))="兩款共用",INDEX('3.員工名單'!$H:$H,MATCH(A1221,'3.員工名單'!$A:$A,0))=INDEX('1.職能辭典'!$J:$J,MATCH(F1221,'1.職能辭典'!$C:$C,0))),OR(INDEX('1.職能辭典'!$K:$K,MATCH(F1221,'1.職能辭典'!$C:$C,0))="全部",SUMPRODUCT(ISNUMBER(SEARCH({"經營","管理","財務","企劃","營運","技術","數據","美術","測試","客服"},INDEX('3.員工名單'!$I:$I,MATCH(A1221,'3.員工名單'!$A:$A,0))))*ISNUMBER(SEARCH({"經營","管理","財務","企劃","營運","技術","數據","美術","測試","客服"},INDEX('1.職能辭典'!$K:$K,MATCH(F1221,'1.職能辭典'!$C:$C,0)))))&gt;0)),INDEX('2.職務職能需求'!$B$2:$F$28,MATCH(F1221,'2.職務職能需求'!$A$2:$A$28,0),MATCH(D1221,'2.職務職能需求'!$B$1:$F$1,0)),0),""))</f>
        <v/>
      </c>
      <c r="H1221" s="94" t="n"/>
      <c r="I1221" s="94" t="n"/>
      <c r="J1221" s="120">
        <f>IF(OR(G1221="",I1221="",G1221=0),"",I1221-G1221)</f>
        <v/>
      </c>
      <c r="K1221" s="120">
        <f>IF(G1221="","",IF(G1221=0,"不適用",IF(I1221="","待評核",IF(I1221&gt;=G1221,IF(I1221&gt;G1221,"超越","達標"),"待發展"))))</f>
        <v/>
      </c>
      <c r="L1221" s="91" t="n"/>
      <c r="M1221" s="91" t="n"/>
      <c r="N1221" s="88" t="n"/>
    </row>
    <row r="1222" ht="15.75" customHeight="1" s="64">
      <c r="A1222" s="88" t="n"/>
      <c r="B1222" s="120">
        <f t="array" ref="B1222:B1222">IF(A1222="","",IFERROR(INDEX('3.員工名單'!$B:$B,MATCH(A1222,'3.員工名單'!$A:$A,0)),"查無此員工"))</f>
        <v/>
      </c>
      <c r="C1222" s="120">
        <f t="array" ref="C1222:C1222">IF(A1222="","",IFERROR(INDEX('3.員工名單'!$C:$C,MATCH(A1222,'3.員工名單'!$A:$A,0)),""))</f>
        <v/>
      </c>
      <c r="D1222" s="120">
        <f t="array" ref="D1222:D1222">IF(A1222="","",IFERROR(INDEX('3.員工名單'!$D:$D,MATCH(A1222,'3.員工名單'!$A:$A,0)),""))</f>
        <v/>
      </c>
      <c r="E1222" s="120">
        <f t="array" ref="E1222:E1222">IF(F1222="","",IFERROR(INDEX('1.職能辭典'!$A:$A,MATCH(F1222,'1.職能辭典'!$C:$C,0)),""))</f>
        <v/>
      </c>
      <c r="F1222" s="94" t="n"/>
      <c r="G1222" s="120">
        <f t="array" ref="G1222:G1222">IF(OR(D1222="",F1222=""),"",IFERROR(IF(AND(OR(INDEX('1.職能辭典'!$J:$J,MATCH(F1222,'1.職能辭典'!$C:$C,0))="全部",INDEX('3.員工名單'!$H:$H,MATCH(A1222,'3.員工名單'!$A:$A,0))="兩款共用",INDEX('3.員工名單'!$H:$H,MATCH(A1222,'3.員工名單'!$A:$A,0))=INDEX('1.職能辭典'!$J:$J,MATCH(F1222,'1.職能辭典'!$C:$C,0))),OR(INDEX('1.職能辭典'!$K:$K,MATCH(F1222,'1.職能辭典'!$C:$C,0))="全部",SUMPRODUCT(ISNUMBER(SEARCH({"經營","管理","財務","企劃","營運","技術","數據","美術","測試","客服"},INDEX('3.員工名單'!$I:$I,MATCH(A1222,'3.員工名單'!$A:$A,0))))*ISNUMBER(SEARCH({"經營","管理","財務","企劃","營運","技術","數據","美術","測試","客服"},INDEX('1.職能辭典'!$K:$K,MATCH(F1222,'1.職能辭典'!$C:$C,0)))))&gt;0)),INDEX('2.職務職能需求'!$B$2:$F$28,MATCH(F1222,'2.職務職能需求'!$A$2:$A$28,0),MATCH(D1222,'2.職務職能需求'!$B$1:$F$1,0)),0),""))</f>
        <v/>
      </c>
      <c r="H1222" s="94" t="n"/>
      <c r="I1222" s="94" t="n"/>
      <c r="J1222" s="120">
        <f>IF(OR(G1222="",I1222="",G1222=0),"",I1222-G1222)</f>
        <v/>
      </c>
      <c r="K1222" s="120">
        <f>IF(G1222="","",IF(G1222=0,"不適用",IF(I1222="","待評核",IF(I1222&gt;=G1222,IF(I1222&gt;G1222,"超越","達標"),"待發展"))))</f>
        <v/>
      </c>
      <c r="L1222" s="91" t="n"/>
      <c r="M1222" s="91" t="n"/>
      <c r="N1222" s="88" t="n"/>
    </row>
    <row r="1223" ht="15.75" customHeight="1" s="64">
      <c r="A1223" s="88" t="n"/>
      <c r="B1223" s="120">
        <f t="array" ref="B1223:B1223">IF(A1223="","",IFERROR(INDEX('3.員工名單'!$B:$B,MATCH(A1223,'3.員工名單'!$A:$A,0)),"查無此員工"))</f>
        <v/>
      </c>
      <c r="C1223" s="120">
        <f t="array" ref="C1223:C1223">IF(A1223="","",IFERROR(INDEX('3.員工名單'!$C:$C,MATCH(A1223,'3.員工名單'!$A:$A,0)),""))</f>
        <v/>
      </c>
      <c r="D1223" s="120">
        <f t="array" ref="D1223:D1223">IF(A1223="","",IFERROR(INDEX('3.員工名單'!$D:$D,MATCH(A1223,'3.員工名單'!$A:$A,0)),""))</f>
        <v/>
      </c>
      <c r="E1223" s="120">
        <f t="array" ref="E1223:E1223">IF(F1223="","",IFERROR(INDEX('1.職能辭典'!$A:$A,MATCH(F1223,'1.職能辭典'!$C:$C,0)),""))</f>
        <v/>
      </c>
      <c r="F1223" s="94" t="n"/>
      <c r="G1223" s="120">
        <f t="array" ref="G1223:G1223">IF(OR(D1223="",F1223=""),"",IFERROR(IF(AND(OR(INDEX('1.職能辭典'!$J:$J,MATCH(F1223,'1.職能辭典'!$C:$C,0))="全部",INDEX('3.員工名單'!$H:$H,MATCH(A1223,'3.員工名單'!$A:$A,0))="兩款共用",INDEX('3.員工名單'!$H:$H,MATCH(A1223,'3.員工名單'!$A:$A,0))=INDEX('1.職能辭典'!$J:$J,MATCH(F1223,'1.職能辭典'!$C:$C,0))),OR(INDEX('1.職能辭典'!$K:$K,MATCH(F1223,'1.職能辭典'!$C:$C,0))="全部",SUMPRODUCT(ISNUMBER(SEARCH({"經營","管理","財務","企劃","營運","技術","數據","美術","測試","客服"},INDEX('3.員工名單'!$I:$I,MATCH(A1223,'3.員工名單'!$A:$A,0))))*ISNUMBER(SEARCH({"經營","管理","財務","企劃","營運","技術","數據","美術","測試","客服"},INDEX('1.職能辭典'!$K:$K,MATCH(F1223,'1.職能辭典'!$C:$C,0)))))&gt;0)),INDEX('2.職務職能需求'!$B$2:$F$28,MATCH(F1223,'2.職務職能需求'!$A$2:$A$28,0),MATCH(D1223,'2.職務職能需求'!$B$1:$F$1,0)),0),""))</f>
        <v/>
      </c>
      <c r="H1223" s="94" t="n"/>
      <c r="I1223" s="94" t="n"/>
      <c r="J1223" s="120">
        <f>IF(OR(G1223="",I1223="",G1223=0),"",I1223-G1223)</f>
        <v/>
      </c>
      <c r="K1223" s="120">
        <f>IF(G1223="","",IF(G1223=0,"不適用",IF(I1223="","待評核",IF(I1223&gt;=G1223,IF(I1223&gt;G1223,"超越","達標"),"待發展"))))</f>
        <v/>
      </c>
      <c r="L1223" s="91" t="n"/>
      <c r="M1223" s="91" t="n"/>
      <c r="N1223" s="88" t="n"/>
    </row>
    <row r="1224" ht="15.75" customHeight="1" s="64">
      <c r="A1224" s="88" t="n"/>
      <c r="B1224" s="120">
        <f t="array" ref="B1224:B1224">IF(A1224="","",IFERROR(INDEX('3.員工名單'!$B:$B,MATCH(A1224,'3.員工名單'!$A:$A,0)),"查無此員工"))</f>
        <v/>
      </c>
      <c r="C1224" s="120">
        <f t="array" ref="C1224:C1224">IF(A1224="","",IFERROR(INDEX('3.員工名單'!$C:$C,MATCH(A1224,'3.員工名單'!$A:$A,0)),""))</f>
        <v/>
      </c>
      <c r="D1224" s="120">
        <f t="array" ref="D1224:D1224">IF(A1224="","",IFERROR(INDEX('3.員工名單'!$D:$D,MATCH(A1224,'3.員工名單'!$A:$A,0)),""))</f>
        <v/>
      </c>
      <c r="E1224" s="120">
        <f t="array" ref="E1224:E1224">IF(F1224="","",IFERROR(INDEX('1.職能辭典'!$A:$A,MATCH(F1224,'1.職能辭典'!$C:$C,0)),""))</f>
        <v/>
      </c>
      <c r="F1224" s="94" t="n"/>
      <c r="G1224" s="120">
        <f t="array" ref="G1224:G1224">IF(OR(D1224="",F1224=""),"",IFERROR(IF(AND(OR(INDEX('1.職能辭典'!$J:$J,MATCH(F1224,'1.職能辭典'!$C:$C,0))="全部",INDEX('3.員工名單'!$H:$H,MATCH(A1224,'3.員工名單'!$A:$A,0))="兩款共用",INDEX('3.員工名單'!$H:$H,MATCH(A1224,'3.員工名單'!$A:$A,0))=INDEX('1.職能辭典'!$J:$J,MATCH(F1224,'1.職能辭典'!$C:$C,0))),OR(INDEX('1.職能辭典'!$K:$K,MATCH(F1224,'1.職能辭典'!$C:$C,0))="全部",SUMPRODUCT(ISNUMBER(SEARCH({"經營","管理","財務","企劃","營運","技術","數據","美術","測試","客服"},INDEX('3.員工名單'!$I:$I,MATCH(A1224,'3.員工名單'!$A:$A,0))))*ISNUMBER(SEARCH({"經營","管理","財務","企劃","營運","技術","數據","美術","測試","客服"},INDEX('1.職能辭典'!$K:$K,MATCH(F1224,'1.職能辭典'!$C:$C,0)))))&gt;0)),INDEX('2.職務職能需求'!$B$2:$F$28,MATCH(F1224,'2.職務職能需求'!$A$2:$A$28,0),MATCH(D1224,'2.職務職能需求'!$B$1:$F$1,0)),0),""))</f>
        <v/>
      </c>
      <c r="H1224" s="94" t="n"/>
      <c r="I1224" s="94" t="n"/>
      <c r="J1224" s="120">
        <f>IF(OR(G1224="",I1224="",G1224=0),"",I1224-G1224)</f>
        <v/>
      </c>
      <c r="K1224" s="120">
        <f>IF(G1224="","",IF(G1224=0,"不適用",IF(I1224="","待評核",IF(I1224&gt;=G1224,IF(I1224&gt;G1224,"超越","達標"),"待發展"))))</f>
        <v/>
      </c>
      <c r="L1224" s="91" t="n"/>
      <c r="M1224" s="91" t="n"/>
      <c r="N1224" s="88" t="n"/>
    </row>
    <row r="1225" ht="15.75" customHeight="1" s="64">
      <c r="A1225" s="88" t="n"/>
      <c r="B1225" s="120">
        <f t="array" ref="B1225:B1225">IF(A1225="","",IFERROR(INDEX('3.員工名單'!$B:$B,MATCH(A1225,'3.員工名單'!$A:$A,0)),"查無此員工"))</f>
        <v/>
      </c>
      <c r="C1225" s="120">
        <f t="array" ref="C1225:C1225">IF(A1225="","",IFERROR(INDEX('3.員工名單'!$C:$C,MATCH(A1225,'3.員工名單'!$A:$A,0)),""))</f>
        <v/>
      </c>
      <c r="D1225" s="120">
        <f t="array" ref="D1225:D1225">IF(A1225="","",IFERROR(INDEX('3.員工名單'!$D:$D,MATCH(A1225,'3.員工名單'!$A:$A,0)),""))</f>
        <v/>
      </c>
      <c r="E1225" s="120">
        <f t="array" ref="E1225:E1225">IF(F1225="","",IFERROR(INDEX('1.職能辭典'!$A:$A,MATCH(F1225,'1.職能辭典'!$C:$C,0)),""))</f>
        <v/>
      </c>
      <c r="F1225" s="94" t="n"/>
      <c r="G1225" s="120">
        <f t="array" ref="G1225:G1225">IF(OR(D1225="",F1225=""),"",IFERROR(IF(AND(OR(INDEX('1.職能辭典'!$J:$J,MATCH(F1225,'1.職能辭典'!$C:$C,0))="全部",INDEX('3.員工名單'!$H:$H,MATCH(A1225,'3.員工名單'!$A:$A,0))="兩款共用",INDEX('3.員工名單'!$H:$H,MATCH(A1225,'3.員工名單'!$A:$A,0))=INDEX('1.職能辭典'!$J:$J,MATCH(F1225,'1.職能辭典'!$C:$C,0))),OR(INDEX('1.職能辭典'!$K:$K,MATCH(F1225,'1.職能辭典'!$C:$C,0))="全部",SUMPRODUCT(ISNUMBER(SEARCH({"經營","管理","財務","企劃","營運","技術","數據","美術","測試","客服"},INDEX('3.員工名單'!$I:$I,MATCH(A1225,'3.員工名單'!$A:$A,0))))*ISNUMBER(SEARCH({"經營","管理","財務","企劃","營運","技術","數據","美術","測試","客服"},INDEX('1.職能辭典'!$K:$K,MATCH(F1225,'1.職能辭典'!$C:$C,0)))))&gt;0)),INDEX('2.職務職能需求'!$B$2:$F$28,MATCH(F1225,'2.職務職能需求'!$A$2:$A$28,0),MATCH(D1225,'2.職務職能需求'!$B$1:$F$1,0)),0),""))</f>
        <v/>
      </c>
      <c r="H1225" s="94" t="n"/>
      <c r="I1225" s="94" t="n"/>
      <c r="J1225" s="120">
        <f>IF(OR(G1225="",I1225="",G1225=0),"",I1225-G1225)</f>
        <v/>
      </c>
      <c r="K1225" s="120">
        <f>IF(G1225="","",IF(G1225=0,"不適用",IF(I1225="","待評核",IF(I1225&gt;=G1225,IF(I1225&gt;G1225,"超越","達標"),"待發展"))))</f>
        <v/>
      </c>
      <c r="L1225" s="91" t="n"/>
      <c r="M1225" s="91" t="n"/>
      <c r="N1225" s="88" t="n"/>
    </row>
    <row r="1226" ht="15.75" customHeight="1" s="64">
      <c r="A1226" s="88" t="n"/>
      <c r="B1226" s="120">
        <f t="array" ref="B1226:B1226">IF(A1226="","",IFERROR(INDEX('3.員工名單'!$B:$B,MATCH(A1226,'3.員工名單'!$A:$A,0)),"查無此員工"))</f>
        <v/>
      </c>
      <c r="C1226" s="120">
        <f t="array" ref="C1226:C1226">IF(A1226="","",IFERROR(INDEX('3.員工名單'!$C:$C,MATCH(A1226,'3.員工名單'!$A:$A,0)),""))</f>
        <v/>
      </c>
      <c r="D1226" s="120">
        <f t="array" ref="D1226:D1226">IF(A1226="","",IFERROR(INDEX('3.員工名單'!$D:$D,MATCH(A1226,'3.員工名單'!$A:$A,0)),""))</f>
        <v/>
      </c>
      <c r="E1226" s="120">
        <f t="array" ref="E1226:E1226">IF(F1226="","",IFERROR(INDEX('1.職能辭典'!$A:$A,MATCH(F1226,'1.職能辭典'!$C:$C,0)),""))</f>
        <v/>
      </c>
      <c r="F1226" s="94" t="n"/>
      <c r="G1226" s="120">
        <f t="array" ref="G1226:G1226">IF(OR(D1226="",F1226=""),"",IFERROR(IF(AND(OR(INDEX('1.職能辭典'!$J:$J,MATCH(F1226,'1.職能辭典'!$C:$C,0))="全部",INDEX('3.員工名單'!$H:$H,MATCH(A1226,'3.員工名單'!$A:$A,0))="兩款共用",INDEX('3.員工名單'!$H:$H,MATCH(A1226,'3.員工名單'!$A:$A,0))=INDEX('1.職能辭典'!$J:$J,MATCH(F1226,'1.職能辭典'!$C:$C,0))),OR(INDEX('1.職能辭典'!$K:$K,MATCH(F1226,'1.職能辭典'!$C:$C,0))="全部",SUMPRODUCT(ISNUMBER(SEARCH({"經營","管理","財務","企劃","營運","技術","數據","美術","測試","客服"},INDEX('3.員工名單'!$I:$I,MATCH(A1226,'3.員工名單'!$A:$A,0))))*ISNUMBER(SEARCH({"經營","管理","財務","企劃","營運","技術","數據","美術","測試","客服"},INDEX('1.職能辭典'!$K:$K,MATCH(F1226,'1.職能辭典'!$C:$C,0)))))&gt;0)),INDEX('2.職務職能需求'!$B$2:$F$28,MATCH(F1226,'2.職務職能需求'!$A$2:$A$28,0),MATCH(D1226,'2.職務職能需求'!$B$1:$F$1,0)),0),""))</f>
        <v/>
      </c>
      <c r="H1226" s="94" t="n"/>
      <c r="I1226" s="94" t="n"/>
      <c r="J1226" s="120">
        <f>IF(OR(G1226="",I1226="",G1226=0),"",I1226-G1226)</f>
        <v/>
      </c>
      <c r="K1226" s="120">
        <f>IF(G1226="","",IF(G1226=0,"不適用",IF(I1226="","待評核",IF(I1226&gt;=G1226,IF(I1226&gt;G1226,"超越","達標"),"待發展"))))</f>
        <v/>
      </c>
      <c r="L1226" s="91" t="n"/>
      <c r="M1226" s="91" t="n"/>
      <c r="N1226" s="88" t="n"/>
    </row>
    <row r="1227" ht="15.75" customHeight="1" s="64">
      <c r="A1227" s="88" t="n"/>
      <c r="B1227" s="120">
        <f t="array" ref="B1227:B1227">IF(A1227="","",IFERROR(INDEX('3.員工名單'!$B:$B,MATCH(A1227,'3.員工名單'!$A:$A,0)),"查無此員工"))</f>
        <v/>
      </c>
      <c r="C1227" s="120">
        <f t="array" ref="C1227:C1227">IF(A1227="","",IFERROR(INDEX('3.員工名單'!$C:$C,MATCH(A1227,'3.員工名單'!$A:$A,0)),""))</f>
        <v/>
      </c>
      <c r="D1227" s="120">
        <f t="array" ref="D1227:D1227">IF(A1227="","",IFERROR(INDEX('3.員工名單'!$D:$D,MATCH(A1227,'3.員工名單'!$A:$A,0)),""))</f>
        <v/>
      </c>
      <c r="E1227" s="120">
        <f t="array" ref="E1227:E1227">IF(F1227="","",IFERROR(INDEX('1.職能辭典'!$A:$A,MATCH(F1227,'1.職能辭典'!$C:$C,0)),""))</f>
        <v/>
      </c>
      <c r="F1227" s="94" t="n"/>
      <c r="G1227" s="120">
        <f t="array" ref="G1227:G1227">IF(OR(D1227="",F1227=""),"",IFERROR(IF(AND(OR(INDEX('1.職能辭典'!$J:$J,MATCH(F1227,'1.職能辭典'!$C:$C,0))="全部",INDEX('3.員工名單'!$H:$H,MATCH(A1227,'3.員工名單'!$A:$A,0))="兩款共用",INDEX('3.員工名單'!$H:$H,MATCH(A1227,'3.員工名單'!$A:$A,0))=INDEX('1.職能辭典'!$J:$J,MATCH(F1227,'1.職能辭典'!$C:$C,0))),OR(INDEX('1.職能辭典'!$K:$K,MATCH(F1227,'1.職能辭典'!$C:$C,0))="全部",SUMPRODUCT(ISNUMBER(SEARCH({"經營","管理","財務","企劃","營運","技術","數據","美術","測試","客服"},INDEX('3.員工名單'!$I:$I,MATCH(A1227,'3.員工名單'!$A:$A,0))))*ISNUMBER(SEARCH({"經營","管理","財務","企劃","營運","技術","數據","美術","測試","客服"},INDEX('1.職能辭典'!$K:$K,MATCH(F1227,'1.職能辭典'!$C:$C,0)))))&gt;0)),INDEX('2.職務職能需求'!$B$2:$F$28,MATCH(F1227,'2.職務職能需求'!$A$2:$A$28,0),MATCH(D1227,'2.職務職能需求'!$B$1:$F$1,0)),0),""))</f>
        <v/>
      </c>
      <c r="H1227" s="94" t="n"/>
      <c r="I1227" s="94" t="n"/>
      <c r="J1227" s="120">
        <f>IF(OR(G1227="",I1227="",G1227=0),"",I1227-G1227)</f>
        <v/>
      </c>
      <c r="K1227" s="120">
        <f>IF(G1227="","",IF(G1227=0,"不適用",IF(I1227="","待評核",IF(I1227&gt;=G1227,IF(I1227&gt;G1227,"超越","達標"),"待發展"))))</f>
        <v/>
      </c>
      <c r="L1227" s="91" t="n"/>
      <c r="M1227" s="91" t="n"/>
      <c r="N1227" s="88" t="n"/>
    </row>
    <row r="1228" ht="15.75" customHeight="1" s="64">
      <c r="A1228" s="88" t="n"/>
      <c r="B1228" s="120">
        <f t="array" ref="B1228:B1228">IF(A1228="","",IFERROR(INDEX('3.員工名單'!$B:$B,MATCH(A1228,'3.員工名單'!$A:$A,0)),"查無此員工"))</f>
        <v/>
      </c>
      <c r="C1228" s="120">
        <f t="array" ref="C1228:C1228">IF(A1228="","",IFERROR(INDEX('3.員工名單'!$C:$C,MATCH(A1228,'3.員工名單'!$A:$A,0)),""))</f>
        <v/>
      </c>
      <c r="D1228" s="120">
        <f t="array" ref="D1228:D1228">IF(A1228="","",IFERROR(INDEX('3.員工名單'!$D:$D,MATCH(A1228,'3.員工名單'!$A:$A,0)),""))</f>
        <v/>
      </c>
      <c r="E1228" s="120">
        <f t="array" ref="E1228:E1228">IF(F1228="","",IFERROR(INDEX('1.職能辭典'!$A:$A,MATCH(F1228,'1.職能辭典'!$C:$C,0)),""))</f>
        <v/>
      </c>
      <c r="F1228" s="94" t="n"/>
      <c r="G1228" s="120">
        <f t="array" ref="G1228:G1228">IF(OR(D1228="",F1228=""),"",IFERROR(IF(AND(OR(INDEX('1.職能辭典'!$J:$J,MATCH(F1228,'1.職能辭典'!$C:$C,0))="全部",INDEX('3.員工名單'!$H:$H,MATCH(A1228,'3.員工名單'!$A:$A,0))="兩款共用",INDEX('3.員工名單'!$H:$H,MATCH(A1228,'3.員工名單'!$A:$A,0))=INDEX('1.職能辭典'!$J:$J,MATCH(F1228,'1.職能辭典'!$C:$C,0))),OR(INDEX('1.職能辭典'!$K:$K,MATCH(F1228,'1.職能辭典'!$C:$C,0))="全部",SUMPRODUCT(ISNUMBER(SEARCH({"經營","管理","財務","企劃","營運","技術","數據","美術","測試","客服"},INDEX('3.員工名單'!$I:$I,MATCH(A1228,'3.員工名單'!$A:$A,0))))*ISNUMBER(SEARCH({"經營","管理","財務","企劃","營運","技術","數據","美術","測試","客服"},INDEX('1.職能辭典'!$K:$K,MATCH(F1228,'1.職能辭典'!$C:$C,0)))))&gt;0)),INDEX('2.職務職能需求'!$B$2:$F$28,MATCH(F1228,'2.職務職能需求'!$A$2:$A$28,0),MATCH(D1228,'2.職務職能需求'!$B$1:$F$1,0)),0),""))</f>
        <v/>
      </c>
      <c r="H1228" s="94" t="n"/>
      <c r="I1228" s="94" t="n"/>
      <c r="J1228" s="120">
        <f>IF(OR(G1228="",I1228="",G1228=0),"",I1228-G1228)</f>
        <v/>
      </c>
      <c r="K1228" s="120">
        <f>IF(G1228="","",IF(G1228=0,"不適用",IF(I1228="","待評核",IF(I1228&gt;=G1228,IF(I1228&gt;G1228,"超越","達標"),"待發展"))))</f>
        <v/>
      </c>
      <c r="L1228" s="91" t="n"/>
      <c r="M1228" s="91" t="n"/>
      <c r="N1228" s="88" t="n"/>
    </row>
    <row r="1229" ht="15.75" customHeight="1" s="64">
      <c r="A1229" s="88" t="n"/>
      <c r="B1229" s="120">
        <f t="array" ref="B1229:B1229">IF(A1229="","",IFERROR(INDEX('3.員工名單'!$B:$B,MATCH(A1229,'3.員工名單'!$A:$A,0)),"查無此員工"))</f>
        <v/>
      </c>
      <c r="C1229" s="120">
        <f t="array" ref="C1229:C1229">IF(A1229="","",IFERROR(INDEX('3.員工名單'!$C:$C,MATCH(A1229,'3.員工名單'!$A:$A,0)),""))</f>
        <v/>
      </c>
      <c r="D1229" s="120">
        <f t="array" ref="D1229:D1229">IF(A1229="","",IFERROR(INDEX('3.員工名單'!$D:$D,MATCH(A1229,'3.員工名單'!$A:$A,0)),""))</f>
        <v/>
      </c>
      <c r="E1229" s="120">
        <f t="array" ref="E1229:E1229">IF(F1229="","",IFERROR(INDEX('1.職能辭典'!$A:$A,MATCH(F1229,'1.職能辭典'!$C:$C,0)),""))</f>
        <v/>
      </c>
      <c r="F1229" s="94" t="n"/>
      <c r="G1229" s="120">
        <f t="array" ref="G1229:G1229">IF(OR(D1229="",F1229=""),"",IFERROR(IF(AND(OR(INDEX('1.職能辭典'!$J:$J,MATCH(F1229,'1.職能辭典'!$C:$C,0))="全部",INDEX('3.員工名單'!$H:$H,MATCH(A1229,'3.員工名單'!$A:$A,0))="兩款共用",INDEX('3.員工名單'!$H:$H,MATCH(A1229,'3.員工名單'!$A:$A,0))=INDEX('1.職能辭典'!$J:$J,MATCH(F1229,'1.職能辭典'!$C:$C,0))),OR(INDEX('1.職能辭典'!$K:$K,MATCH(F1229,'1.職能辭典'!$C:$C,0))="全部",SUMPRODUCT(ISNUMBER(SEARCH({"經營","管理","財務","企劃","營運","技術","數據","美術","測試","客服"},INDEX('3.員工名單'!$I:$I,MATCH(A1229,'3.員工名單'!$A:$A,0))))*ISNUMBER(SEARCH({"經營","管理","財務","企劃","營運","技術","數據","美術","測試","客服"},INDEX('1.職能辭典'!$K:$K,MATCH(F1229,'1.職能辭典'!$C:$C,0)))))&gt;0)),INDEX('2.職務職能需求'!$B$2:$F$28,MATCH(F1229,'2.職務職能需求'!$A$2:$A$28,0),MATCH(D1229,'2.職務職能需求'!$B$1:$F$1,0)),0),""))</f>
        <v/>
      </c>
      <c r="H1229" s="94" t="n"/>
      <c r="I1229" s="94" t="n"/>
      <c r="J1229" s="120">
        <f>IF(OR(G1229="",I1229="",G1229=0),"",I1229-G1229)</f>
        <v/>
      </c>
      <c r="K1229" s="120">
        <f>IF(G1229="","",IF(G1229=0,"不適用",IF(I1229="","待評核",IF(I1229&gt;=G1229,IF(I1229&gt;G1229,"超越","達標"),"待發展"))))</f>
        <v/>
      </c>
      <c r="L1229" s="91" t="n"/>
      <c r="M1229" s="91" t="n"/>
      <c r="N1229" s="88" t="n"/>
    </row>
    <row r="1230" ht="15.75" customHeight="1" s="64">
      <c r="A1230" s="88" t="n"/>
      <c r="B1230" s="120">
        <f t="array" ref="B1230:B1230">IF(A1230="","",IFERROR(INDEX('3.員工名單'!$B:$B,MATCH(A1230,'3.員工名單'!$A:$A,0)),"查無此員工"))</f>
        <v/>
      </c>
      <c r="C1230" s="120">
        <f t="array" ref="C1230:C1230">IF(A1230="","",IFERROR(INDEX('3.員工名單'!$C:$C,MATCH(A1230,'3.員工名單'!$A:$A,0)),""))</f>
        <v/>
      </c>
      <c r="D1230" s="120">
        <f t="array" ref="D1230:D1230">IF(A1230="","",IFERROR(INDEX('3.員工名單'!$D:$D,MATCH(A1230,'3.員工名單'!$A:$A,0)),""))</f>
        <v/>
      </c>
      <c r="E1230" s="120">
        <f t="array" ref="E1230:E1230">IF(F1230="","",IFERROR(INDEX('1.職能辭典'!$A:$A,MATCH(F1230,'1.職能辭典'!$C:$C,0)),""))</f>
        <v/>
      </c>
      <c r="F1230" s="94" t="n"/>
      <c r="G1230" s="120">
        <f t="array" ref="G1230:G1230">IF(OR(D1230="",F1230=""),"",IFERROR(IF(AND(OR(INDEX('1.職能辭典'!$J:$J,MATCH(F1230,'1.職能辭典'!$C:$C,0))="全部",INDEX('3.員工名單'!$H:$H,MATCH(A1230,'3.員工名單'!$A:$A,0))="兩款共用",INDEX('3.員工名單'!$H:$H,MATCH(A1230,'3.員工名單'!$A:$A,0))=INDEX('1.職能辭典'!$J:$J,MATCH(F1230,'1.職能辭典'!$C:$C,0))),OR(INDEX('1.職能辭典'!$K:$K,MATCH(F1230,'1.職能辭典'!$C:$C,0))="全部",SUMPRODUCT(ISNUMBER(SEARCH({"經營","管理","財務","企劃","營運","技術","數據","美術","測試","客服"},INDEX('3.員工名單'!$I:$I,MATCH(A1230,'3.員工名單'!$A:$A,0))))*ISNUMBER(SEARCH({"經營","管理","財務","企劃","營運","技術","數據","美術","測試","客服"},INDEX('1.職能辭典'!$K:$K,MATCH(F1230,'1.職能辭典'!$C:$C,0)))))&gt;0)),INDEX('2.職務職能需求'!$B$2:$F$28,MATCH(F1230,'2.職務職能需求'!$A$2:$A$28,0),MATCH(D1230,'2.職務職能需求'!$B$1:$F$1,0)),0),""))</f>
        <v/>
      </c>
      <c r="H1230" s="94" t="n"/>
      <c r="I1230" s="94" t="n"/>
      <c r="J1230" s="120">
        <f>IF(OR(G1230="",I1230="",G1230=0),"",I1230-G1230)</f>
        <v/>
      </c>
      <c r="K1230" s="120">
        <f>IF(G1230="","",IF(G1230=0,"不適用",IF(I1230="","待評核",IF(I1230&gt;=G1230,IF(I1230&gt;G1230,"超越","達標"),"待發展"))))</f>
        <v/>
      </c>
      <c r="L1230" s="91" t="n"/>
      <c r="M1230" s="91" t="n"/>
      <c r="N1230" s="88" t="n"/>
    </row>
    <row r="1231" ht="15.75" customHeight="1" s="64">
      <c r="A1231" s="88" t="n"/>
      <c r="B1231" s="120">
        <f t="array" ref="B1231:B1231">IF(A1231="","",IFERROR(INDEX('3.員工名單'!$B:$B,MATCH(A1231,'3.員工名單'!$A:$A,0)),"查無此員工"))</f>
        <v/>
      </c>
      <c r="C1231" s="120">
        <f t="array" ref="C1231:C1231">IF(A1231="","",IFERROR(INDEX('3.員工名單'!$C:$C,MATCH(A1231,'3.員工名單'!$A:$A,0)),""))</f>
        <v/>
      </c>
      <c r="D1231" s="120">
        <f t="array" ref="D1231:D1231">IF(A1231="","",IFERROR(INDEX('3.員工名單'!$D:$D,MATCH(A1231,'3.員工名單'!$A:$A,0)),""))</f>
        <v/>
      </c>
      <c r="E1231" s="120">
        <f t="array" ref="E1231:E1231">IF(F1231="","",IFERROR(INDEX('1.職能辭典'!$A:$A,MATCH(F1231,'1.職能辭典'!$C:$C,0)),""))</f>
        <v/>
      </c>
      <c r="F1231" s="94" t="n"/>
      <c r="G1231" s="120">
        <f t="array" ref="G1231:G1231">IF(OR(D1231="",F1231=""),"",IFERROR(IF(AND(OR(INDEX('1.職能辭典'!$J:$J,MATCH(F1231,'1.職能辭典'!$C:$C,0))="全部",INDEX('3.員工名單'!$H:$H,MATCH(A1231,'3.員工名單'!$A:$A,0))="兩款共用",INDEX('3.員工名單'!$H:$H,MATCH(A1231,'3.員工名單'!$A:$A,0))=INDEX('1.職能辭典'!$J:$J,MATCH(F1231,'1.職能辭典'!$C:$C,0))),OR(INDEX('1.職能辭典'!$K:$K,MATCH(F1231,'1.職能辭典'!$C:$C,0))="全部",SUMPRODUCT(ISNUMBER(SEARCH({"經營","管理","財務","企劃","營運","技術","數據","美術","測試","客服"},INDEX('3.員工名單'!$I:$I,MATCH(A1231,'3.員工名單'!$A:$A,0))))*ISNUMBER(SEARCH({"經營","管理","財務","企劃","營運","技術","數據","美術","測試","客服"},INDEX('1.職能辭典'!$K:$K,MATCH(F1231,'1.職能辭典'!$C:$C,0)))))&gt;0)),INDEX('2.職務職能需求'!$B$2:$F$28,MATCH(F1231,'2.職務職能需求'!$A$2:$A$28,0),MATCH(D1231,'2.職務職能需求'!$B$1:$F$1,0)),0),""))</f>
        <v/>
      </c>
      <c r="H1231" s="94" t="n"/>
      <c r="I1231" s="94" t="n"/>
      <c r="J1231" s="120">
        <f>IF(OR(G1231="",I1231="",G1231=0),"",I1231-G1231)</f>
        <v/>
      </c>
      <c r="K1231" s="120">
        <f>IF(G1231="","",IF(G1231=0,"不適用",IF(I1231="","待評核",IF(I1231&gt;=G1231,IF(I1231&gt;G1231,"超越","達標"),"待發展"))))</f>
        <v/>
      </c>
      <c r="L1231" s="91" t="n"/>
      <c r="M1231" s="91" t="n"/>
      <c r="N1231" s="88" t="n"/>
    </row>
    <row r="1232" ht="15.75" customHeight="1" s="64">
      <c r="A1232" s="88" t="n"/>
      <c r="B1232" s="120">
        <f t="array" ref="B1232:B1232">IF(A1232="","",IFERROR(INDEX('3.員工名單'!$B:$B,MATCH(A1232,'3.員工名單'!$A:$A,0)),"查無此員工"))</f>
        <v/>
      </c>
      <c r="C1232" s="120">
        <f t="array" ref="C1232:C1232">IF(A1232="","",IFERROR(INDEX('3.員工名單'!$C:$C,MATCH(A1232,'3.員工名單'!$A:$A,0)),""))</f>
        <v/>
      </c>
      <c r="D1232" s="120">
        <f t="array" ref="D1232:D1232">IF(A1232="","",IFERROR(INDEX('3.員工名單'!$D:$D,MATCH(A1232,'3.員工名單'!$A:$A,0)),""))</f>
        <v/>
      </c>
      <c r="E1232" s="120">
        <f t="array" ref="E1232:E1232">IF(F1232="","",IFERROR(INDEX('1.職能辭典'!$A:$A,MATCH(F1232,'1.職能辭典'!$C:$C,0)),""))</f>
        <v/>
      </c>
      <c r="F1232" s="94" t="n"/>
      <c r="G1232" s="120">
        <f t="array" ref="G1232:G1232">IF(OR(D1232="",F1232=""),"",IFERROR(IF(AND(OR(INDEX('1.職能辭典'!$J:$J,MATCH(F1232,'1.職能辭典'!$C:$C,0))="全部",INDEX('3.員工名單'!$H:$H,MATCH(A1232,'3.員工名單'!$A:$A,0))="兩款共用",INDEX('3.員工名單'!$H:$H,MATCH(A1232,'3.員工名單'!$A:$A,0))=INDEX('1.職能辭典'!$J:$J,MATCH(F1232,'1.職能辭典'!$C:$C,0))),OR(INDEX('1.職能辭典'!$K:$K,MATCH(F1232,'1.職能辭典'!$C:$C,0))="全部",SUMPRODUCT(ISNUMBER(SEARCH({"經營","管理","財務","企劃","營運","技術","數據","美術","測試","客服"},INDEX('3.員工名單'!$I:$I,MATCH(A1232,'3.員工名單'!$A:$A,0))))*ISNUMBER(SEARCH({"經營","管理","財務","企劃","營運","技術","數據","美術","測試","客服"},INDEX('1.職能辭典'!$K:$K,MATCH(F1232,'1.職能辭典'!$C:$C,0)))))&gt;0)),INDEX('2.職務職能需求'!$B$2:$F$28,MATCH(F1232,'2.職務職能需求'!$A$2:$A$28,0),MATCH(D1232,'2.職務職能需求'!$B$1:$F$1,0)),0),""))</f>
        <v/>
      </c>
      <c r="H1232" s="94" t="n"/>
      <c r="I1232" s="94" t="n"/>
      <c r="J1232" s="120">
        <f>IF(OR(G1232="",I1232="",G1232=0),"",I1232-G1232)</f>
        <v/>
      </c>
      <c r="K1232" s="120">
        <f>IF(G1232="","",IF(G1232=0,"不適用",IF(I1232="","待評核",IF(I1232&gt;=G1232,IF(I1232&gt;G1232,"超越","達標"),"待發展"))))</f>
        <v/>
      </c>
      <c r="L1232" s="91" t="n"/>
      <c r="M1232" s="91" t="n"/>
      <c r="N1232" s="88" t="n"/>
    </row>
    <row r="1233" ht="15.75" customHeight="1" s="64">
      <c r="A1233" s="88" t="n"/>
      <c r="B1233" s="120">
        <f t="array" ref="B1233:B1233">IF(A1233="","",IFERROR(INDEX('3.員工名單'!$B:$B,MATCH(A1233,'3.員工名單'!$A:$A,0)),"查無此員工"))</f>
        <v/>
      </c>
      <c r="C1233" s="120">
        <f t="array" ref="C1233:C1233">IF(A1233="","",IFERROR(INDEX('3.員工名單'!$C:$C,MATCH(A1233,'3.員工名單'!$A:$A,0)),""))</f>
        <v/>
      </c>
      <c r="D1233" s="120">
        <f t="array" ref="D1233:D1233">IF(A1233="","",IFERROR(INDEX('3.員工名單'!$D:$D,MATCH(A1233,'3.員工名單'!$A:$A,0)),""))</f>
        <v/>
      </c>
      <c r="E1233" s="120">
        <f t="array" ref="E1233:E1233">IF(F1233="","",IFERROR(INDEX('1.職能辭典'!$A:$A,MATCH(F1233,'1.職能辭典'!$C:$C,0)),""))</f>
        <v/>
      </c>
      <c r="F1233" s="94" t="n"/>
      <c r="G1233" s="120">
        <f t="array" ref="G1233:G1233">IF(OR(D1233="",F1233=""),"",IFERROR(IF(AND(OR(INDEX('1.職能辭典'!$J:$J,MATCH(F1233,'1.職能辭典'!$C:$C,0))="全部",INDEX('3.員工名單'!$H:$H,MATCH(A1233,'3.員工名單'!$A:$A,0))="兩款共用",INDEX('3.員工名單'!$H:$H,MATCH(A1233,'3.員工名單'!$A:$A,0))=INDEX('1.職能辭典'!$J:$J,MATCH(F1233,'1.職能辭典'!$C:$C,0))),OR(INDEX('1.職能辭典'!$K:$K,MATCH(F1233,'1.職能辭典'!$C:$C,0))="全部",SUMPRODUCT(ISNUMBER(SEARCH({"經營","管理","財務","企劃","營運","技術","數據","美術","測試","客服"},INDEX('3.員工名單'!$I:$I,MATCH(A1233,'3.員工名單'!$A:$A,0))))*ISNUMBER(SEARCH({"經營","管理","財務","企劃","營運","技術","數據","美術","測試","客服"},INDEX('1.職能辭典'!$K:$K,MATCH(F1233,'1.職能辭典'!$C:$C,0)))))&gt;0)),INDEX('2.職務職能需求'!$B$2:$F$28,MATCH(F1233,'2.職務職能需求'!$A$2:$A$28,0),MATCH(D1233,'2.職務職能需求'!$B$1:$F$1,0)),0),""))</f>
        <v/>
      </c>
      <c r="H1233" s="94" t="n"/>
      <c r="I1233" s="94" t="n"/>
      <c r="J1233" s="120">
        <f>IF(OR(G1233="",I1233="",G1233=0),"",I1233-G1233)</f>
        <v/>
      </c>
      <c r="K1233" s="120">
        <f>IF(G1233="","",IF(G1233=0,"不適用",IF(I1233="","待評核",IF(I1233&gt;=G1233,IF(I1233&gt;G1233,"超越","達標"),"待發展"))))</f>
        <v/>
      </c>
      <c r="L1233" s="91" t="n"/>
      <c r="M1233" s="91" t="n"/>
      <c r="N1233" s="88" t="n"/>
    </row>
    <row r="1234" ht="15.75" customHeight="1" s="64">
      <c r="A1234" s="88" t="n"/>
      <c r="B1234" s="120">
        <f t="array" ref="B1234:B1234">IF(A1234="","",IFERROR(INDEX('3.員工名單'!$B:$B,MATCH(A1234,'3.員工名單'!$A:$A,0)),"查無此員工"))</f>
        <v/>
      </c>
      <c r="C1234" s="120">
        <f t="array" ref="C1234:C1234">IF(A1234="","",IFERROR(INDEX('3.員工名單'!$C:$C,MATCH(A1234,'3.員工名單'!$A:$A,0)),""))</f>
        <v/>
      </c>
      <c r="D1234" s="120">
        <f t="array" ref="D1234:D1234">IF(A1234="","",IFERROR(INDEX('3.員工名單'!$D:$D,MATCH(A1234,'3.員工名單'!$A:$A,0)),""))</f>
        <v/>
      </c>
      <c r="E1234" s="120">
        <f t="array" ref="E1234:E1234">IF(F1234="","",IFERROR(INDEX('1.職能辭典'!$A:$A,MATCH(F1234,'1.職能辭典'!$C:$C,0)),""))</f>
        <v/>
      </c>
      <c r="F1234" s="94" t="n"/>
      <c r="G1234" s="120">
        <f t="array" ref="G1234:G1234">IF(OR(D1234="",F1234=""),"",IFERROR(IF(AND(OR(INDEX('1.職能辭典'!$J:$J,MATCH(F1234,'1.職能辭典'!$C:$C,0))="全部",INDEX('3.員工名單'!$H:$H,MATCH(A1234,'3.員工名單'!$A:$A,0))="兩款共用",INDEX('3.員工名單'!$H:$H,MATCH(A1234,'3.員工名單'!$A:$A,0))=INDEX('1.職能辭典'!$J:$J,MATCH(F1234,'1.職能辭典'!$C:$C,0))),OR(INDEX('1.職能辭典'!$K:$K,MATCH(F1234,'1.職能辭典'!$C:$C,0))="全部",SUMPRODUCT(ISNUMBER(SEARCH({"經營","管理","財務","企劃","營運","技術","數據","美術","測試","客服"},INDEX('3.員工名單'!$I:$I,MATCH(A1234,'3.員工名單'!$A:$A,0))))*ISNUMBER(SEARCH({"經營","管理","財務","企劃","營運","技術","數據","美術","測試","客服"},INDEX('1.職能辭典'!$K:$K,MATCH(F1234,'1.職能辭典'!$C:$C,0)))))&gt;0)),INDEX('2.職務職能需求'!$B$2:$F$28,MATCH(F1234,'2.職務職能需求'!$A$2:$A$28,0),MATCH(D1234,'2.職務職能需求'!$B$1:$F$1,0)),0),""))</f>
        <v/>
      </c>
      <c r="H1234" s="94" t="n"/>
      <c r="I1234" s="94" t="n"/>
      <c r="J1234" s="120">
        <f>IF(OR(G1234="",I1234="",G1234=0),"",I1234-G1234)</f>
        <v/>
      </c>
      <c r="K1234" s="120">
        <f>IF(G1234="","",IF(G1234=0,"不適用",IF(I1234="","待評核",IF(I1234&gt;=G1234,IF(I1234&gt;G1234,"超越","達標"),"待發展"))))</f>
        <v/>
      </c>
      <c r="L1234" s="91" t="n"/>
      <c r="M1234" s="91" t="n"/>
      <c r="N1234" s="88" t="n"/>
    </row>
    <row r="1235" ht="15.75" customHeight="1" s="64">
      <c r="A1235" s="88" t="n"/>
      <c r="B1235" s="120">
        <f t="array" ref="B1235:B1235">IF(A1235="","",IFERROR(INDEX('3.員工名單'!$B:$B,MATCH(A1235,'3.員工名單'!$A:$A,0)),"查無此員工"))</f>
        <v/>
      </c>
      <c r="C1235" s="120">
        <f t="array" ref="C1235:C1235">IF(A1235="","",IFERROR(INDEX('3.員工名單'!$C:$C,MATCH(A1235,'3.員工名單'!$A:$A,0)),""))</f>
        <v/>
      </c>
      <c r="D1235" s="120">
        <f t="array" ref="D1235:D1235">IF(A1235="","",IFERROR(INDEX('3.員工名單'!$D:$D,MATCH(A1235,'3.員工名單'!$A:$A,0)),""))</f>
        <v/>
      </c>
      <c r="E1235" s="120">
        <f t="array" ref="E1235:E1235">IF(F1235="","",IFERROR(INDEX('1.職能辭典'!$A:$A,MATCH(F1235,'1.職能辭典'!$C:$C,0)),""))</f>
        <v/>
      </c>
      <c r="F1235" s="94" t="n"/>
      <c r="G1235" s="120">
        <f t="array" ref="G1235:G1235">IF(OR(D1235="",F1235=""),"",IFERROR(IF(AND(OR(INDEX('1.職能辭典'!$J:$J,MATCH(F1235,'1.職能辭典'!$C:$C,0))="全部",INDEX('3.員工名單'!$H:$H,MATCH(A1235,'3.員工名單'!$A:$A,0))="兩款共用",INDEX('3.員工名單'!$H:$H,MATCH(A1235,'3.員工名單'!$A:$A,0))=INDEX('1.職能辭典'!$J:$J,MATCH(F1235,'1.職能辭典'!$C:$C,0))),OR(INDEX('1.職能辭典'!$K:$K,MATCH(F1235,'1.職能辭典'!$C:$C,0))="全部",SUMPRODUCT(ISNUMBER(SEARCH({"經營","管理","財務","企劃","營運","技術","數據","美術","測試","客服"},INDEX('3.員工名單'!$I:$I,MATCH(A1235,'3.員工名單'!$A:$A,0))))*ISNUMBER(SEARCH({"經營","管理","財務","企劃","營運","技術","數據","美術","測試","客服"},INDEX('1.職能辭典'!$K:$K,MATCH(F1235,'1.職能辭典'!$C:$C,0)))))&gt;0)),INDEX('2.職務職能需求'!$B$2:$F$28,MATCH(F1235,'2.職務職能需求'!$A$2:$A$28,0),MATCH(D1235,'2.職務職能需求'!$B$1:$F$1,0)),0),""))</f>
        <v/>
      </c>
      <c r="H1235" s="94" t="n"/>
      <c r="I1235" s="94" t="n"/>
      <c r="J1235" s="120">
        <f>IF(OR(G1235="",I1235="",G1235=0),"",I1235-G1235)</f>
        <v/>
      </c>
      <c r="K1235" s="120">
        <f>IF(G1235="","",IF(G1235=0,"不適用",IF(I1235="","待評核",IF(I1235&gt;=G1235,IF(I1235&gt;G1235,"超越","達標"),"待發展"))))</f>
        <v/>
      </c>
      <c r="L1235" s="91" t="n"/>
      <c r="M1235" s="91" t="n"/>
      <c r="N1235" s="88" t="n"/>
    </row>
    <row r="1236" ht="15.75" customHeight="1" s="64">
      <c r="A1236" s="88" t="n"/>
      <c r="B1236" s="120">
        <f t="array" ref="B1236:B1236">IF(A1236="","",IFERROR(INDEX('3.員工名單'!$B:$B,MATCH(A1236,'3.員工名單'!$A:$A,0)),"查無此員工"))</f>
        <v/>
      </c>
      <c r="C1236" s="120">
        <f t="array" ref="C1236:C1236">IF(A1236="","",IFERROR(INDEX('3.員工名單'!$C:$C,MATCH(A1236,'3.員工名單'!$A:$A,0)),""))</f>
        <v/>
      </c>
      <c r="D1236" s="120">
        <f t="array" ref="D1236:D1236">IF(A1236="","",IFERROR(INDEX('3.員工名單'!$D:$D,MATCH(A1236,'3.員工名單'!$A:$A,0)),""))</f>
        <v/>
      </c>
      <c r="E1236" s="120">
        <f t="array" ref="E1236:E1236">IF(F1236="","",IFERROR(INDEX('1.職能辭典'!$A:$A,MATCH(F1236,'1.職能辭典'!$C:$C,0)),""))</f>
        <v/>
      </c>
      <c r="F1236" s="94" t="n"/>
      <c r="G1236" s="120">
        <f t="array" ref="G1236:G1236">IF(OR(D1236="",F1236=""),"",IFERROR(IF(AND(OR(INDEX('1.職能辭典'!$J:$J,MATCH(F1236,'1.職能辭典'!$C:$C,0))="全部",INDEX('3.員工名單'!$H:$H,MATCH(A1236,'3.員工名單'!$A:$A,0))="兩款共用",INDEX('3.員工名單'!$H:$H,MATCH(A1236,'3.員工名單'!$A:$A,0))=INDEX('1.職能辭典'!$J:$J,MATCH(F1236,'1.職能辭典'!$C:$C,0))),OR(INDEX('1.職能辭典'!$K:$K,MATCH(F1236,'1.職能辭典'!$C:$C,0))="全部",SUMPRODUCT(ISNUMBER(SEARCH({"經營","管理","財務","企劃","營運","技術","數據","美術","測試","客服"},INDEX('3.員工名單'!$I:$I,MATCH(A1236,'3.員工名單'!$A:$A,0))))*ISNUMBER(SEARCH({"經營","管理","財務","企劃","營運","技術","數據","美術","測試","客服"},INDEX('1.職能辭典'!$K:$K,MATCH(F1236,'1.職能辭典'!$C:$C,0)))))&gt;0)),INDEX('2.職務職能需求'!$B$2:$F$28,MATCH(F1236,'2.職務職能需求'!$A$2:$A$28,0),MATCH(D1236,'2.職務職能需求'!$B$1:$F$1,0)),0),""))</f>
        <v/>
      </c>
      <c r="H1236" s="94" t="n"/>
      <c r="I1236" s="94" t="n"/>
      <c r="J1236" s="120">
        <f>IF(OR(G1236="",I1236="",G1236=0),"",I1236-G1236)</f>
        <v/>
      </c>
      <c r="K1236" s="120">
        <f>IF(G1236="","",IF(G1236=0,"不適用",IF(I1236="","待評核",IF(I1236&gt;=G1236,IF(I1236&gt;G1236,"超越","達標"),"待發展"))))</f>
        <v/>
      </c>
      <c r="L1236" s="91" t="n"/>
      <c r="M1236" s="91" t="n"/>
      <c r="N1236" s="88" t="n"/>
    </row>
    <row r="1237" ht="15.75" customHeight="1" s="64">
      <c r="A1237" s="88" t="n"/>
      <c r="B1237" s="120">
        <f t="array" ref="B1237:B1237">IF(A1237="","",IFERROR(INDEX('3.員工名單'!$B:$B,MATCH(A1237,'3.員工名單'!$A:$A,0)),"查無此員工"))</f>
        <v/>
      </c>
      <c r="C1237" s="120">
        <f t="array" ref="C1237:C1237">IF(A1237="","",IFERROR(INDEX('3.員工名單'!$C:$C,MATCH(A1237,'3.員工名單'!$A:$A,0)),""))</f>
        <v/>
      </c>
      <c r="D1237" s="120">
        <f t="array" ref="D1237:D1237">IF(A1237="","",IFERROR(INDEX('3.員工名單'!$D:$D,MATCH(A1237,'3.員工名單'!$A:$A,0)),""))</f>
        <v/>
      </c>
      <c r="E1237" s="120">
        <f t="array" ref="E1237:E1237">IF(F1237="","",IFERROR(INDEX('1.職能辭典'!$A:$A,MATCH(F1237,'1.職能辭典'!$C:$C,0)),""))</f>
        <v/>
      </c>
      <c r="F1237" s="94" t="n"/>
      <c r="G1237" s="120">
        <f t="array" ref="G1237:G1237">IF(OR(D1237="",F1237=""),"",IFERROR(IF(AND(OR(INDEX('1.職能辭典'!$J:$J,MATCH(F1237,'1.職能辭典'!$C:$C,0))="全部",INDEX('3.員工名單'!$H:$H,MATCH(A1237,'3.員工名單'!$A:$A,0))="兩款共用",INDEX('3.員工名單'!$H:$H,MATCH(A1237,'3.員工名單'!$A:$A,0))=INDEX('1.職能辭典'!$J:$J,MATCH(F1237,'1.職能辭典'!$C:$C,0))),OR(INDEX('1.職能辭典'!$K:$K,MATCH(F1237,'1.職能辭典'!$C:$C,0))="全部",SUMPRODUCT(ISNUMBER(SEARCH({"經營","管理","財務","企劃","營運","技術","數據","美術","測試","客服"},INDEX('3.員工名單'!$I:$I,MATCH(A1237,'3.員工名單'!$A:$A,0))))*ISNUMBER(SEARCH({"經營","管理","財務","企劃","營運","技術","數據","美術","測試","客服"},INDEX('1.職能辭典'!$K:$K,MATCH(F1237,'1.職能辭典'!$C:$C,0)))))&gt;0)),INDEX('2.職務職能需求'!$B$2:$F$28,MATCH(F1237,'2.職務職能需求'!$A$2:$A$28,0),MATCH(D1237,'2.職務職能需求'!$B$1:$F$1,0)),0),""))</f>
        <v/>
      </c>
      <c r="H1237" s="94" t="n"/>
      <c r="I1237" s="94" t="n"/>
      <c r="J1237" s="120">
        <f>IF(OR(G1237="",I1237="",G1237=0),"",I1237-G1237)</f>
        <v/>
      </c>
      <c r="K1237" s="120">
        <f>IF(G1237="","",IF(G1237=0,"不適用",IF(I1237="","待評核",IF(I1237&gt;=G1237,IF(I1237&gt;G1237,"超越","達標"),"待發展"))))</f>
        <v/>
      </c>
      <c r="L1237" s="91" t="n"/>
      <c r="M1237" s="91" t="n"/>
      <c r="N1237" s="88" t="n"/>
    </row>
    <row r="1238" ht="15.75" customHeight="1" s="64">
      <c r="A1238" s="88" t="n"/>
      <c r="B1238" s="120">
        <f t="array" ref="B1238:B1238">IF(A1238="","",IFERROR(INDEX('3.員工名單'!$B:$B,MATCH(A1238,'3.員工名單'!$A:$A,0)),"查無此員工"))</f>
        <v/>
      </c>
      <c r="C1238" s="120">
        <f t="array" ref="C1238:C1238">IF(A1238="","",IFERROR(INDEX('3.員工名單'!$C:$C,MATCH(A1238,'3.員工名單'!$A:$A,0)),""))</f>
        <v/>
      </c>
      <c r="D1238" s="120">
        <f t="array" ref="D1238:D1238">IF(A1238="","",IFERROR(INDEX('3.員工名單'!$D:$D,MATCH(A1238,'3.員工名單'!$A:$A,0)),""))</f>
        <v/>
      </c>
      <c r="E1238" s="120">
        <f t="array" ref="E1238:E1238">IF(F1238="","",IFERROR(INDEX('1.職能辭典'!$A:$A,MATCH(F1238,'1.職能辭典'!$C:$C,0)),""))</f>
        <v/>
      </c>
      <c r="F1238" s="94" t="n"/>
      <c r="G1238" s="120">
        <f t="array" ref="G1238:G1238">IF(OR(D1238="",F1238=""),"",IFERROR(IF(AND(OR(INDEX('1.職能辭典'!$J:$J,MATCH(F1238,'1.職能辭典'!$C:$C,0))="全部",INDEX('3.員工名單'!$H:$H,MATCH(A1238,'3.員工名單'!$A:$A,0))="兩款共用",INDEX('3.員工名單'!$H:$H,MATCH(A1238,'3.員工名單'!$A:$A,0))=INDEX('1.職能辭典'!$J:$J,MATCH(F1238,'1.職能辭典'!$C:$C,0))),OR(INDEX('1.職能辭典'!$K:$K,MATCH(F1238,'1.職能辭典'!$C:$C,0))="全部",SUMPRODUCT(ISNUMBER(SEARCH({"經營","管理","財務","企劃","營運","技術","數據","美術","測試","客服"},INDEX('3.員工名單'!$I:$I,MATCH(A1238,'3.員工名單'!$A:$A,0))))*ISNUMBER(SEARCH({"經營","管理","財務","企劃","營運","技術","數據","美術","測試","客服"},INDEX('1.職能辭典'!$K:$K,MATCH(F1238,'1.職能辭典'!$C:$C,0)))))&gt;0)),INDEX('2.職務職能需求'!$B$2:$F$28,MATCH(F1238,'2.職務職能需求'!$A$2:$A$28,0),MATCH(D1238,'2.職務職能需求'!$B$1:$F$1,0)),0),""))</f>
        <v/>
      </c>
      <c r="H1238" s="94" t="n"/>
      <c r="I1238" s="94" t="n"/>
      <c r="J1238" s="120">
        <f>IF(OR(G1238="",I1238="",G1238=0),"",I1238-G1238)</f>
        <v/>
      </c>
      <c r="K1238" s="120">
        <f>IF(G1238="","",IF(G1238=0,"不適用",IF(I1238="","待評核",IF(I1238&gt;=G1238,IF(I1238&gt;G1238,"超越","達標"),"待發展"))))</f>
        <v/>
      </c>
      <c r="L1238" s="91" t="n"/>
      <c r="M1238" s="91" t="n"/>
      <c r="N1238" s="88" t="n"/>
    </row>
    <row r="1239" ht="15.75" customHeight="1" s="64">
      <c r="A1239" s="88" t="n"/>
      <c r="B1239" s="120">
        <f t="array" ref="B1239:B1239">IF(A1239="","",IFERROR(INDEX('3.員工名單'!$B:$B,MATCH(A1239,'3.員工名單'!$A:$A,0)),"查無此員工"))</f>
        <v/>
      </c>
      <c r="C1239" s="120">
        <f t="array" ref="C1239:C1239">IF(A1239="","",IFERROR(INDEX('3.員工名單'!$C:$C,MATCH(A1239,'3.員工名單'!$A:$A,0)),""))</f>
        <v/>
      </c>
      <c r="D1239" s="120">
        <f t="array" ref="D1239:D1239">IF(A1239="","",IFERROR(INDEX('3.員工名單'!$D:$D,MATCH(A1239,'3.員工名單'!$A:$A,0)),""))</f>
        <v/>
      </c>
      <c r="E1239" s="120">
        <f t="array" ref="E1239:E1239">IF(F1239="","",IFERROR(INDEX('1.職能辭典'!$A:$A,MATCH(F1239,'1.職能辭典'!$C:$C,0)),""))</f>
        <v/>
      </c>
      <c r="F1239" s="94" t="n"/>
      <c r="G1239" s="120">
        <f t="array" ref="G1239:G1239">IF(OR(D1239="",F1239=""),"",IFERROR(IF(AND(OR(INDEX('1.職能辭典'!$J:$J,MATCH(F1239,'1.職能辭典'!$C:$C,0))="全部",INDEX('3.員工名單'!$H:$H,MATCH(A1239,'3.員工名單'!$A:$A,0))="兩款共用",INDEX('3.員工名單'!$H:$H,MATCH(A1239,'3.員工名單'!$A:$A,0))=INDEX('1.職能辭典'!$J:$J,MATCH(F1239,'1.職能辭典'!$C:$C,0))),OR(INDEX('1.職能辭典'!$K:$K,MATCH(F1239,'1.職能辭典'!$C:$C,0))="全部",SUMPRODUCT(ISNUMBER(SEARCH({"經營","管理","財務","企劃","營運","技術","數據","美術","測試","客服"},INDEX('3.員工名單'!$I:$I,MATCH(A1239,'3.員工名單'!$A:$A,0))))*ISNUMBER(SEARCH({"經營","管理","財務","企劃","營運","技術","數據","美術","測試","客服"},INDEX('1.職能辭典'!$K:$K,MATCH(F1239,'1.職能辭典'!$C:$C,0)))))&gt;0)),INDEX('2.職務職能需求'!$B$2:$F$28,MATCH(F1239,'2.職務職能需求'!$A$2:$A$28,0),MATCH(D1239,'2.職務職能需求'!$B$1:$F$1,0)),0),""))</f>
        <v/>
      </c>
      <c r="H1239" s="94" t="n"/>
      <c r="I1239" s="94" t="n"/>
      <c r="J1239" s="120">
        <f>IF(OR(G1239="",I1239="",G1239=0),"",I1239-G1239)</f>
        <v/>
      </c>
      <c r="K1239" s="120">
        <f>IF(G1239="","",IF(G1239=0,"不適用",IF(I1239="","待評核",IF(I1239&gt;=G1239,IF(I1239&gt;G1239,"超越","達標"),"待發展"))))</f>
        <v/>
      </c>
      <c r="L1239" s="91" t="n"/>
      <c r="M1239" s="91" t="n"/>
      <c r="N1239" s="88" t="n"/>
    </row>
    <row r="1240" ht="15.75" customHeight="1" s="64">
      <c r="A1240" s="88" t="n"/>
      <c r="B1240" s="120">
        <f t="array" ref="B1240:B1240">IF(A1240="","",IFERROR(INDEX('3.員工名單'!$B:$B,MATCH(A1240,'3.員工名單'!$A:$A,0)),"查無此員工"))</f>
        <v/>
      </c>
      <c r="C1240" s="120">
        <f t="array" ref="C1240:C1240">IF(A1240="","",IFERROR(INDEX('3.員工名單'!$C:$C,MATCH(A1240,'3.員工名單'!$A:$A,0)),""))</f>
        <v/>
      </c>
      <c r="D1240" s="120">
        <f t="array" ref="D1240:D1240">IF(A1240="","",IFERROR(INDEX('3.員工名單'!$D:$D,MATCH(A1240,'3.員工名單'!$A:$A,0)),""))</f>
        <v/>
      </c>
      <c r="E1240" s="120">
        <f t="array" ref="E1240:E1240">IF(F1240="","",IFERROR(INDEX('1.職能辭典'!$A:$A,MATCH(F1240,'1.職能辭典'!$C:$C,0)),""))</f>
        <v/>
      </c>
      <c r="F1240" s="94" t="n"/>
      <c r="G1240" s="120">
        <f t="array" ref="G1240:G1240">IF(OR(D1240="",F1240=""),"",IFERROR(IF(AND(OR(INDEX('1.職能辭典'!$J:$J,MATCH(F1240,'1.職能辭典'!$C:$C,0))="全部",INDEX('3.員工名單'!$H:$H,MATCH(A1240,'3.員工名單'!$A:$A,0))="兩款共用",INDEX('3.員工名單'!$H:$H,MATCH(A1240,'3.員工名單'!$A:$A,0))=INDEX('1.職能辭典'!$J:$J,MATCH(F1240,'1.職能辭典'!$C:$C,0))),OR(INDEX('1.職能辭典'!$K:$K,MATCH(F1240,'1.職能辭典'!$C:$C,0))="全部",SUMPRODUCT(ISNUMBER(SEARCH({"經營","管理","財務","企劃","營運","技術","數據","美術","測試","客服"},INDEX('3.員工名單'!$I:$I,MATCH(A1240,'3.員工名單'!$A:$A,0))))*ISNUMBER(SEARCH({"經營","管理","財務","企劃","營運","技術","數據","美術","測試","客服"},INDEX('1.職能辭典'!$K:$K,MATCH(F1240,'1.職能辭典'!$C:$C,0)))))&gt;0)),INDEX('2.職務職能需求'!$B$2:$F$28,MATCH(F1240,'2.職務職能需求'!$A$2:$A$28,0),MATCH(D1240,'2.職務職能需求'!$B$1:$F$1,0)),0),""))</f>
        <v/>
      </c>
      <c r="H1240" s="94" t="n"/>
      <c r="I1240" s="94" t="n"/>
      <c r="J1240" s="120">
        <f>IF(OR(G1240="",I1240="",G1240=0),"",I1240-G1240)</f>
        <v/>
      </c>
      <c r="K1240" s="120">
        <f>IF(G1240="","",IF(G1240=0,"不適用",IF(I1240="","待評核",IF(I1240&gt;=G1240,IF(I1240&gt;G1240,"超越","達標"),"待發展"))))</f>
        <v/>
      </c>
      <c r="L1240" s="91" t="n"/>
      <c r="M1240" s="91" t="n"/>
      <c r="N1240" s="88" t="n"/>
    </row>
    <row r="1241" ht="15.75" customHeight="1" s="64">
      <c r="A1241" s="88" t="n"/>
      <c r="B1241" s="120">
        <f t="array" ref="B1241:B1241">IF(A1241="","",IFERROR(INDEX('3.員工名單'!$B:$B,MATCH(A1241,'3.員工名單'!$A:$A,0)),"查無此員工"))</f>
        <v/>
      </c>
      <c r="C1241" s="120">
        <f t="array" ref="C1241:C1241">IF(A1241="","",IFERROR(INDEX('3.員工名單'!$C:$C,MATCH(A1241,'3.員工名單'!$A:$A,0)),""))</f>
        <v/>
      </c>
      <c r="D1241" s="120">
        <f t="array" ref="D1241:D1241">IF(A1241="","",IFERROR(INDEX('3.員工名單'!$D:$D,MATCH(A1241,'3.員工名單'!$A:$A,0)),""))</f>
        <v/>
      </c>
      <c r="E1241" s="120">
        <f t="array" ref="E1241:E1241">IF(F1241="","",IFERROR(INDEX('1.職能辭典'!$A:$A,MATCH(F1241,'1.職能辭典'!$C:$C,0)),""))</f>
        <v/>
      </c>
      <c r="F1241" s="94" t="n"/>
      <c r="G1241" s="120">
        <f t="array" ref="G1241:G1241">IF(OR(D1241="",F1241=""),"",IFERROR(IF(AND(OR(INDEX('1.職能辭典'!$J:$J,MATCH(F1241,'1.職能辭典'!$C:$C,0))="全部",INDEX('3.員工名單'!$H:$H,MATCH(A1241,'3.員工名單'!$A:$A,0))="兩款共用",INDEX('3.員工名單'!$H:$H,MATCH(A1241,'3.員工名單'!$A:$A,0))=INDEX('1.職能辭典'!$J:$J,MATCH(F1241,'1.職能辭典'!$C:$C,0))),OR(INDEX('1.職能辭典'!$K:$K,MATCH(F1241,'1.職能辭典'!$C:$C,0))="全部",SUMPRODUCT(ISNUMBER(SEARCH({"經營","管理","財務","企劃","營運","技術","數據","美術","測試","客服"},INDEX('3.員工名單'!$I:$I,MATCH(A1241,'3.員工名單'!$A:$A,0))))*ISNUMBER(SEARCH({"經營","管理","財務","企劃","營運","技術","數據","美術","測試","客服"},INDEX('1.職能辭典'!$K:$K,MATCH(F1241,'1.職能辭典'!$C:$C,0)))))&gt;0)),INDEX('2.職務職能需求'!$B$2:$F$28,MATCH(F1241,'2.職務職能需求'!$A$2:$A$28,0),MATCH(D1241,'2.職務職能需求'!$B$1:$F$1,0)),0),""))</f>
        <v/>
      </c>
      <c r="H1241" s="94" t="n"/>
      <c r="I1241" s="94" t="n"/>
      <c r="J1241" s="120">
        <f>IF(OR(G1241="",I1241="",G1241=0),"",I1241-G1241)</f>
        <v/>
      </c>
      <c r="K1241" s="120">
        <f>IF(G1241="","",IF(G1241=0,"不適用",IF(I1241="","待評核",IF(I1241&gt;=G1241,IF(I1241&gt;G1241,"超越","達標"),"待發展"))))</f>
        <v/>
      </c>
      <c r="L1241" s="91" t="n"/>
      <c r="M1241" s="91" t="n"/>
      <c r="N1241" s="88" t="n"/>
    </row>
    <row r="1242" ht="15.75" customHeight="1" s="64">
      <c r="A1242" s="88" t="n"/>
      <c r="B1242" s="120">
        <f t="array" ref="B1242:B1242">IF(A1242="","",IFERROR(INDEX('3.員工名單'!$B:$B,MATCH(A1242,'3.員工名單'!$A:$A,0)),"查無此員工"))</f>
        <v/>
      </c>
      <c r="C1242" s="120">
        <f t="array" ref="C1242:C1242">IF(A1242="","",IFERROR(INDEX('3.員工名單'!$C:$C,MATCH(A1242,'3.員工名單'!$A:$A,0)),""))</f>
        <v/>
      </c>
      <c r="D1242" s="120">
        <f t="array" ref="D1242:D1242">IF(A1242="","",IFERROR(INDEX('3.員工名單'!$D:$D,MATCH(A1242,'3.員工名單'!$A:$A,0)),""))</f>
        <v/>
      </c>
      <c r="E1242" s="120">
        <f t="array" ref="E1242:E1242">IF(F1242="","",IFERROR(INDEX('1.職能辭典'!$A:$A,MATCH(F1242,'1.職能辭典'!$C:$C,0)),""))</f>
        <v/>
      </c>
      <c r="F1242" s="94" t="n"/>
      <c r="G1242" s="120">
        <f t="array" ref="G1242:G1242">IF(OR(D1242="",F1242=""),"",IFERROR(IF(AND(OR(INDEX('1.職能辭典'!$J:$J,MATCH(F1242,'1.職能辭典'!$C:$C,0))="全部",INDEX('3.員工名單'!$H:$H,MATCH(A1242,'3.員工名單'!$A:$A,0))="兩款共用",INDEX('3.員工名單'!$H:$H,MATCH(A1242,'3.員工名單'!$A:$A,0))=INDEX('1.職能辭典'!$J:$J,MATCH(F1242,'1.職能辭典'!$C:$C,0))),OR(INDEX('1.職能辭典'!$K:$K,MATCH(F1242,'1.職能辭典'!$C:$C,0))="全部",SUMPRODUCT(ISNUMBER(SEARCH({"經營","管理","財務","企劃","營運","技術","數據","美術","測試","客服"},INDEX('3.員工名單'!$I:$I,MATCH(A1242,'3.員工名單'!$A:$A,0))))*ISNUMBER(SEARCH({"經營","管理","財務","企劃","營運","技術","數據","美術","測試","客服"},INDEX('1.職能辭典'!$K:$K,MATCH(F1242,'1.職能辭典'!$C:$C,0)))))&gt;0)),INDEX('2.職務職能需求'!$B$2:$F$28,MATCH(F1242,'2.職務職能需求'!$A$2:$A$28,0),MATCH(D1242,'2.職務職能需求'!$B$1:$F$1,0)),0),""))</f>
        <v/>
      </c>
      <c r="H1242" s="94" t="n"/>
      <c r="I1242" s="94" t="n"/>
      <c r="J1242" s="120">
        <f>IF(OR(G1242="",I1242="",G1242=0),"",I1242-G1242)</f>
        <v/>
      </c>
      <c r="K1242" s="120">
        <f>IF(G1242="","",IF(G1242=0,"不適用",IF(I1242="","待評核",IF(I1242&gt;=G1242,IF(I1242&gt;G1242,"超越","達標"),"待發展"))))</f>
        <v/>
      </c>
      <c r="L1242" s="91" t="n"/>
      <c r="M1242" s="91" t="n"/>
      <c r="N1242" s="88" t="n"/>
    </row>
    <row r="1243" ht="15.75" customHeight="1" s="64">
      <c r="A1243" s="88" t="n"/>
      <c r="B1243" s="120">
        <f t="array" ref="B1243:B1243">IF(A1243="","",IFERROR(INDEX('3.員工名單'!$B:$B,MATCH(A1243,'3.員工名單'!$A:$A,0)),"查無此員工"))</f>
        <v/>
      </c>
      <c r="C1243" s="120">
        <f t="array" ref="C1243:C1243">IF(A1243="","",IFERROR(INDEX('3.員工名單'!$C:$C,MATCH(A1243,'3.員工名單'!$A:$A,0)),""))</f>
        <v/>
      </c>
      <c r="D1243" s="120">
        <f t="array" ref="D1243:D1243">IF(A1243="","",IFERROR(INDEX('3.員工名單'!$D:$D,MATCH(A1243,'3.員工名單'!$A:$A,0)),""))</f>
        <v/>
      </c>
      <c r="E1243" s="120">
        <f t="array" ref="E1243:E1243">IF(F1243="","",IFERROR(INDEX('1.職能辭典'!$A:$A,MATCH(F1243,'1.職能辭典'!$C:$C,0)),""))</f>
        <v/>
      </c>
      <c r="F1243" s="94" t="n"/>
      <c r="G1243" s="120">
        <f t="array" ref="G1243:G1243">IF(OR(D1243="",F1243=""),"",IFERROR(IF(AND(OR(INDEX('1.職能辭典'!$J:$J,MATCH(F1243,'1.職能辭典'!$C:$C,0))="全部",INDEX('3.員工名單'!$H:$H,MATCH(A1243,'3.員工名單'!$A:$A,0))="兩款共用",INDEX('3.員工名單'!$H:$H,MATCH(A1243,'3.員工名單'!$A:$A,0))=INDEX('1.職能辭典'!$J:$J,MATCH(F1243,'1.職能辭典'!$C:$C,0))),OR(INDEX('1.職能辭典'!$K:$K,MATCH(F1243,'1.職能辭典'!$C:$C,0))="全部",SUMPRODUCT(ISNUMBER(SEARCH({"經營","管理","財務","企劃","營運","技術","數據","美術","測試","客服"},INDEX('3.員工名單'!$I:$I,MATCH(A1243,'3.員工名單'!$A:$A,0))))*ISNUMBER(SEARCH({"經營","管理","財務","企劃","營運","技術","數據","美術","測試","客服"},INDEX('1.職能辭典'!$K:$K,MATCH(F1243,'1.職能辭典'!$C:$C,0)))))&gt;0)),INDEX('2.職務職能需求'!$B$2:$F$28,MATCH(F1243,'2.職務職能需求'!$A$2:$A$28,0),MATCH(D1243,'2.職務職能需求'!$B$1:$F$1,0)),0),""))</f>
        <v/>
      </c>
      <c r="H1243" s="94" t="n"/>
      <c r="I1243" s="94" t="n"/>
      <c r="J1243" s="120">
        <f>IF(OR(G1243="",I1243="",G1243=0),"",I1243-G1243)</f>
        <v/>
      </c>
      <c r="K1243" s="120">
        <f>IF(G1243="","",IF(G1243=0,"不適用",IF(I1243="","待評核",IF(I1243&gt;=G1243,IF(I1243&gt;G1243,"超越","達標"),"待發展"))))</f>
        <v/>
      </c>
      <c r="L1243" s="91" t="n"/>
      <c r="M1243" s="91" t="n"/>
      <c r="N1243" s="88" t="n"/>
    </row>
    <row r="1244" ht="15.75" customHeight="1" s="64">
      <c r="A1244" s="88" t="n"/>
      <c r="B1244" s="120">
        <f t="array" ref="B1244:B1244">IF(A1244="","",IFERROR(INDEX('3.員工名單'!$B:$B,MATCH(A1244,'3.員工名單'!$A:$A,0)),"查無此員工"))</f>
        <v/>
      </c>
      <c r="C1244" s="120">
        <f t="array" ref="C1244:C1244">IF(A1244="","",IFERROR(INDEX('3.員工名單'!$C:$C,MATCH(A1244,'3.員工名單'!$A:$A,0)),""))</f>
        <v/>
      </c>
      <c r="D1244" s="120">
        <f t="array" ref="D1244:D1244">IF(A1244="","",IFERROR(INDEX('3.員工名單'!$D:$D,MATCH(A1244,'3.員工名單'!$A:$A,0)),""))</f>
        <v/>
      </c>
      <c r="E1244" s="120">
        <f t="array" ref="E1244:E1244">IF(F1244="","",IFERROR(INDEX('1.職能辭典'!$A:$A,MATCH(F1244,'1.職能辭典'!$C:$C,0)),""))</f>
        <v/>
      </c>
      <c r="F1244" s="94" t="n"/>
      <c r="G1244" s="120">
        <f t="array" ref="G1244:G1244">IF(OR(D1244="",F1244=""),"",IFERROR(IF(AND(OR(INDEX('1.職能辭典'!$J:$J,MATCH(F1244,'1.職能辭典'!$C:$C,0))="全部",INDEX('3.員工名單'!$H:$H,MATCH(A1244,'3.員工名單'!$A:$A,0))="兩款共用",INDEX('3.員工名單'!$H:$H,MATCH(A1244,'3.員工名單'!$A:$A,0))=INDEX('1.職能辭典'!$J:$J,MATCH(F1244,'1.職能辭典'!$C:$C,0))),OR(INDEX('1.職能辭典'!$K:$K,MATCH(F1244,'1.職能辭典'!$C:$C,0))="全部",SUMPRODUCT(ISNUMBER(SEARCH({"經營","管理","財務","企劃","營運","技術","數據","美術","測試","客服"},INDEX('3.員工名單'!$I:$I,MATCH(A1244,'3.員工名單'!$A:$A,0))))*ISNUMBER(SEARCH({"經營","管理","財務","企劃","營運","技術","數據","美術","測試","客服"},INDEX('1.職能辭典'!$K:$K,MATCH(F1244,'1.職能辭典'!$C:$C,0)))))&gt;0)),INDEX('2.職務職能需求'!$B$2:$F$28,MATCH(F1244,'2.職務職能需求'!$A$2:$A$28,0),MATCH(D1244,'2.職務職能需求'!$B$1:$F$1,0)),0),""))</f>
        <v/>
      </c>
      <c r="H1244" s="94" t="n"/>
      <c r="I1244" s="94" t="n"/>
      <c r="J1244" s="120">
        <f>IF(OR(G1244="",I1244="",G1244=0),"",I1244-G1244)</f>
        <v/>
      </c>
      <c r="K1244" s="120">
        <f>IF(G1244="","",IF(G1244=0,"不適用",IF(I1244="","待評核",IF(I1244&gt;=G1244,IF(I1244&gt;G1244,"超越","達標"),"待發展"))))</f>
        <v/>
      </c>
      <c r="L1244" s="91" t="n"/>
      <c r="M1244" s="91" t="n"/>
      <c r="N1244" s="88" t="n"/>
    </row>
    <row r="1245" ht="15.75" customHeight="1" s="64">
      <c r="A1245" s="88" t="n"/>
      <c r="B1245" s="120">
        <f t="array" ref="B1245:B1245">IF(A1245="","",IFERROR(INDEX('3.員工名單'!$B:$B,MATCH(A1245,'3.員工名單'!$A:$A,0)),"查無此員工"))</f>
        <v/>
      </c>
      <c r="C1245" s="120">
        <f t="array" ref="C1245:C1245">IF(A1245="","",IFERROR(INDEX('3.員工名單'!$C:$C,MATCH(A1245,'3.員工名單'!$A:$A,0)),""))</f>
        <v/>
      </c>
      <c r="D1245" s="120">
        <f t="array" ref="D1245:D1245">IF(A1245="","",IFERROR(INDEX('3.員工名單'!$D:$D,MATCH(A1245,'3.員工名單'!$A:$A,0)),""))</f>
        <v/>
      </c>
      <c r="E1245" s="120">
        <f t="array" ref="E1245:E1245">IF(F1245="","",IFERROR(INDEX('1.職能辭典'!$A:$A,MATCH(F1245,'1.職能辭典'!$C:$C,0)),""))</f>
        <v/>
      </c>
      <c r="F1245" s="94" t="n"/>
      <c r="G1245" s="120">
        <f t="array" ref="G1245:G1245">IF(OR(D1245="",F1245=""),"",IFERROR(IF(AND(OR(INDEX('1.職能辭典'!$J:$J,MATCH(F1245,'1.職能辭典'!$C:$C,0))="全部",INDEX('3.員工名單'!$H:$H,MATCH(A1245,'3.員工名單'!$A:$A,0))="兩款共用",INDEX('3.員工名單'!$H:$H,MATCH(A1245,'3.員工名單'!$A:$A,0))=INDEX('1.職能辭典'!$J:$J,MATCH(F1245,'1.職能辭典'!$C:$C,0))),OR(INDEX('1.職能辭典'!$K:$K,MATCH(F1245,'1.職能辭典'!$C:$C,0))="全部",SUMPRODUCT(ISNUMBER(SEARCH({"經營","管理","財務","企劃","營運","技術","數據","美術","測試","客服"},INDEX('3.員工名單'!$I:$I,MATCH(A1245,'3.員工名單'!$A:$A,0))))*ISNUMBER(SEARCH({"經營","管理","財務","企劃","營運","技術","數據","美術","測試","客服"},INDEX('1.職能辭典'!$K:$K,MATCH(F1245,'1.職能辭典'!$C:$C,0)))))&gt;0)),INDEX('2.職務職能需求'!$B$2:$F$28,MATCH(F1245,'2.職務職能需求'!$A$2:$A$28,0),MATCH(D1245,'2.職務職能需求'!$B$1:$F$1,0)),0),""))</f>
        <v/>
      </c>
      <c r="H1245" s="94" t="n"/>
      <c r="I1245" s="94" t="n"/>
      <c r="J1245" s="120">
        <f>IF(OR(G1245="",I1245="",G1245=0),"",I1245-G1245)</f>
        <v/>
      </c>
      <c r="K1245" s="120">
        <f>IF(G1245="","",IF(G1245=0,"不適用",IF(I1245="","待評核",IF(I1245&gt;=G1245,IF(I1245&gt;G1245,"超越","達標"),"待發展"))))</f>
        <v/>
      </c>
      <c r="L1245" s="91" t="n"/>
      <c r="M1245" s="91" t="n"/>
      <c r="N1245" s="88" t="n"/>
    </row>
    <row r="1246" ht="15.75" customHeight="1" s="64">
      <c r="A1246" s="88" t="n"/>
      <c r="B1246" s="120">
        <f t="array" ref="B1246:B1246">IF(A1246="","",IFERROR(INDEX('3.員工名單'!$B:$B,MATCH(A1246,'3.員工名單'!$A:$A,0)),"查無此員工"))</f>
        <v/>
      </c>
      <c r="C1246" s="120">
        <f t="array" ref="C1246:C1246">IF(A1246="","",IFERROR(INDEX('3.員工名單'!$C:$C,MATCH(A1246,'3.員工名單'!$A:$A,0)),""))</f>
        <v/>
      </c>
      <c r="D1246" s="120">
        <f t="array" ref="D1246:D1246">IF(A1246="","",IFERROR(INDEX('3.員工名單'!$D:$D,MATCH(A1246,'3.員工名單'!$A:$A,0)),""))</f>
        <v/>
      </c>
      <c r="E1246" s="120">
        <f t="array" ref="E1246:E1246">IF(F1246="","",IFERROR(INDEX('1.職能辭典'!$A:$A,MATCH(F1246,'1.職能辭典'!$C:$C,0)),""))</f>
        <v/>
      </c>
      <c r="F1246" s="94" t="n"/>
      <c r="G1246" s="120">
        <f t="array" ref="G1246:G1246">IF(OR(D1246="",F1246=""),"",IFERROR(IF(AND(OR(INDEX('1.職能辭典'!$J:$J,MATCH(F1246,'1.職能辭典'!$C:$C,0))="全部",INDEX('3.員工名單'!$H:$H,MATCH(A1246,'3.員工名單'!$A:$A,0))="兩款共用",INDEX('3.員工名單'!$H:$H,MATCH(A1246,'3.員工名單'!$A:$A,0))=INDEX('1.職能辭典'!$J:$J,MATCH(F1246,'1.職能辭典'!$C:$C,0))),OR(INDEX('1.職能辭典'!$K:$K,MATCH(F1246,'1.職能辭典'!$C:$C,0))="全部",SUMPRODUCT(ISNUMBER(SEARCH({"經營","管理","財務","企劃","營運","技術","數據","美術","測試","客服"},INDEX('3.員工名單'!$I:$I,MATCH(A1246,'3.員工名單'!$A:$A,0))))*ISNUMBER(SEARCH({"經營","管理","財務","企劃","營運","技術","數據","美術","測試","客服"},INDEX('1.職能辭典'!$K:$K,MATCH(F1246,'1.職能辭典'!$C:$C,0)))))&gt;0)),INDEX('2.職務職能需求'!$B$2:$F$28,MATCH(F1246,'2.職務職能需求'!$A$2:$A$28,0),MATCH(D1246,'2.職務職能需求'!$B$1:$F$1,0)),0),""))</f>
        <v/>
      </c>
      <c r="H1246" s="94" t="n"/>
      <c r="I1246" s="94" t="n"/>
      <c r="J1246" s="120">
        <f>IF(OR(G1246="",I1246="",G1246=0),"",I1246-G1246)</f>
        <v/>
      </c>
      <c r="K1246" s="120">
        <f>IF(G1246="","",IF(G1246=0,"不適用",IF(I1246="","待評核",IF(I1246&gt;=G1246,IF(I1246&gt;G1246,"超越","達標"),"待發展"))))</f>
        <v/>
      </c>
      <c r="L1246" s="91" t="n"/>
      <c r="M1246" s="91" t="n"/>
      <c r="N1246" s="88" t="n"/>
    </row>
    <row r="1247" ht="15.75" customHeight="1" s="64">
      <c r="A1247" s="88" t="n"/>
      <c r="B1247" s="120">
        <f t="array" ref="B1247:B1247">IF(A1247="","",IFERROR(INDEX('3.員工名單'!$B:$B,MATCH(A1247,'3.員工名單'!$A:$A,0)),"查無此員工"))</f>
        <v/>
      </c>
      <c r="C1247" s="120">
        <f t="array" ref="C1247:C1247">IF(A1247="","",IFERROR(INDEX('3.員工名單'!$C:$C,MATCH(A1247,'3.員工名單'!$A:$A,0)),""))</f>
        <v/>
      </c>
      <c r="D1247" s="120">
        <f t="array" ref="D1247:D1247">IF(A1247="","",IFERROR(INDEX('3.員工名單'!$D:$D,MATCH(A1247,'3.員工名單'!$A:$A,0)),""))</f>
        <v/>
      </c>
      <c r="E1247" s="120">
        <f t="array" ref="E1247:E1247">IF(F1247="","",IFERROR(INDEX('1.職能辭典'!$A:$A,MATCH(F1247,'1.職能辭典'!$C:$C,0)),""))</f>
        <v/>
      </c>
      <c r="F1247" s="94" t="n"/>
      <c r="G1247" s="120">
        <f t="array" ref="G1247:G1247">IF(OR(D1247="",F1247=""),"",IFERROR(IF(AND(OR(INDEX('1.職能辭典'!$J:$J,MATCH(F1247,'1.職能辭典'!$C:$C,0))="全部",INDEX('3.員工名單'!$H:$H,MATCH(A1247,'3.員工名單'!$A:$A,0))="兩款共用",INDEX('3.員工名單'!$H:$H,MATCH(A1247,'3.員工名單'!$A:$A,0))=INDEX('1.職能辭典'!$J:$J,MATCH(F1247,'1.職能辭典'!$C:$C,0))),OR(INDEX('1.職能辭典'!$K:$K,MATCH(F1247,'1.職能辭典'!$C:$C,0))="全部",SUMPRODUCT(ISNUMBER(SEARCH({"經營","管理","財務","企劃","營運","技術","數據","美術","測試","客服"},INDEX('3.員工名單'!$I:$I,MATCH(A1247,'3.員工名單'!$A:$A,0))))*ISNUMBER(SEARCH({"經營","管理","財務","企劃","營運","技術","數據","美術","測試","客服"},INDEX('1.職能辭典'!$K:$K,MATCH(F1247,'1.職能辭典'!$C:$C,0)))))&gt;0)),INDEX('2.職務職能需求'!$B$2:$F$28,MATCH(F1247,'2.職務職能需求'!$A$2:$A$28,0),MATCH(D1247,'2.職務職能需求'!$B$1:$F$1,0)),0),""))</f>
        <v/>
      </c>
      <c r="H1247" s="94" t="n"/>
      <c r="I1247" s="94" t="n"/>
      <c r="J1247" s="120">
        <f>IF(OR(G1247="",I1247="",G1247=0),"",I1247-G1247)</f>
        <v/>
      </c>
      <c r="K1247" s="120">
        <f>IF(G1247="","",IF(G1247=0,"不適用",IF(I1247="","待評核",IF(I1247&gt;=G1247,IF(I1247&gt;G1247,"超越","達標"),"待發展"))))</f>
        <v/>
      </c>
      <c r="L1247" s="91" t="n"/>
      <c r="M1247" s="91" t="n"/>
      <c r="N1247" s="88" t="n"/>
    </row>
    <row r="1248" ht="15.75" customHeight="1" s="64">
      <c r="A1248" s="88" t="n"/>
      <c r="B1248" s="120">
        <f t="array" ref="B1248:B1248">IF(A1248="","",IFERROR(INDEX('3.員工名單'!$B:$B,MATCH(A1248,'3.員工名單'!$A:$A,0)),"查無此員工"))</f>
        <v/>
      </c>
      <c r="C1248" s="120">
        <f t="array" ref="C1248:C1248">IF(A1248="","",IFERROR(INDEX('3.員工名單'!$C:$C,MATCH(A1248,'3.員工名單'!$A:$A,0)),""))</f>
        <v/>
      </c>
      <c r="D1248" s="120">
        <f t="array" ref="D1248:D1248">IF(A1248="","",IFERROR(INDEX('3.員工名單'!$D:$D,MATCH(A1248,'3.員工名單'!$A:$A,0)),""))</f>
        <v/>
      </c>
      <c r="E1248" s="120">
        <f t="array" ref="E1248:E1248">IF(F1248="","",IFERROR(INDEX('1.職能辭典'!$A:$A,MATCH(F1248,'1.職能辭典'!$C:$C,0)),""))</f>
        <v/>
      </c>
      <c r="F1248" s="94" t="n"/>
      <c r="G1248" s="120">
        <f t="array" ref="G1248:G1248">IF(OR(D1248="",F1248=""),"",IFERROR(IF(AND(OR(INDEX('1.職能辭典'!$J:$J,MATCH(F1248,'1.職能辭典'!$C:$C,0))="全部",INDEX('3.員工名單'!$H:$H,MATCH(A1248,'3.員工名單'!$A:$A,0))="兩款共用",INDEX('3.員工名單'!$H:$H,MATCH(A1248,'3.員工名單'!$A:$A,0))=INDEX('1.職能辭典'!$J:$J,MATCH(F1248,'1.職能辭典'!$C:$C,0))),OR(INDEX('1.職能辭典'!$K:$K,MATCH(F1248,'1.職能辭典'!$C:$C,0))="全部",SUMPRODUCT(ISNUMBER(SEARCH({"經營","管理","財務","企劃","營運","技術","數據","美術","測試","客服"},INDEX('3.員工名單'!$I:$I,MATCH(A1248,'3.員工名單'!$A:$A,0))))*ISNUMBER(SEARCH({"經營","管理","財務","企劃","營運","技術","數據","美術","測試","客服"},INDEX('1.職能辭典'!$K:$K,MATCH(F1248,'1.職能辭典'!$C:$C,0)))))&gt;0)),INDEX('2.職務職能需求'!$B$2:$F$28,MATCH(F1248,'2.職務職能需求'!$A$2:$A$28,0),MATCH(D1248,'2.職務職能需求'!$B$1:$F$1,0)),0),""))</f>
        <v/>
      </c>
      <c r="H1248" s="94" t="n"/>
      <c r="I1248" s="94" t="n"/>
      <c r="J1248" s="120">
        <f>IF(OR(G1248="",I1248="",G1248=0),"",I1248-G1248)</f>
        <v/>
      </c>
      <c r="K1248" s="120">
        <f>IF(G1248="","",IF(G1248=0,"不適用",IF(I1248="","待評核",IF(I1248&gt;=G1248,IF(I1248&gt;G1248,"超越","達標"),"待發展"))))</f>
        <v/>
      </c>
      <c r="L1248" s="91" t="n"/>
      <c r="M1248" s="91" t="n"/>
      <c r="N1248" s="88" t="n"/>
    </row>
    <row r="1249" ht="15.75" customHeight="1" s="64">
      <c r="A1249" s="88" t="n"/>
      <c r="B1249" s="120">
        <f t="array" ref="B1249:B1249">IF(A1249="","",IFERROR(INDEX('3.員工名單'!$B:$B,MATCH(A1249,'3.員工名單'!$A:$A,0)),"查無此員工"))</f>
        <v/>
      </c>
      <c r="C1249" s="120">
        <f t="array" ref="C1249:C1249">IF(A1249="","",IFERROR(INDEX('3.員工名單'!$C:$C,MATCH(A1249,'3.員工名單'!$A:$A,0)),""))</f>
        <v/>
      </c>
      <c r="D1249" s="120">
        <f t="array" ref="D1249:D1249">IF(A1249="","",IFERROR(INDEX('3.員工名單'!$D:$D,MATCH(A1249,'3.員工名單'!$A:$A,0)),""))</f>
        <v/>
      </c>
      <c r="E1249" s="120">
        <f t="array" ref="E1249:E1249">IF(F1249="","",IFERROR(INDEX('1.職能辭典'!$A:$A,MATCH(F1249,'1.職能辭典'!$C:$C,0)),""))</f>
        <v/>
      </c>
      <c r="F1249" s="94" t="n"/>
      <c r="G1249" s="120">
        <f t="array" ref="G1249:G1249">IF(OR(D1249="",F1249=""),"",IFERROR(IF(AND(OR(INDEX('1.職能辭典'!$J:$J,MATCH(F1249,'1.職能辭典'!$C:$C,0))="全部",INDEX('3.員工名單'!$H:$H,MATCH(A1249,'3.員工名單'!$A:$A,0))="兩款共用",INDEX('3.員工名單'!$H:$H,MATCH(A1249,'3.員工名單'!$A:$A,0))=INDEX('1.職能辭典'!$J:$J,MATCH(F1249,'1.職能辭典'!$C:$C,0))),OR(INDEX('1.職能辭典'!$K:$K,MATCH(F1249,'1.職能辭典'!$C:$C,0))="全部",SUMPRODUCT(ISNUMBER(SEARCH({"經營","管理","財務","企劃","營運","技術","數據","美術","測試","客服"},INDEX('3.員工名單'!$I:$I,MATCH(A1249,'3.員工名單'!$A:$A,0))))*ISNUMBER(SEARCH({"經營","管理","財務","企劃","營運","技術","數據","美術","測試","客服"},INDEX('1.職能辭典'!$K:$K,MATCH(F1249,'1.職能辭典'!$C:$C,0)))))&gt;0)),INDEX('2.職務職能需求'!$B$2:$F$28,MATCH(F1249,'2.職務職能需求'!$A$2:$A$28,0),MATCH(D1249,'2.職務職能需求'!$B$1:$F$1,0)),0),""))</f>
        <v/>
      </c>
      <c r="H1249" s="94" t="n"/>
      <c r="I1249" s="94" t="n"/>
      <c r="J1249" s="120">
        <f>IF(OR(G1249="",I1249="",G1249=0),"",I1249-G1249)</f>
        <v/>
      </c>
      <c r="K1249" s="120">
        <f>IF(G1249="","",IF(G1249=0,"不適用",IF(I1249="","待評核",IF(I1249&gt;=G1249,IF(I1249&gt;G1249,"超越","達標"),"待發展"))))</f>
        <v/>
      </c>
      <c r="L1249" s="91" t="n"/>
      <c r="M1249" s="91" t="n"/>
      <c r="N1249" s="88" t="n"/>
    </row>
    <row r="1250" ht="15.75" customHeight="1" s="64">
      <c r="A1250" s="88" t="n"/>
      <c r="B1250" s="120">
        <f t="array" ref="B1250:B1250">IF(A1250="","",IFERROR(INDEX('3.員工名單'!$B:$B,MATCH(A1250,'3.員工名單'!$A:$A,0)),"查無此員工"))</f>
        <v/>
      </c>
      <c r="C1250" s="120">
        <f t="array" ref="C1250:C1250">IF(A1250="","",IFERROR(INDEX('3.員工名單'!$C:$C,MATCH(A1250,'3.員工名單'!$A:$A,0)),""))</f>
        <v/>
      </c>
      <c r="D1250" s="120">
        <f t="array" ref="D1250:D1250">IF(A1250="","",IFERROR(INDEX('3.員工名單'!$D:$D,MATCH(A1250,'3.員工名單'!$A:$A,0)),""))</f>
        <v/>
      </c>
      <c r="E1250" s="120">
        <f t="array" ref="E1250:E1250">IF(F1250="","",IFERROR(INDEX('1.職能辭典'!$A:$A,MATCH(F1250,'1.職能辭典'!$C:$C,0)),""))</f>
        <v/>
      </c>
      <c r="F1250" s="94" t="n"/>
      <c r="G1250" s="120">
        <f t="array" ref="G1250:G1250">IF(OR(D1250="",F1250=""),"",IFERROR(IF(AND(OR(INDEX('1.職能辭典'!$J:$J,MATCH(F1250,'1.職能辭典'!$C:$C,0))="全部",INDEX('3.員工名單'!$H:$H,MATCH(A1250,'3.員工名單'!$A:$A,0))="兩款共用",INDEX('3.員工名單'!$H:$H,MATCH(A1250,'3.員工名單'!$A:$A,0))=INDEX('1.職能辭典'!$J:$J,MATCH(F1250,'1.職能辭典'!$C:$C,0))),OR(INDEX('1.職能辭典'!$K:$K,MATCH(F1250,'1.職能辭典'!$C:$C,0))="全部",SUMPRODUCT(ISNUMBER(SEARCH({"經營","管理","財務","企劃","營運","技術","數據","美術","測試","客服"},INDEX('3.員工名單'!$I:$I,MATCH(A1250,'3.員工名單'!$A:$A,0))))*ISNUMBER(SEARCH({"經營","管理","財務","企劃","營運","技術","數據","美術","測試","客服"},INDEX('1.職能辭典'!$K:$K,MATCH(F1250,'1.職能辭典'!$C:$C,0)))))&gt;0)),INDEX('2.職務職能需求'!$B$2:$F$28,MATCH(F1250,'2.職務職能需求'!$A$2:$A$28,0),MATCH(D1250,'2.職務職能需求'!$B$1:$F$1,0)),0),""))</f>
        <v/>
      </c>
      <c r="H1250" s="94" t="n"/>
      <c r="I1250" s="94" t="n"/>
      <c r="J1250" s="120">
        <f>IF(OR(G1250="",I1250="",G1250=0),"",I1250-G1250)</f>
        <v/>
      </c>
      <c r="K1250" s="120">
        <f>IF(G1250="","",IF(G1250=0,"不適用",IF(I1250="","待評核",IF(I1250&gt;=G1250,IF(I1250&gt;G1250,"超越","達標"),"待發展"))))</f>
        <v/>
      </c>
      <c r="L1250" s="91" t="n"/>
      <c r="M1250" s="91" t="n"/>
      <c r="N1250" s="88" t="n"/>
    </row>
    <row r="1251" ht="15.75" customHeight="1" s="64">
      <c r="A1251" s="88" t="n"/>
      <c r="B1251" s="120">
        <f t="array" ref="B1251:B1251">IF(A1251="","",IFERROR(INDEX('3.員工名單'!$B:$B,MATCH(A1251,'3.員工名單'!$A:$A,0)),"查無此員工"))</f>
        <v/>
      </c>
      <c r="C1251" s="120">
        <f t="array" ref="C1251:C1251">IF(A1251="","",IFERROR(INDEX('3.員工名單'!$C:$C,MATCH(A1251,'3.員工名單'!$A:$A,0)),""))</f>
        <v/>
      </c>
      <c r="D1251" s="120">
        <f t="array" ref="D1251:D1251">IF(A1251="","",IFERROR(INDEX('3.員工名單'!$D:$D,MATCH(A1251,'3.員工名單'!$A:$A,0)),""))</f>
        <v/>
      </c>
      <c r="E1251" s="120">
        <f t="array" ref="E1251:E1251">IF(F1251="","",IFERROR(INDEX('1.職能辭典'!$A:$A,MATCH(F1251,'1.職能辭典'!$C:$C,0)),""))</f>
        <v/>
      </c>
      <c r="F1251" s="94" t="n"/>
      <c r="G1251" s="120">
        <f t="array" ref="G1251:G1251">IF(OR(D1251="",F1251=""),"",IFERROR(IF(AND(OR(INDEX('1.職能辭典'!$J:$J,MATCH(F1251,'1.職能辭典'!$C:$C,0))="全部",INDEX('3.員工名單'!$H:$H,MATCH(A1251,'3.員工名單'!$A:$A,0))="兩款共用",INDEX('3.員工名單'!$H:$H,MATCH(A1251,'3.員工名單'!$A:$A,0))=INDEX('1.職能辭典'!$J:$J,MATCH(F1251,'1.職能辭典'!$C:$C,0))),OR(INDEX('1.職能辭典'!$K:$K,MATCH(F1251,'1.職能辭典'!$C:$C,0))="全部",SUMPRODUCT(ISNUMBER(SEARCH({"經營","管理","財務","企劃","營運","技術","數據","美術","測試","客服"},INDEX('3.員工名單'!$I:$I,MATCH(A1251,'3.員工名單'!$A:$A,0))))*ISNUMBER(SEARCH({"經營","管理","財務","企劃","營運","技術","數據","美術","測試","客服"},INDEX('1.職能辭典'!$K:$K,MATCH(F1251,'1.職能辭典'!$C:$C,0)))))&gt;0)),INDEX('2.職務職能需求'!$B$2:$F$28,MATCH(F1251,'2.職務職能需求'!$A$2:$A$28,0),MATCH(D1251,'2.職務職能需求'!$B$1:$F$1,0)),0),""))</f>
        <v/>
      </c>
      <c r="H1251" s="94" t="n"/>
      <c r="I1251" s="94" t="n"/>
      <c r="J1251" s="120">
        <f>IF(OR(G1251="",I1251="",G1251=0),"",I1251-G1251)</f>
        <v/>
      </c>
      <c r="K1251" s="120">
        <f>IF(G1251="","",IF(G1251=0,"不適用",IF(I1251="","待評核",IF(I1251&gt;=G1251,IF(I1251&gt;G1251,"超越","達標"),"待發展"))))</f>
        <v/>
      </c>
      <c r="L1251" s="91" t="n"/>
      <c r="M1251" s="91" t="n"/>
      <c r="N1251" s="88" t="n"/>
    </row>
    <row r="1252" ht="15.75" customHeight="1" s="64">
      <c r="A1252" s="88" t="n"/>
      <c r="B1252" s="120">
        <f t="array" ref="B1252:B1252">IF(A1252="","",IFERROR(INDEX('3.員工名單'!$B:$B,MATCH(A1252,'3.員工名單'!$A:$A,0)),"查無此員工"))</f>
        <v/>
      </c>
      <c r="C1252" s="120">
        <f t="array" ref="C1252:C1252">IF(A1252="","",IFERROR(INDEX('3.員工名單'!$C:$C,MATCH(A1252,'3.員工名單'!$A:$A,0)),""))</f>
        <v/>
      </c>
      <c r="D1252" s="120">
        <f t="array" ref="D1252:D1252">IF(A1252="","",IFERROR(INDEX('3.員工名單'!$D:$D,MATCH(A1252,'3.員工名單'!$A:$A,0)),""))</f>
        <v/>
      </c>
      <c r="E1252" s="120">
        <f t="array" ref="E1252:E1252">IF(F1252="","",IFERROR(INDEX('1.職能辭典'!$A:$A,MATCH(F1252,'1.職能辭典'!$C:$C,0)),""))</f>
        <v/>
      </c>
      <c r="F1252" s="94" t="n"/>
      <c r="G1252" s="120">
        <f t="array" ref="G1252:G1252">IF(OR(D1252="",F1252=""),"",IFERROR(IF(AND(OR(INDEX('1.職能辭典'!$J:$J,MATCH(F1252,'1.職能辭典'!$C:$C,0))="全部",INDEX('3.員工名單'!$H:$H,MATCH(A1252,'3.員工名單'!$A:$A,0))="兩款共用",INDEX('3.員工名單'!$H:$H,MATCH(A1252,'3.員工名單'!$A:$A,0))=INDEX('1.職能辭典'!$J:$J,MATCH(F1252,'1.職能辭典'!$C:$C,0))),OR(INDEX('1.職能辭典'!$K:$K,MATCH(F1252,'1.職能辭典'!$C:$C,0))="全部",SUMPRODUCT(ISNUMBER(SEARCH({"經營","管理","財務","企劃","營運","技術","數據","美術","測試","客服"},INDEX('3.員工名單'!$I:$I,MATCH(A1252,'3.員工名單'!$A:$A,0))))*ISNUMBER(SEARCH({"經營","管理","財務","企劃","營運","技術","數據","美術","測試","客服"},INDEX('1.職能辭典'!$K:$K,MATCH(F1252,'1.職能辭典'!$C:$C,0)))))&gt;0)),INDEX('2.職務職能需求'!$B$2:$F$28,MATCH(F1252,'2.職務職能需求'!$A$2:$A$28,0),MATCH(D1252,'2.職務職能需求'!$B$1:$F$1,0)),0),""))</f>
        <v/>
      </c>
      <c r="H1252" s="94" t="n"/>
      <c r="I1252" s="94" t="n"/>
      <c r="J1252" s="120">
        <f>IF(OR(G1252="",I1252="",G1252=0),"",I1252-G1252)</f>
        <v/>
      </c>
      <c r="K1252" s="120">
        <f>IF(G1252="","",IF(G1252=0,"不適用",IF(I1252="","待評核",IF(I1252&gt;=G1252,IF(I1252&gt;G1252,"超越","達標"),"待發展"))))</f>
        <v/>
      </c>
      <c r="L1252" s="91" t="n"/>
      <c r="M1252" s="91" t="n"/>
      <c r="N1252" s="88" t="n"/>
    </row>
    <row r="1253" ht="15.75" customHeight="1" s="64">
      <c r="A1253" s="88" t="n"/>
      <c r="B1253" s="120">
        <f t="array" ref="B1253:B1253">IF(A1253="","",IFERROR(INDEX('3.員工名單'!$B:$B,MATCH(A1253,'3.員工名單'!$A:$A,0)),"查無此員工"))</f>
        <v/>
      </c>
      <c r="C1253" s="120">
        <f t="array" ref="C1253:C1253">IF(A1253="","",IFERROR(INDEX('3.員工名單'!$C:$C,MATCH(A1253,'3.員工名單'!$A:$A,0)),""))</f>
        <v/>
      </c>
      <c r="D1253" s="120">
        <f t="array" ref="D1253:D1253">IF(A1253="","",IFERROR(INDEX('3.員工名單'!$D:$D,MATCH(A1253,'3.員工名單'!$A:$A,0)),""))</f>
        <v/>
      </c>
      <c r="E1253" s="120">
        <f t="array" ref="E1253:E1253">IF(F1253="","",IFERROR(INDEX('1.職能辭典'!$A:$A,MATCH(F1253,'1.職能辭典'!$C:$C,0)),""))</f>
        <v/>
      </c>
      <c r="F1253" s="94" t="n"/>
      <c r="G1253" s="120">
        <f t="array" ref="G1253:G1253">IF(OR(D1253="",F1253=""),"",IFERROR(IF(AND(OR(INDEX('1.職能辭典'!$J:$J,MATCH(F1253,'1.職能辭典'!$C:$C,0))="全部",INDEX('3.員工名單'!$H:$H,MATCH(A1253,'3.員工名單'!$A:$A,0))="兩款共用",INDEX('3.員工名單'!$H:$H,MATCH(A1253,'3.員工名單'!$A:$A,0))=INDEX('1.職能辭典'!$J:$J,MATCH(F1253,'1.職能辭典'!$C:$C,0))),OR(INDEX('1.職能辭典'!$K:$K,MATCH(F1253,'1.職能辭典'!$C:$C,0))="全部",SUMPRODUCT(ISNUMBER(SEARCH({"經營","管理","財務","企劃","營運","技術","數據","美術","測試","客服"},INDEX('3.員工名單'!$I:$I,MATCH(A1253,'3.員工名單'!$A:$A,0))))*ISNUMBER(SEARCH({"經營","管理","財務","企劃","營運","技術","數據","美術","測試","客服"},INDEX('1.職能辭典'!$K:$K,MATCH(F1253,'1.職能辭典'!$C:$C,0)))))&gt;0)),INDEX('2.職務職能需求'!$B$2:$F$28,MATCH(F1253,'2.職務職能需求'!$A$2:$A$28,0),MATCH(D1253,'2.職務職能需求'!$B$1:$F$1,0)),0),""))</f>
        <v/>
      </c>
      <c r="H1253" s="94" t="n"/>
      <c r="I1253" s="94" t="n"/>
      <c r="J1253" s="120">
        <f>IF(OR(G1253="",I1253="",G1253=0),"",I1253-G1253)</f>
        <v/>
      </c>
      <c r="K1253" s="120">
        <f>IF(G1253="","",IF(G1253=0,"不適用",IF(I1253="","待評核",IF(I1253&gt;=G1253,IF(I1253&gt;G1253,"超越","達標"),"待發展"))))</f>
        <v/>
      </c>
      <c r="L1253" s="91" t="n"/>
      <c r="M1253" s="91" t="n"/>
      <c r="N1253" s="88" t="n"/>
    </row>
    <row r="1254" ht="15.75" customHeight="1" s="64">
      <c r="A1254" s="88" t="n"/>
      <c r="B1254" s="120">
        <f t="array" ref="B1254:B1254">IF(A1254="","",IFERROR(INDEX('3.員工名單'!$B:$B,MATCH(A1254,'3.員工名單'!$A:$A,0)),"查無此員工"))</f>
        <v/>
      </c>
      <c r="C1254" s="120">
        <f t="array" ref="C1254:C1254">IF(A1254="","",IFERROR(INDEX('3.員工名單'!$C:$C,MATCH(A1254,'3.員工名單'!$A:$A,0)),""))</f>
        <v/>
      </c>
      <c r="D1254" s="120">
        <f t="array" ref="D1254:D1254">IF(A1254="","",IFERROR(INDEX('3.員工名單'!$D:$D,MATCH(A1254,'3.員工名單'!$A:$A,0)),""))</f>
        <v/>
      </c>
      <c r="E1254" s="120">
        <f t="array" ref="E1254:E1254">IF(F1254="","",IFERROR(INDEX('1.職能辭典'!$A:$A,MATCH(F1254,'1.職能辭典'!$C:$C,0)),""))</f>
        <v/>
      </c>
      <c r="F1254" s="94" t="n"/>
      <c r="G1254" s="120">
        <f t="array" ref="G1254:G1254">IF(OR(D1254="",F1254=""),"",IFERROR(IF(AND(OR(INDEX('1.職能辭典'!$J:$J,MATCH(F1254,'1.職能辭典'!$C:$C,0))="全部",INDEX('3.員工名單'!$H:$H,MATCH(A1254,'3.員工名單'!$A:$A,0))="兩款共用",INDEX('3.員工名單'!$H:$H,MATCH(A1254,'3.員工名單'!$A:$A,0))=INDEX('1.職能辭典'!$J:$J,MATCH(F1254,'1.職能辭典'!$C:$C,0))),OR(INDEX('1.職能辭典'!$K:$K,MATCH(F1254,'1.職能辭典'!$C:$C,0))="全部",SUMPRODUCT(ISNUMBER(SEARCH({"經營","管理","財務","企劃","營運","技術","數據","美術","測試","客服"},INDEX('3.員工名單'!$I:$I,MATCH(A1254,'3.員工名單'!$A:$A,0))))*ISNUMBER(SEARCH({"經營","管理","財務","企劃","營運","技術","數據","美術","測試","客服"},INDEX('1.職能辭典'!$K:$K,MATCH(F1254,'1.職能辭典'!$C:$C,0)))))&gt;0)),INDEX('2.職務職能需求'!$B$2:$F$28,MATCH(F1254,'2.職務職能需求'!$A$2:$A$28,0),MATCH(D1254,'2.職務職能需求'!$B$1:$F$1,0)),0),""))</f>
        <v/>
      </c>
      <c r="H1254" s="94" t="n"/>
      <c r="I1254" s="94" t="n"/>
      <c r="J1254" s="120">
        <f>IF(OR(G1254="",I1254="",G1254=0),"",I1254-G1254)</f>
        <v/>
      </c>
      <c r="K1254" s="120">
        <f>IF(G1254="","",IF(G1254=0,"不適用",IF(I1254="","待評核",IF(I1254&gt;=G1254,IF(I1254&gt;G1254,"超越","達標"),"待發展"))))</f>
        <v/>
      </c>
      <c r="L1254" s="91" t="n"/>
      <c r="M1254" s="91" t="n"/>
      <c r="N1254" s="88" t="n"/>
    </row>
    <row r="1255" ht="15.75" customHeight="1" s="64">
      <c r="A1255" s="88" t="n"/>
      <c r="B1255" s="120">
        <f t="array" ref="B1255:B1255">IF(A1255="","",IFERROR(INDEX('3.員工名單'!$B:$B,MATCH(A1255,'3.員工名單'!$A:$A,0)),"查無此員工"))</f>
        <v/>
      </c>
      <c r="C1255" s="120">
        <f t="array" ref="C1255:C1255">IF(A1255="","",IFERROR(INDEX('3.員工名單'!$C:$C,MATCH(A1255,'3.員工名單'!$A:$A,0)),""))</f>
        <v/>
      </c>
      <c r="D1255" s="120">
        <f t="array" ref="D1255:D1255">IF(A1255="","",IFERROR(INDEX('3.員工名單'!$D:$D,MATCH(A1255,'3.員工名單'!$A:$A,0)),""))</f>
        <v/>
      </c>
      <c r="E1255" s="120">
        <f t="array" ref="E1255:E1255">IF(F1255="","",IFERROR(INDEX('1.職能辭典'!$A:$A,MATCH(F1255,'1.職能辭典'!$C:$C,0)),""))</f>
        <v/>
      </c>
      <c r="F1255" s="94" t="n"/>
      <c r="G1255" s="120">
        <f t="array" ref="G1255:G1255">IF(OR(D1255="",F1255=""),"",IFERROR(IF(AND(OR(INDEX('1.職能辭典'!$J:$J,MATCH(F1255,'1.職能辭典'!$C:$C,0))="全部",INDEX('3.員工名單'!$H:$H,MATCH(A1255,'3.員工名單'!$A:$A,0))="兩款共用",INDEX('3.員工名單'!$H:$H,MATCH(A1255,'3.員工名單'!$A:$A,0))=INDEX('1.職能辭典'!$J:$J,MATCH(F1255,'1.職能辭典'!$C:$C,0))),OR(INDEX('1.職能辭典'!$K:$K,MATCH(F1255,'1.職能辭典'!$C:$C,0))="全部",SUMPRODUCT(ISNUMBER(SEARCH({"經營","管理","財務","企劃","營運","技術","數據","美術","測試","客服"},INDEX('3.員工名單'!$I:$I,MATCH(A1255,'3.員工名單'!$A:$A,0))))*ISNUMBER(SEARCH({"經營","管理","財務","企劃","營運","技術","數據","美術","測試","客服"},INDEX('1.職能辭典'!$K:$K,MATCH(F1255,'1.職能辭典'!$C:$C,0)))))&gt;0)),INDEX('2.職務職能需求'!$B$2:$F$28,MATCH(F1255,'2.職務職能需求'!$A$2:$A$28,0),MATCH(D1255,'2.職務職能需求'!$B$1:$F$1,0)),0),""))</f>
        <v/>
      </c>
      <c r="H1255" s="94" t="n"/>
      <c r="I1255" s="94" t="n"/>
      <c r="J1255" s="120">
        <f>IF(OR(G1255="",I1255="",G1255=0),"",I1255-G1255)</f>
        <v/>
      </c>
      <c r="K1255" s="120">
        <f>IF(G1255="","",IF(G1255=0,"不適用",IF(I1255="","待評核",IF(I1255&gt;=G1255,IF(I1255&gt;G1255,"超越","達標"),"待發展"))))</f>
        <v/>
      </c>
      <c r="L1255" s="91" t="n"/>
      <c r="M1255" s="91" t="n"/>
      <c r="N1255" s="88" t="n"/>
    </row>
    <row r="1256" ht="15.75" customHeight="1" s="64">
      <c r="A1256" s="88" t="n"/>
      <c r="B1256" s="120">
        <f t="array" ref="B1256:B1256">IF(A1256="","",IFERROR(INDEX('3.員工名單'!$B:$B,MATCH(A1256,'3.員工名單'!$A:$A,0)),"查無此員工"))</f>
        <v/>
      </c>
      <c r="C1256" s="120">
        <f t="array" ref="C1256:C1256">IF(A1256="","",IFERROR(INDEX('3.員工名單'!$C:$C,MATCH(A1256,'3.員工名單'!$A:$A,0)),""))</f>
        <v/>
      </c>
      <c r="D1256" s="120">
        <f t="array" ref="D1256:D1256">IF(A1256="","",IFERROR(INDEX('3.員工名單'!$D:$D,MATCH(A1256,'3.員工名單'!$A:$A,0)),""))</f>
        <v/>
      </c>
      <c r="E1256" s="120">
        <f t="array" ref="E1256:E1256">IF(F1256="","",IFERROR(INDEX('1.職能辭典'!$A:$A,MATCH(F1256,'1.職能辭典'!$C:$C,0)),""))</f>
        <v/>
      </c>
      <c r="F1256" s="94" t="n"/>
      <c r="G1256" s="120">
        <f t="array" ref="G1256:G1256">IF(OR(D1256="",F1256=""),"",IFERROR(IF(AND(OR(INDEX('1.職能辭典'!$J:$J,MATCH(F1256,'1.職能辭典'!$C:$C,0))="全部",INDEX('3.員工名單'!$H:$H,MATCH(A1256,'3.員工名單'!$A:$A,0))="兩款共用",INDEX('3.員工名單'!$H:$H,MATCH(A1256,'3.員工名單'!$A:$A,0))=INDEX('1.職能辭典'!$J:$J,MATCH(F1256,'1.職能辭典'!$C:$C,0))),OR(INDEX('1.職能辭典'!$K:$K,MATCH(F1256,'1.職能辭典'!$C:$C,0))="全部",SUMPRODUCT(ISNUMBER(SEARCH({"經營","管理","財務","企劃","營運","技術","數據","美術","測試","客服"},INDEX('3.員工名單'!$I:$I,MATCH(A1256,'3.員工名單'!$A:$A,0))))*ISNUMBER(SEARCH({"經營","管理","財務","企劃","營運","技術","數據","美術","測試","客服"},INDEX('1.職能辭典'!$K:$K,MATCH(F1256,'1.職能辭典'!$C:$C,0)))))&gt;0)),INDEX('2.職務職能需求'!$B$2:$F$28,MATCH(F1256,'2.職務職能需求'!$A$2:$A$28,0),MATCH(D1256,'2.職務職能需求'!$B$1:$F$1,0)),0),""))</f>
        <v/>
      </c>
      <c r="H1256" s="94" t="n"/>
      <c r="I1256" s="94" t="n"/>
      <c r="J1256" s="120">
        <f>IF(OR(G1256="",I1256="",G1256=0),"",I1256-G1256)</f>
        <v/>
      </c>
      <c r="K1256" s="120">
        <f>IF(G1256="","",IF(G1256=0,"不適用",IF(I1256="","待評核",IF(I1256&gt;=G1256,IF(I1256&gt;G1256,"超越","達標"),"待發展"))))</f>
        <v/>
      </c>
      <c r="L1256" s="91" t="n"/>
      <c r="M1256" s="91" t="n"/>
      <c r="N1256" s="88" t="n"/>
    </row>
    <row r="1257" ht="15.75" customHeight="1" s="64">
      <c r="A1257" s="88" t="n"/>
      <c r="B1257" s="120">
        <f t="array" ref="B1257:B1257">IF(A1257="","",IFERROR(INDEX('3.員工名單'!$B:$B,MATCH(A1257,'3.員工名單'!$A:$A,0)),"查無此員工"))</f>
        <v/>
      </c>
      <c r="C1257" s="120">
        <f t="array" ref="C1257:C1257">IF(A1257="","",IFERROR(INDEX('3.員工名單'!$C:$C,MATCH(A1257,'3.員工名單'!$A:$A,0)),""))</f>
        <v/>
      </c>
      <c r="D1257" s="120">
        <f t="array" ref="D1257:D1257">IF(A1257="","",IFERROR(INDEX('3.員工名單'!$D:$D,MATCH(A1257,'3.員工名單'!$A:$A,0)),""))</f>
        <v/>
      </c>
      <c r="E1257" s="120">
        <f t="array" ref="E1257:E1257">IF(F1257="","",IFERROR(INDEX('1.職能辭典'!$A:$A,MATCH(F1257,'1.職能辭典'!$C:$C,0)),""))</f>
        <v/>
      </c>
      <c r="F1257" s="94" t="n"/>
      <c r="G1257" s="120">
        <f t="array" ref="G1257:G1257">IF(OR(D1257="",F1257=""),"",IFERROR(IF(AND(OR(INDEX('1.職能辭典'!$J:$J,MATCH(F1257,'1.職能辭典'!$C:$C,0))="全部",INDEX('3.員工名單'!$H:$H,MATCH(A1257,'3.員工名單'!$A:$A,0))="兩款共用",INDEX('3.員工名單'!$H:$H,MATCH(A1257,'3.員工名單'!$A:$A,0))=INDEX('1.職能辭典'!$J:$J,MATCH(F1257,'1.職能辭典'!$C:$C,0))),OR(INDEX('1.職能辭典'!$K:$K,MATCH(F1257,'1.職能辭典'!$C:$C,0))="全部",SUMPRODUCT(ISNUMBER(SEARCH({"經營","管理","財務","企劃","營運","技術","數據","美術","測試","客服"},INDEX('3.員工名單'!$I:$I,MATCH(A1257,'3.員工名單'!$A:$A,0))))*ISNUMBER(SEARCH({"經營","管理","財務","企劃","營運","技術","數據","美術","測試","客服"},INDEX('1.職能辭典'!$K:$K,MATCH(F1257,'1.職能辭典'!$C:$C,0)))))&gt;0)),INDEX('2.職務職能需求'!$B$2:$F$28,MATCH(F1257,'2.職務職能需求'!$A$2:$A$28,0),MATCH(D1257,'2.職務職能需求'!$B$1:$F$1,0)),0),""))</f>
        <v/>
      </c>
      <c r="H1257" s="94" t="n"/>
      <c r="I1257" s="94" t="n"/>
      <c r="J1257" s="120">
        <f>IF(OR(G1257="",I1257="",G1257=0),"",I1257-G1257)</f>
        <v/>
      </c>
      <c r="K1257" s="120">
        <f>IF(G1257="","",IF(G1257=0,"不適用",IF(I1257="","待評核",IF(I1257&gt;=G1257,IF(I1257&gt;G1257,"超越","達標"),"待發展"))))</f>
        <v/>
      </c>
      <c r="L1257" s="91" t="n"/>
      <c r="M1257" s="91" t="n"/>
      <c r="N1257" s="88" t="n"/>
    </row>
    <row r="1258" ht="15.75" customHeight="1" s="64">
      <c r="A1258" s="88" t="n"/>
      <c r="B1258" s="120">
        <f t="array" ref="B1258:B1258">IF(A1258="","",IFERROR(INDEX('3.員工名單'!$B:$B,MATCH(A1258,'3.員工名單'!$A:$A,0)),"查無此員工"))</f>
        <v/>
      </c>
      <c r="C1258" s="120">
        <f t="array" ref="C1258:C1258">IF(A1258="","",IFERROR(INDEX('3.員工名單'!$C:$C,MATCH(A1258,'3.員工名單'!$A:$A,0)),""))</f>
        <v/>
      </c>
      <c r="D1258" s="120">
        <f t="array" ref="D1258:D1258">IF(A1258="","",IFERROR(INDEX('3.員工名單'!$D:$D,MATCH(A1258,'3.員工名單'!$A:$A,0)),""))</f>
        <v/>
      </c>
      <c r="E1258" s="120">
        <f t="array" ref="E1258:E1258">IF(F1258="","",IFERROR(INDEX('1.職能辭典'!$A:$A,MATCH(F1258,'1.職能辭典'!$C:$C,0)),""))</f>
        <v/>
      </c>
      <c r="F1258" s="94" t="n"/>
      <c r="G1258" s="120">
        <f t="array" ref="G1258:G1258">IF(OR(D1258="",F1258=""),"",IFERROR(IF(AND(OR(INDEX('1.職能辭典'!$J:$J,MATCH(F1258,'1.職能辭典'!$C:$C,0))="全部",INDEX('3.員工名單'!$H:$H,MATCH(A1258,'3.員工名單'!$A:$A,0))="兩款共用",INDEX('3.員工名單'!$H:$H,MATCH(A1258,'3.員工名單'!$A:$A,0))=INDEX('1.職能辭典'!$J:$J,MATCH(F1258,'1.職能辭典'!$C:$C,0))),OR(INDEX('1.職能辭典'!$K:$K,MATCH(F1258,'1.職能辭典'!$C:$C,0))="全部",SUMPRODUCT(ISNUMBER(SEARCH({"經營","管理","財務","企劃","營運","技術","數據","美術","測試","客服"},INDEX('3.員工名單'!$I:$I,MATCH(A1258,'3.員工名單'!$A:$A,0))))*ISNUMBER(SEARCH({"經營","管理","財務","企劃","營運","技術","數據","美術","測試","客服"},INDEX('1.職能辭典'!$K:$K,MATCH(F1258,'1.職能辭典'!$C:$C,0)))))&gt;0)),INDEX('2.職務職能需求'!$B$2:$F$28,MATCH(F1258,'2.職務職能需求'!$A$2:$A$28,0),MATCH(D1258,'2.職務職能需求'!$B$1:$F$1,0)),0),""))</f>
        <v/>
      </c>
      <c r="H1258" s="94" t="n"/>
      <c r="I1258" s="94" t="n"/>
      <c r="J1258" s="120">
        <f>IF(OR(G1258="",I1258="",G1258=0),"",I1258-G1258)</f>
        <v/>
      </c>
      <c r="K1258" s="120">
        <f>IF(G1258="","",IF(G1258=0,"不適用",IF(I1258="","待評核",IF(I1258&gt;=G1258,IF(I1258&gt;G1258,"超越","達標"),"待發展"))))</f>
        <v/>
      </c>
      <c r="L1258" s="91" t="n"/>
      <c r="M1258" s="91" t="n"/>
      <c r="N1258" s="88" t="n"/>
    </row>
    <row r="1259" ht="15.75" customHeight="1" s="64">
      <c r="A1259" s="88" t="n"/>
      <c r="B1259" s="120">
        <f t="array" ref="B1259:B1259">IF(A1259="","",IFERROR(INDEX('3.員工名單'!$B:$B,MATCH(A1259,'3.員工名單'!$A:$A,0)),"查無此員工"))</f>
        <v/>
      </c>
      <c r="C1259" s="120">
        <f t="array" ref="C1259:C1259">IF(A1259="","",IFERROR(INDEX('3.員工名單'!$C:$C,MATCH(A1259,'3.員工名單'!$A:$A,0)),""))</f>
        <v/>
      </c>
      <c r="D1259" s="120">
        <f t="array" ref="D1259:D1259">IF(A1259="","",IFERROR(INDEX('3.員工名單'!$D:$D,MATCH(A1259,'3.員工名單'!$A:$A,0)),""))</f>
        <v/>
      </c>
      <c r="E1259" s="120">
        <f t="array" ref="E1259:E1259">IF(F1259="","",IFERROR(INDEX('1.職能辭典'!$A:$A,MATCH(F1259,'1.職能辭典'!$C:$C,0)),""))</f>
        <v/>
      </c>
      <c r="F1259" s="94" t="n"/>
      <c r="G1259" s="120">
        <f t="array" ref="G1259:G1259">IF(OR(D1259="",F1259=""),"",IFERROR(IF(AND(OR(INDEX('1.職能辭典'!$J:$J,MATCH(F1259,'1.職能辭典'!$C:$C,0))="全部",INDEX('3.員工名單'!$H:$H,MATCH(A1259,'3.員工名單'!$A:$A,0))="兩款共用",INDEX('3.員工名單'!$H:$H,MATCH(A1259,'3.員工名單'!$A:$A,0))=INDEX('1.職能辭典'!$J:$J,MATCH(F1259,'1.職能辭典'!$C:$C,0))),OR(INDEX('1.職能辭典'!$K:$K,MATCH(F1259,'1.職能辭典'!$C:$C,0))="全部",SUMPRODUCT(ISNUMBER(SEARCH({"經營","管理","財務","企劃","營運","技術","數據","美術","測試","客服"},INDEX('3.員工名單'!$I:$I,MATCH(A1259,'3.員工名單'!$A:$A,0))))*ISNUMBER(SEARCH({"經營","管理","財務","企劃","營運","技術","數據","美術","測試","客服"},INDEX('1.職能辭典'!$K:$K,MATCH(F1259,'1.職能辭典'!$C:$C,0)))))&gt;0)),INDEX('2.職務職能需求'!$B$2:$F$28,MATCH(F1259,'2.職務職能需求'!$A$2:$A$28,0),MATCH(D1259,'2.職務職能需求'!$B$1:$F$1,0)),0),""))</f>
        <v/>
      </c>
      <c r="H1259" s="94" t="n"/>
      <c r="I1259" s="94" t="n"/>
      <c r="J1259" s="120">
        <f>IF(OR(G1259="",I1259="",G1259=0),"",I1259-G1259)</f>
        <v/>
      </c>
      <c r="K1259" s="120">
        <f>IF(G1259="","",IF(G1259=0,"不適用",IF(I1259="","待評核",IF(I1259&gt;=G1259,IF(I1259&gt;G1259,"超越","達標"),"待發展"))))</f>
        <v/>
      </c>
      <c r="L1259" s="91" t="n"/>
      <c r="M1259" s="91" t="n"/>
      <c r="N1259" s="88" t="n"/>
    </row>
    <row r="1260" ht="15.75" customHeight="1" s="64">
      <c r="A1260" s="88" t="n"/>
      <c r="B1260" s="120">
        <f t="array" ref="B1260:B1260">IF(A1260="","",IFERROR(INDEX('3.員工名單'!$B:$B,MATCH(A1260,'3.員工名單'!$A:$A,0)),"查無此員工"))</f>
        <v/>
      </c>
      <c r="C1260" s="120">
        <f t="array" ref="C1260:C1260">IF(A1260="","",IFERROR(INDEX('3.員工名單'!$C:$C,MATCH(A1260,'3.員工名單'!$A:$A,0)),""))</f>
        <v/>
      </c>
      <c r="D1260" s="120">
        <f t="array" ref="D1260:D1260">IF(A1260="","",IFERROR(INDEX('3.員工名單'!$D:$D,MATCH(A1260,'3.員工名單'!$A:$A,0)),""))</f>
        <v/>
      </c>
      <c r="E1260" s="120">
        <f t="array" ref="E1260:E1260">IF(F1260="","",IFERROR(INDEX('1.職能辭典'!$A:$A,MATCH(F1260,'1.職能辭典'!$C:$C,0)),""))</f>
        <v/>
      </c>
      <c r="F1260" s="94" t="n"/>
      <c r="G1260" s="120">
        <f t="array" ref="G1260:G1260">IF(OR(D1260="",F1260=""),"",IFERROR(IF(AND(OR(INDEX('1.職能辭典'!$J:$J,MATCH(F1260,'1.職能辭典'!$C:$C,0))="全部",INDEX('3.員工名單'!$H:$H,MATCH(A1260,'3.員工名單'!$A:$A,0))="兩款共用",INDEX('3.員工名單'!$H:$H,MATCH(A1260,'3.員工名單'!$A:$A,0))=INDEX('1.職能辭典'!$J:$J,MATCH(F1260,'1.職能辭典'!$C:$C,0))),OR(INDEX('1.職能辭典'!$K:$K,MATCH(F1260,'1.職能辭典'!$C:$C,0))="全部",SUMPRODUCT(ISNUMBER(SEARCH({"經營","管理","財務","企劃","營運","技術","數據","美術","測試","客服"},INDEX('3.員工名單'!$I:$I,MATCH(A1260,'3.員工名單'!$A:$A,0))))*ISNUMBER(SEARCH({"經營","管理","財務","企劃","營運","技術","數據","美術","測試","客服"},INDEX('1.職能辭典'!$K:$K,MATCH(F1260,'1.職能辭典'!$C:$C,0)))))&gt;0)),INDEX('2.職務職能需求'!$B$2:$F$28,MATCH(F1260,'2.職務職能需求'!$A$2:$A$28,0),MATCH(D1260,'2.職務職能需求'!$B$1:$F$1,0)),0),""))</f>
        <v/>
      </c>
      <c r="H1260" s="94" t="n"/>
      <c r="I1260" s="94" t="n"/>
      <c r="J1260" s="120">
        <f>IF(OR(G1260="",I1260="",G1260=0),"",I1260-G1260)</f>
        <v/>
      </c>
      <c r="K1260" s="120">
        <f>IF(G1260="","",IF(G1260=0,"不適用",IF(I1260="","待評核",IF(I1260&gt;=G1260,IF(I1260&gt;G1260,"超越","達標"),"待發展"))))</f>
        <v/>
      </c>
      <c r="L1260" s="91" t="n"/>
      <c r="M1260" s="91" t="n"/>
      <c r="N1260" s="88" t="n"/>
    </row>
    <row r="1261" ht="15.75" customHeight="1" s="64">
      <c r="A1261" s="88" t="n"/>
      <c r="B1261" s="120">
        <f t="array" ref="B1261:B1261">IF(A1261="","",IFERROR(INDEX('3.員工名單'!$B:$B,MATCH(A1261,'3.員工名單'!$A:$A,0)),"查無此員工"))</f>
        <v/>
      </c>
      <c r="C1261" s="120">
        <f t="array" ref="C1261:C1261">IF(A1261="","",IFERROR(INDEX('3.員工名單'!$C:$C,MATCH(A1261,'3.員工名單'!$A:$A,0)),""))</f>
        <v/>
      </c>
      <c r="D1261" s="120">
        <f t="array" ref="D1261:D1261">IF(A1261="","",IFERROR(INDEX('3.員工名單'!$D:$D,MATCH(A1261,'3.員工名單'!$A:$A,0)),""))</f>
        <v/>
      </c>
      <c r="E1261" s="120">
        <f t="array" ref="E1261:E1261">IF(F1261="","",IFERROR(INDEX('1.職能辭典'!$A:$A,MATCH(F1261,'1.職能辭典'!$C:$C,0)),""))</f>
        <v/>
      </c>
      <c r="F1261" s="94" t="n"/>
      <c r="G1261" s="120">
        <f t="array" ref="G1261:G1261">IF(OR(D1261="",F1261=""),"",IFERROR(IF(AND(OR(INDEX('1.職能辭典'!$J:$J,MATCH(F1261,'1.職能辭典'!$C:$C,0))="全部",INDEX('3.員工名單'!$H:$H,MATCH(A1261,'3.員工名單'!$A:$A,0))="兩款共用",INDEX('3.員工名單'!$H:$H,MATCH(A1261,'3.員工名單'!$A:$A,0))=INDEX('1.職能辭典'!$J:$J,MATCH(F1261,'1.職能辭典'!$C:$C,0))),OR(INDEX('1.職能辭典'!$K:$K,MATCH(F1261,'1.職能辭典'!$C:$C,0))="全部",SUMPRODUCT(ISNUMBER(SEARCH({"經營","管理","財務","企劃","營運","技術","數據","美術","測試","客服"},INDEX('3.員工名單'!$I:$I,MATCH(A1261,'3.員工名單'!$A:$A,0))))*ISNUMBER(SEARCH({"經營","管理","財務","企劃","營運","技術","數據","美術","測試","客服"},INDEX('1.職能辭典'!$K:$K,MATCH(F1261,'1.職能辭典'!$C:$C,0)))))&gt;0)),INDEX('2.職務職能需求'!$B$2:$F$28,MATCH(F1261,'2.職務職能需求'!$A$2:$A$28,0),MATCH(D1261,'2.職務職能需求'!$B$1:$F$1,0)),0),""))</f>
        <v/>
      </c>
      <c r="H1261" s="94" t="n"/>
      <c r="I1261" s="94" t="n"/>
      <c r="J1261" s="120">
        <f>IF(OR(G1261="",I1261="",G1261=0),"",I1261-G1261)</f>
        <v/>
      </c>
      <c r="K1261" s="120">
        <f>IF(G1261="","",IF(G1261=0,"不適用",IF(I1261="","待評核",IF(I1261&gt;=G1261,IF(I1261&gt;G1261,"超越","達標"),"待發展"))))</f>
        <v/>
      </c>
      <c r="L1261" s="91" t="n"/>
      <c r="M1261" s="91" t="n"/>
      <c r="N1261" s="88" t="n"/>
    </row>
    <row r="1262" ht="15.75" customHeight="1" s="64">
      <c r="A1262" s="88" t="n"/>
      <c r="B1262" s="120">
        <f t="array" ref="B1262:B1262">IF(A1262="","",IFERROR(INDEX('3.員工名單'!$B:$B,MATCH(A1262,'3.員工名單'!$A:$A,0)),"查無此員工"))</f>
        <v/>
      </c>
      <c r="C1262" s="120">
        <f t="array" ref="C1262:C1262">IF(A1262="","",IFERROR(INDEX('3.員工名單'!$C:$C,MATCH(A1262,'3.員工名單'!$A:$A,0)),""))</f>
        <v/>
      </c>
      <c r="D1262" s="120">
        <f t="array" ref="D1262:D1262">IF(A1262="","",IFERROR(INDEX('3.員工名單'!$D:$D,MATCH(A1262,'3.員工名單'!$A:$A,0)),""))</f>
        <v/>
      </c>
      <c r="E1262" s="120">
        <f t="array" ref="E1262:E1262">IF(F1262="","",IFERROR(INDEX('1.職能辭典'!$A:$A,MATCH(F1262,'1.職能辭典'!$C:$C,0)),""))</f>
        <v/>
      </c>
      <c r="F1262" s="94" t="n"/>
      <c r="G1262" s="120">
        <f t="array" ref="G1262:G1262">IF(OR(D1262="",F1262=""),"",IFERROR(IF(AND(OR(INDEX('1.職能辭典'!$J:$J,MATCH(F1262,'1.職能辭典'!$C:$C,0))="全部",INDEX('3.員工名單'!$H:$H,MATCH(A1262,'3.員工名單'!$A:$A,0))="兩款共用",INDEX('3.員工名單'!$H:$H,MATCH(A1262,'3.員工名單'!$A:$A,0))=INDEX('1.職能辭典'!$J:$J,MATCH(F1262,'1.職能辭典'!$C:$C,0))),OR(INDEX('1.職能辭典'!$K:$K,MATCH(F1262,'1.職能辭典'!$C:$C,0))="全部",SUMPRODUCT(ISNUMBER(SEARCH({"經營","管理","財務","企劃","營運","技術","數據","美術","測試","客服"},INDEX('3.員工名單'!$I:$I,MATCH(A1262,'3.員工名單'!$A:$A,0))))*ISNUMBER(SEARCH({"經營","管理","財務","企劃","營運","技術","數據","美術","測試","客服"},INDEX('1.職能辭典'!$K:$K,MATCH(F1262,'1.職能辭典'!$C:$C,0)))))&gt;0)),INDEX('2.職務職能需求'!$B$2:$F$28,MATCH(F1262,'2.職務職能需求'!$A$2:$A$28,0),MATCH(D1262,'2.職務職能需求'!$B$1:$F$1,0)),0),""))</f>
        <v/>
      </c>
      <c r="H1262" s="94" t="n"/>
      <c r="I1262" s="94" t="n"/>
      <c r="J1262" s="120">
        <f>IF(OR(G1262="",I1262="",G1262=0),"",I1262-G1262)</f>
        <v/>
      </c>
      <c r="K1262" s="120">
        <f>IF(G1262="","",IF(G1262=0,"不適用",IF(I1262="","待評核",IF(I1262&gt;=G1262,IF(I1262&gt;G1262,"超越","達標"),"待發展"))))</f>
        <v/>
      </c>
      <c r="L1262" s="91" t="n"/>
      <c r="M1262" s="91" t="n"/>
      <c r="N1262" s="88" t="n"/>
    </row>
    <row r="1263" ht="15.75" customHeight="1" s="64">
      <c r="A1263" s="88" t="n"/>
      <c r="B1263" s="120">
        <f t="array" ref="B1263:B1263">IF(A1263="","",IFERROR(INDEX('3.員工名單'!$B:$B,MATCH(A1263,'3.員工名單'!$A:$A,0)),"查無此員工"))</f>
        <v/>
      </c>
      <c r="C1263" s="120">
        <f t="array" ref="C1263:C1263">IF(A1263="","",IFERROR(INDEX('3.員工名單'!$C:$C,MATCH(A1263,'3.員工名單'!$A:$A,0)),""))</f>
        <v/>
      </c>
      <c r="D1263" s="120">
        <f t="array" ref="D1263:D1263">IF(A1263="","",IFERROR(INDEX('3.員工名單'!$D:$D,MATCH(A1263,'3.員工名單'!$A:$A,0)),""))</f>
        <v/>
      </c>
      <c r="E1263" s="120">
        <f t="array" ref="E1263:E1263">IF(F1263="","",IFERROR(INDEX('1.職能辭典'!$A:$A,MATCH(F1263,'1.職能辭典'!$C:$C,0)),""))</f>
        <v/>
      </c>
      <c r="F1263" s="94" t="n"/>
      <c r="G1263" s="120">
        <f t="array" ref="G1263:G1263">IF(OR(D1263="",F1263=""),"",IFERROR(IF(AND(OR(INDEX('1.職能辭典'!$J:$J,MATCH(F1263,'1.職能辭典'!$C:$C,0))="全部",INDEX('3.員工名單'!$H:$H,MATCH(A1263,'3.員工名單'!$A:$A,0))="兩款共用",INDEX('3.員工名單'!$H:$H,MATCH(A1263,'3.員工名單'!$A:$A,0))=INDEX('1.職能辭典'!$J:$J,MATCH(F1263,'1.職能辭典'!$C:$C,0))),OR(INDEX('1.職能辭典'!$K:$K,MATCH(F1263,'1.職能辭典'!$C:$C,0))="全部",SUMPRODUCT(ISNUMBER(SEARCH({"經營","管理","財務","企劃","營運","技術","數據","美術","測試","客服"},INDEX('3.員工名單'!$I:$I,MATCH(A1263,'3.員工名單'!$A:$A,0))))*ISNUMBER(SEARCH({"經營","管理","財務","企劃","營運","技術","數據","美術","測試","客服"},INDEX('1.職能辭典'!$K:$K,MATCH(F1263,'1.職能辭典'!$C:$C,0)))))&gt;0)),INDEX('2.職務職能需求'!$B$2:$F$28,MATCH(F1263,'2.職務職能需求'!$A$2:$A$28,0),MATCH(D1263,'2.職務職能需求'!$B$1:$F$1,0)),0),""))</f>
        <v/>
      </c>
      <c r="H1263" s="94" t="n"/>
      <c r="I1263" s="94" t="n"/>
      <c r="J1263" s="120">
        <f>IF(OR(G1263="",I1263="",G1263=0),"",I1263-G1263)</f>
        <v/>
      </c>
      <c r="K1263" s="120">
        <f>IF(G1263="","",IF(G1263=0,"不適用",IF(I1263="","待評核",IF(I1263&gt;=G1263,IF(I1263&gt;G1263,"超越","達標"),"待發展"))))</f>
        <v/>
      </c>
      <c r="L1263" s="91" t="n"/>
      <c r="M1263" s="91" t="n"/>
      <c r="N1263" s="88" t="n"/>
    </row>
    <row r="1264" ht="15.75" customHeight="1" s="64">
      <c r="A1264" s="88" t="n"/>
      <c r="B1264" s="120">
        <f t="array" ref="B1264:B1264">IF(A1264="","",IFERROR(INDEX('3.員工名單'!$B:$B,MATCH(A1264,'3.員工名單'!$A:$A,0)),"查無此員工"))</f>
        <v/>
      </c>
      <c r="C1264" s="120">
        <f t="array" ref="C1264:C1264">IF(A1264="","",IFERROR(INDEX('3.員工名單'!$C:$C,MATCH(A1264,'3.員工名單'!$A:$A,0)),""))</f>
        <v/>
      </c>
      <c r="D1264" s="120">
        <f t="array" ref="D1264:D1264">IF(A1264="","",IFERROR(INDEX('3.員工名單'!$D:$D,MATCH(A1264,'3.員工名單'!$A:$A,0)),""))</f>
        <v/>
      </c>
      <c r="E1264" s="120">
        <f t="array" ref="E1264:E1264">IF(F1264="","",IFERROR(INDEX('1.職能辭典'!$A:$A,MATCH(F1264,'1.職能辭典'!$C:$C,0)),""))</f>
        <v/>
      </c>
      <c r="F1264" s="94" t="n"/>
      <c r="G1264" s="120">
        <f t="array" ref="G1264:G1264">IF(OR(D1264="",F1264=""),"",IFERROR(IF(AND(OR(INDEX('1.職能辭典'!$J:$J,MATCH(F1264,'1.職能辭典'!$C:$C,0))="全部",INDEX('3.員工名單'!$H:$H,MATCH(A1264,'3.員工名單'!$A:$A,0))="兩款共用",INDEX('3.員工名單'!$H:$H,MATCH(A1264,'3.員工名單'!$A:$A,0))=INDEX('1.職能辭典'!$J:$J,MATCH(F1264,'1.職能辭典'!$C:$C,0))),OR(INDEX('1.職能辭典'!$K:$K,MATCH(F1264,'1.職能辭典'!$C:$C,0))="全部",SUMPRODUCT(ISNUMBER(SEARCH({"經營","管理","財務","企劃","營運","技術","數據","美術","測試","客服"},INDEX('3.員工名單'!$I:$I,MATCH(A1264,'3.員工名單'!$A:$A,0))))*ISNUMBER(SEARCH({"經營","管理","財務","企劃","營運","技術","數據","美術","測試","客服"},INDEX('1.職能辭典'!$K:$K,MATCH(F1264,'1.職能辭典'!$C:$C,0)))))&gt;0)),INDEX('2.職務職能需求'!$B$2:$F$28,MATCH(F1264,'2.職務職能需求'!$A$2:$A$28,0),MATCH(D1264,'2.職務職能需求'!$B$1:$F$1,0)),0),""))</f>
        <v/>
      </c>
      <c r="H1264" s="94" t="n"/>
      <c r="I1264" s="94" t="n"/>
      <c r="J1264" s="120">
        <f>IF(OR(G1264="",I1264="",G1264=0),"",I1264-G1264)</f>
        <v/>
      </c>
      <c r="K1264" s="120">
        <f>IF(G1264="","",IF(G1264=0,"不適用",IF(I1264="","待評核",IF(I1264&gt;=G1264,IF(I1264&gt;G1264,"超越","達標"),"待發展"))))</f>
        <v/>
      </c>
      <c r="L1264" s="91" t="n"/>
      <c r="M1264" s="91" t="n"/>
      <c r="N1264" s="88" t="n"/>
    </row>
    <row r="1265" ht="15.75" customHeight="1" s="64">
      <c r="A1265" s="88" t="n"/>
      <c r="B1265" s="120">
        <f t="array" ref="B1265:B1265">IF(A1265="","",IFERROR(INDEX('3.員工名單'!$B:$B,MATCH(A1265,'3.員工名單'!$A:$A,0)),"查無此員工"))</f>
        <v/>
      </c>
      <c r="C1265" s="120">
        <f t="array" ref="C1265:C1265">IF(A1265="","",IFERROR(INDEX('3.員工名單'!$C:$C,MATCH(A1265,'3.員工名單'!$A:$A,0)),""))</f>
        <v/>
      </c>
      <c r="D1265" s="120">
        <f t="array" ref="D1265:D1265">IF(A1265="","",IFERROR(INDEX('3.員工名單'!$D:$D,MATCH(A1265,'3.員工名單'!$A:$A,0)),""))</f>
        <v/>
      </c>
      <c r="E1265" s="120">
        <f t="array" ref="E1265:E1265">IF(F1265="","",IFERROR(INDEX('1.職能辭典'!$A:$A,MATCH(F1265,'1.職能辭典'!$C:$C,0)),""))</f>
        <v/>
      </c>
      <c r="F1265" s="94" t="n"/>
      <c r="G1265" s="120">
        <f t="array" ref="G1265:G1265">IF(OR(D1265="",F1265=""),"",IFERROR(IF(AND(OR(INDEX('1.職能辭典'!$J:$J,MATCH(F1265,'1.職能辭典'!$C:$C,0))="全部",INDEX('3.員工名單'!$H:$H,MATCH(A1265,'3.員工名單'!$A:$A,0))="兩款共用",INDEX('3.員工名單'!$H:$H,MATCH(A1265,'3.員工名單'!$A:$A,0))=INDEX('1.職能辭典'!$J:$J,MATCH(F1265,'1.職能辭典'!$C:$C,0))),OR(INDEX('1.職能辭典'!$K:$K,MATCH(F1265,'1.職能辭典'!$C:$C,0))="全部",SUMPRODUCT(ISNUMBER(SEARCH({"經營","管理","財務","企劃","營運","技術","數據","美術","測試","客服"},INDEX('3.員工名單'!$I:$I,MATCH(A1265,'3.員工名單'!$A:$A,0))))*ISNUMBER(SEARCH({"經營","管理","財務","企劃","營運","技術","數據","美術","測試","客服"},INDEX('1.職能辭典'!$K:$K,MATCH(F1265,'1.職能辭典'!$C:$C,0)))))&gt;0)),INDEX('2.職務職能需求'!$B$2:$F$28,MATCH(F1265,'2.職務職能需求'!$A$2:$A$28,0),MATCH(D1265,'2.職務職能需求'!$B$1:$F$1,0)),0),""))</f>
        <v/>
      </c>
      <c r="H1265" s="94" t="n"/>
      <c r="I1265" s="94" t="n"/>
      <c r="J1265" s="120">
        <f>IF(OR(G1265="",I1265="",G1265=0),"",I1265-G1265)</f>
        <v/>
      </c>
      <c r="K1265" s="120">
        <f>IF(G1265="","",IF(G1265=0,"不適用",IF(I1265="","待評核",IF(I1265&gt;=G1265,IF(I1265&gt;G1265,"超越","達標"),"待發展"))))</f>
        <v/>
      </c>
      <c r="L1265" s="91" t="n"/>
      <c r="M1265" s="91" t="n"/>
      <c r="N1265" s="88" t="n"/>
    </row>
    <row r="1266" ht="15.75" customHeight="1" s="64">
      <c r="A1266" s="88" t="n"/>
      <c r="B1266" s="120">
        <f t="array" ref="B1266:B1266">IF(A1266="","",IFERROR(INDEX('3.員工名單'!$B:$B,MATCH(A1266,'3.員工名單'!$A:$A,0)),"查無此員工"))</f>
        <v/>
      </c>
      <c r="C1266" s="120">
        <f t="array" ref="C1266:C1266">IF(A1266="","",IFERROR(INDEX('3.員工名單'!$C:$C,MATCH(A1266,'3.員工名單'!$A:$A,0)),""))</f>
        <v/>
      </c>
      <c r="D1266" s="120">
        <f t="array" ref="D1266:D1266">IF(A1266="","",IFERROR(INDEX('3.員工名單'!$D:$D,MATCH(A1266,'3.員工名單'!$A:$A,0)),""))</f>
        <v/>
      </c>
      <c r="E1266" s="120">
        <f t="array" ref="E1266:E1266">IF(F1266="","",IFERROR(INDEX('1.職能辭典'!$A:$A,MATCH(F1266,'1.職能辭典'!$C:$C,0)),""))</f>
        <v/>
      </c>
      <c r="F1266" s="94" t="n"/>
      <c r="G1266" s="120">
        <f t="array" ref="G1266:G1266">IF(OR(D1266="",F1266=""),"",IFERROR(IF(AND(OR(INDEX('1.職能辭典'!$J:$J,MATCH(F1266,'1.職能辭典'!$C:$C,0))="全部",INDEX('3.員工名單'!$H:$H,MATCH(A1266,'3.員工名單'!$A:$A,0))="兩款共用",INDEX('3.員工名單'!$H:$H,MATCH(A1266,'3.員工名單'!$A:$A,0))=INDEX('1.職能辭典'!$J:$J,MATCH(F1266,'1.職能辭典'!$C:$C,0))),OR(INDEX('1.職能辭典'!$K:$K,MATCH(F1266,'1.職能辭典'!$C:$C,0))="全部",SUMPRODUCT(ISNUMBER(SEARCH({"經營","管理","財務","企劃","營運","技術","數據","美術","測試","客服"},INDEX('3.員工名單'!$I:$I,MATCH(A1266,'3.員工名單'!$A:$A,0))))*ISNUMBER(SEARCH({"經營","管理","財務","企劃","營運","技術","數據","美術","測試","客服"},INDEX('1.職能辭典'!$K:$K,MATCH(F1266,'1.職能辭典'!$C:$C,0)))))&gt;0)),INDEX('2.職務職能需求'!$B$2:$F$28,MATCH(F1266,'2.職務職能需求'!$A$2:$A$28,0),MATCH(D1266,'2.職務職能需求'!$B$1:$F$1,0)),0),""))</f>
        <v/>
      </c>
      <c r="H1266" s="94" t="n"/>
      <c r="I1266" s="94" t="n"/>
      <c r="J1266" s="120">
        <f>IF(OR(G1266="",I1266="",G1266=0),"",I1266-G1266)</f>
        <v/>
      </c>
      <c r="K1266" s="120">
        <f>IF(G1266="","",IF(G1266=0,"不適用",IF(I1266="","待評核",IF(I1266&gt;=G1266,IF(I1266&gt;G1266,"超越","達標"),"待發展"))))</f>
        <v/>
      </c>
      <c r="L1266" s="91" t="n"/>
      <c r="M1266" s="91" t="n"/>
      <c r="N1266" s="88" t="n"/>
    </row>
    <row r="1267" ht="15.75" customHeight="1" s="64">
      <c r="A1267" s="88" t="n"/>
      <c r="B1267" s="120">
        <f t="array" ref="B1267:B1267">IF(A1267="","",IFERROR(INDEX('3.員工名單'!$B:$B,MATCH(A1267,'3.員工名單'!$A:$A,0)),"查無此員工"))</f>
        <v/>
      </c>
      <c r="C1267" s="120">
        <f t="array" ref="C1267:C1267">IF(A1267="","",IFERROR(INDEX('3.員工名單'!$C:$C,MATCH(A1267,'3.員工名單'!$A:$A,0)),""))</f>
        <v/>
      </c>
      <c r="D1267" s="120">
        <f t="array" ref="D1267:D1267">IF(A1267="","",IFERROR(INDEX('3.員工名單'!$D:$D,MATCH(A1267,'3.員工名單'!$A:$A,0)),""))</f>
        <v/>
      </c>
      <c r="E1267" s="120">
        <f t="array" ref="E1267:E1267">IF(F1267="","",IFERROR(INDEX('1.職能辭典'!$A:$A,MATCH(F1267,'1.職能辭典'!$C:$C,0)),""))</f>
        <v/>
      </c>
      <c r="F1267" s="94" t="n"/>
      <c r="G1267" s="120">
        <f t="array" ref="G1267:G1267">IF(OR(D1267="",F1267=""),"",IFERROR(IF(AND(OR(INDEX('1.職能辭典'!$J:$J,MATCH(F1267,'1.職能辭典'!$C:$C,0))="全部",INDEX('3.員工名單'!$H:$H,MATCH(A1267,'3.員工名單'!$A:$A,0))="兩款共用",INDEX('3.員工名單'!$H:$H,MATCH(A1267,'3.員工名單'!$A:$A,0))=INDEX('1.職能辭典'!$J:$J,MATCH(F1267,'1.職能辭典'!$C:$C,0))),OR(INDEX('1.職能辭典'!$K:$K,MATCH(F1267,'1.職能辭典'!$C:$C,0))="全部",SUMPRODUCT(ISNUMBER(SEARCH({"經營","管理","財務","企劃","營運","技術","數據","美術","測試","客服"},INDEX('3.員工名單'!$I:$I,MATCH(A1267,'3.員工名單'!$A:$A,0))))*ISNUMBER(SEARCH({"經營","管理","財務","企劃","營運","技術","數據","美術","測試","客服"},INDEX('1.職能辭典'!$K:$K,MATCH(F1267,'1.職能辭典'!$C:$C,0)))))&gt;0)),INDEX('2.職務職能需求'!$B$2:$F$28,MATCH(F1267,'2.職務職能需求'!$A$2:$A$28,0),MATCH(D1267,'2.職務職能需求'!$B$1:$F$1,0)),0),""))</f>
        <v/>
      </c>
      <c r="H1267" s="94" t="n"/>
      <c r="I1267" s="94" t="n"/>
      <c r="J1267" s="120">
        <f>IF(OR(G1267="",I1267="",G1267=0),"",I1267-G1267)</f>
        <v/>
      </c>
      <c r="K1267" s="120">
        <f>IF(G1267="","",IF(G1267=0,"不適用",IF(I1267="","待評核",IF(I1267&gt;=G1267,IF(I1267&gt;G1267,"超越","達標"),"待發展"))))</f>
        <v/>
      </c>
      <c r="L1267" s="91" t="n"/>
      <c r="M1267" s="91" t="n"/>
      <c r="N1267" s="88" t="n"/>
    </row>
    <row r="1268" ht="15.75" customHeight="1" s="64">
      <c r="A1268" s="88" t="n"/>
      <c r="B1268" s="120">
        <f t="array" ref="B1268:B1268">IF(A1268="","",IFERROR(INDEX('3.員工名單'!$B:$B,MATCH(A1268,'3.員工名單'!$A:$A,0)),"查無此員工"))</f>
        <v/>
      </c>
      <c r="C1268" s="120">
        <f t="array" ref="C1268:C1268">IF(A1268="","",IFERROR(INDEX('3.員工名單'!$C:$C,MATCH(A1268,'3.員工名單'!$A:$A,0)),""))</f>
        <v/>
      </c>
      <c r="D1268" s="120">
        <f t="array" ref="D1268:D1268">IF(A1268="","",IFERROR(INDEX('3.員工名單'!$D:$D,MATCH(A1268,'3.員工名單'!$A:$A,0)),""))</f>
        <v/>
      </c>
      <c r="E1268" s="120">
        <f t="array" ref="E1268:E1268">IF(F1268="","",IFERROR(INDEX('1.職能辭典'!$A:$A,MATCH(F1268,'1.職能辭典'!$C:$C,0)),""))</f>
        <v/>
      </c>
      <c r="F1268" s="94" t="n"/>
      <c r="G1268" s="120">
        <f t="array" ref="G1268:G1268">IF(OR(D1268="",F1268=""),"",IFERROR(IF(AND(OR(INDEX('1.職能辭典'!$J:$J,MATCH(F1268,'1.職能辭典'!$C:$C,0))="全部",INDEX('3.員工名單'!$H:$H,MATCH(A1268,'3.員工名單'!$A:$A,0))="兩款共用",INDEX('3.員工名單'!$H:$H,MATCH(A1268,'3.員工名單'!$A:$A,0))=INDEX('1.職能辭典'!$J:$J,MATCH(F1268,'1.職能辭典'!$C:$C,0))),OR(INDEX('1.職能辭典'!$K:$K,MATCH(F1268,'1.職能辭典'!$C:$C,0))="全部",SUMPRODUCT(ISNUMBER(SEARCH({"經營","管理","財務","企劃","營運","技術","數據","美術","測試","客服"},INDEX('3.員工名單'!$I:$I,MATCH(A1268,'3.員工名單'!$A:$A,0))))*ISNUMBER(SEARCH({"經營","管理","財務","企劃","營運","技術","數據","美術","測試","客服"},INDEX('1.職能辭典'!$K:$K,MATCH(F1268,'1.職能辭典'!$C:$C,0)))))&gt;0)),INDEX('2.職務職能需求'!$B$2:$F$28,MATCH(F1268,'2.職務職能需求'!$A$2:$A$28,0),MATCH(D1268,'2.職務職能需求'!$B$1:$F$1,0)),0),""))</f>
        <v/>
      </c>
      <c r="H1268" s="94" t="n"/>
      <c r="I1268" s="94" t="n"/>
      <c r="J1268" s="120">
        <f>IF(OR(G1268="",I1268="",G1268=0),"",I1268-G1268)</f>
        <v/>
      </c>
      <c r="K1268" s="120">
        <f>IF(G1268="","",IF(G1268=0,"不適用",IF(I1268="","待評核",IF(I1268&gt;=G1268,IF(I1268&gt;G1268,"超越","達標"),"待發展"))))</f>
        <v/>
      </c>
      <c r="L1268" s="91" t="n"/>
      <c r="M1268" s="91" t="n"/>
      <c r="N1268" s="88" t="n"/>
    </row>
    <row r="1269" ht="15.75" customHeight="1" s="64">
      <c r="A1269" s="88" t="n"/>
      <c r="B1269" s="120">
        <f t="array" ref="B1269:B1269">IF(A1269="","",IFERROR(INDEX('3.員工名單'!$B:$B,MATCH(A1269,'3.員工名單'!$A:$A,0)),"查無此員工"))</f>
        <v/>
      </c>
      <c r="C1269" s="120">
        <f t="array" ref="C1269:C1269">IF(A1269="","",IFERROR(INDEX('3.員工名單'!$C:$C,MATCH(A1269,'3.員工名單'!$A:$A,0)),""))</f>
        <v/>
      </c>
      <c r="D1269" s="120">
        <f t="array" ref="D1269:D1269">IF(A1269="","",IFERROR(INDEX('3.員工名單'!$D:$D,MATCH(A1269,'3.員工名單'!$A:$A,0)),""))</f>
        <v/>
      </c>
      <c r="E1269" s="120">
        <f t="array" ref="E1269:E1269">IF(F1269="","",IFERROR(INDEX('1.職能辭典'!$A:$A,MATCH(F1269,'1.職能辭典'!$C:$C,0)),""))</f>
        <v/>
      </c>
      <c r="F1269" s="94" t="n"/>
      <c r="G1269" s="120">
        <f t="array" ref="G1269:G1269">IF(OR(D1269="",F1269=""),"",IFERROR(IF(AND(OR(INDEX('1.職能辭典'!$J:$J,MATCH(F1269,'1.職能辭典'!$C:$C,0))="全部",INDEX('3.員工名單'!$H:$H,MATCH(A1269,'3.員工名單'!$A:$A,0))="兩款共用",INDEX('3.員工名單'!$H:$H,MATCH(A1269,'3.員工名單'!$A:$A,0))=INDEX('1.職能辭典'!$J:$J,MATCH(F1269,'1.職能辭典'!$C:$C,0))),OR(INDEX('1.職能辭典'!$K:$K,MATCH(F1269,'1.職能辭典'!$C:$C,0))="全部",SUMPRODUCT(ISNUMBER(SEARCH({"經營","管理","財務","企劃","營運","技術","數據","美術","測試","客服"},INDEX('3.員工名單'!$I:$I,MATCH(A1269,'3.員工名單'!$A:$A,0))))*ISNUMBER(SEARCH({"經營","管理","財務","企劃","營運","技術","數據","美術","測試","客服"},INDEX('1.職能辭典'!$K:$K,MATCH(F1269,'1.職能辭典'!$C:$C,0)))))&gt;0)),INDEX('2.職務職能需求'!$B$2:$F$28,MATCH(F1269,'2.職務職能需求'!$A$2:$A$28,0),MATCH(D1269,'2.職務職能需求'!$B$1:$F$1,0)),0),""))</f>
        <v/>
      </c>
      <c r="H1269" s="94" t="n"/>
      <c r="I1269" s="94" t="n"/>
      <c r="J1269" s="120">
        <f>IF(OR(G1269="",I1269="",G1269=0),"",I1269-G1269)</f>
        <v/>
      </c>
      <c r="K1269" s="120">
        <f>IF(G1269="","",IF(G1269=0,"不適用",IF(I1269="","待評核",IF(I1269&gt;=G1269,IF(I1269&gt;G1269,"超越","達標"),"待發展"))))</f>
        <v/>
      </c>
      <c r="L1269" s="91" t="n"/>
      <c r="M1269" s="91" t="n"/>
      <c r="N1269" s="88" t="n"/>
    </row>
    <row r="1270" ht="15.75" customHeight="1" s="64">
      <c r="A1270" s="88" t="n"/>
      <c r="B1270" s="120">
        <f t="array" ref="B1270:B1270">IF(A1270="","",IFERROR(INDEX('3.員工名單'!$B:$B,MATCH(A1270,'3.員工名單'!$A:$A,0)),"查無此員工"))</f>
        <v/>
      </c>
      <c r="C1270" s="120">
        <f t="array" ref="C1270:C1270">IF(A1270="","",IFERROR(INDEX('3.員工名單'!$C:$C,MATCH(A1270,'3.員工名單'!$A:$A,0)),""))</f>
        <v/>
      </c>
      <c r="D1270" s="120">
        <f t="array" ref="D1270:D1270">IF(A1270="","",IFERROR(INDEX('3.員工名單'!$D:$D,MATCH(A1270,'3.員工名單'!$A:$A,0)),""))</f>
        <v/>
      </c>
      <c r="E1270" s="120">
        <f t="array" ref="E1270:E1270">IF(F1270="","",IFERROR(INDEX('1.職能辭典'!$A:$A,MATCH(F1270,'1.職能辭典'!$C:$C,0)),""))</f>
        <v/>
      </c>
      <c r="F1270" s="94" t="n"/>
      <c r="G1270" s="120">
        <f t="array" ref="G1270:G1270">IF(OR(D1270="",F1270=""),"",IFERROR(IF(AND(OR(INDEX('1.職能辭典'!$J:$J,MATCH(F1270,'1.職能辭典'!$C:$C,0))="全部",INDEX('3.員工名單'!$H:$H,MATCH(A1270,'3.員工名單'!$A:$A,0))="兩款共用",INDEX('3.員工名單'!$H:$H,MATCH(A1270,'3.員工名單'!$A:$A,0))=INDEX('1.職能辭典'!$J:$J,MATCH(F1270,'1.職能辭典'!$C:$C,0))),OR(INDEX('1.職能辭典'!$K:$K,MATCH(F1270,'1.職能辭典'!$C:$C,0))="全部",SUMPRODUCT(ISNUMBER(SEARCH({"經營","管理","財務","企劃","營運","技術","數據","美術","測試","客服"},INDEX('3.員工名單'!$I:$I,MATCH(A1270,'3.員工名單'!$A:$A,0))))*ISNUMBER(SEARCH({"經營","管理","財務","企劃","營運","技術","數據","美術","測試","客服"},INDEX('1.職能辭典'!$K:$K,MATCH(F1270,'1.職能辭典'!$C:$C,0)))))&gt;0)),INDEX('2.職務職能需求'!$B$2:$F$28,MATCH(F1270,'2.職務職能需求'!$A$2:$A$28,0),MATCH(D1270,'2.職務職能需求'!$B$1:$F$1,0)),0),""))</f>
        <v/>
      </c>
      <c r="H1270" s="94" t="n"/>
      <c r="I1270" s="94" t="n"/>
      <c r="J1270" s="120">
        <f>IF(OR(G1270="",I1270="",G1270=0),"",I1270-G1270)</f>
        <v/>
      </c>
      <c r="K1270" s="120">
        <f>IF(G1270="","",IF(G1270=0,"不適用",IF(I1270="","待評核",IF(I1270&gt;=G1270,IF(I1270&gt;G1270,"超越","達標"),"待發展"))))</f>
        <v/>
      </c>
      <c r="L1270" s="91" t="n"/>
      <c r="M1270" s="91" t="n"/>
      <c r="N1270" s="88" t="n"/>
    </row>
    <row r="1271" ht="15.75" customHeight="1" s="64">
      <c r="A1271" s="88" t="n"/>
      <c r="B1271" s="120">
        <f t="array" ref="B1271:B1271">IF(A1271="","",IFERROR(INDEX('3.員工名單'!$B:$B,MATCH(A1271,'3.員工名單'!$A:$A,0)),"查無此員工"))</f>
        <v/>
      </c>
      <c r="C1271" s="120">
        <f t="array" ref="C1271:C1271">IF(A1271="","",IFERROR(INDEX('3.員工名單'!$C:$C,MATCH(A1271,'3.員工名單'!$A:$A,0)),""))</f>
        <v/>
      </c>
      <c r="D1271" s="120">
        <f t="array" ref="D1271:D1271">IF(A1271="","",IFERROR(INDEX('3.員工名單'!$D:$D,MATCH(A1271,'3.員工名單'!$A:$A,0)),""))</f>
        <v/>
      </c>
      <c r="E1271" s="120">
        <f t="array" ref="E1271:E1271">IF(F1271="","",IFERROR(INDEX('1.職能辭典'!$A:$A,MATCH(F1271,'1.職能辭典'!$C:$C,0)),""))</f>
        <v/>
      </c>
      <c r="F1271" s="94" t="n"/>
      <c r="G1271" s="120">
        <f t="array" ref="G1271:G1271">IF(OR(D1271="",F1271=""),"",IFERROR(IF(AND(OR(INDEX('1.職能辭典'!$J:$J,MATCH(F1271,'1.職能辭典'!$C:$C,0))="全部",INDEX('3.員工名單'!$H:$H,MATCH(A1271,'3.員工名單'!$A:$A,0))="兩款共用",INDEX('3.員工名單'!$H:$H,MATCH(A1271,'3.員工名單'!$A:$A,0))=INDEX('1.職能辭典'!$J:$J,MATCH(F1271,'1.職能辭典'!$C:$C,0))),OR(INDEX('1.職能辭典'!$K:$K,MATCH(F1271,'1.職能辭典'!$C:$C,0))="全部",SUMPRODUCT(ISNUMBER(SEARCH({"經營","管理","財務","企劃","營運","技術","數據","美術","測試","客服"},INDEX('3.員工名單'!$I:$I,MATCH(A1271,'3.員工名單'!$A:$A,0))))*ISNUMBER(SEARCH({"經營","管理","財務","企劃","營運","技術","數據","美術","測試","客服"},INDEX('1.職能辭典'!$K:$K,MATCH(F1271,'1.職能辭典'!$C:$C,0)))))&gt;0)),INDEX('2.職務職能需求'!$B$2:$F$28,MATCH(F1271,'2.職務職能需求'!$A$2:$A$28,0),MATCH(D1271,'2.職務職能需求'!$B$1:$F$1,0)),0),""))</f>
        <v/>
      </c>
      <c r="H1271" s="94" t="n"/>
      <c r="I1271" s="94" t="n"/>
      <c r="J1271" s="120">
        <f>IF(OR(G1271="",I1271="",G1271=0),"",I1271-G1271)</f>
        <v/>
      </c>
      <c r="K1271" s="120">
        <f>IF(G1271="","",IF(G1271=0,"不適用",IF(I1271="","待評核",IF(I1271&gt;=G1271,IF(I1271&gt;G1271,"超越","達標"),"待發展"))))</f>
        <v/>
      </c>
      <c r="L1271" s="91" t="n"/>
      <c r="M1271" s="91" t="n"/>
      <c r="N1271" s="88" t="n"/>
    </row>
    <row r="1272" ht="15.75" customHeight="1" s="64">
      <c r="A1272" s="88" t="n"/>
      <c r="B1272" s="120">
        <f t="array" ref="B1272:B1272">IF(A1272="","",IFERROR(INDEX('3.員工名單'!$B:$B,MATCH(A1272,'3.員工名單'!$A:$A,0)),"查無此員工"))</f>
        <v/>
      </c>
      <c r="C1272" s="120">
        <f t="array" ref="C1272:C1272">IF(A1272="","",IFERROR(INDEX('3.員工名單'!$C:$C,MATCH(A1272,'3.員工名單'!$A:$A,0)),""))</f>
        <v/>
      </c>
      <c r="D1272" s="120">
        <f t="array" ref="D1272:D1272">IF(A1272="","",IFERROR(INDEX('3.員工名單'!$D:$D,MATCH(A1272,'3.員工名單'!$A:$A,0)),""))</f>
        <v/>
      </c>
      <c r="E1272" s="120">
        <f t="array" ref="E1272:E1272">IF(F1272="","",IFERROR(INDEX('1.職能辭典'!$A:$A,MATCH(F1272,'1.職能辭典'!$C:$C,0)),""))</f>
        <v/>
      </c>
      <c r="F1272" s="94" t="n"/>
      <c r="G1272" s="120">
        <f t="array" ref="G1272:G1272">IF(OR(D1272="",F1272=""),"",IFERROR(IF(AND(OR(INDEX('1.職能辭典'!$J:$J,MATCH(F1272,'1.職能辭典'!$C:$C,0))="全部",INDEX('3.員工名單'!$H:$H,MATCH(A1272,'3.員工名單'!$A:$A,0))="兩款共用",INDEX('3.員工名單'!$H:$H,MATCH(A1272,'3.員工名單'!$A:$A,0))=INDEX('1.職能辭典'!$J:$J,MATCH(F1272,'1.職能辭典'!$C:$C,0))),OR(INDEX('1.職能辭典'!$K:$K,MATCH(F1272,'1.職能辭典'!$C:$C,0))="全部",SUMPRODUCT(ISNUMBER(SEARCH({"經營","管理","財務","企劃","營運","技術","數據","美術","測試","客服"},INDEX('3.員工名單'!$I:$I,MATCH(A1272,'3.員工名單'!$A:$A,0))))*ISNUMBER(SEARCH({"經營","管理","財務","企劃","營運","技術","數據","美術","測試","客服"},INDEX('1.職能辭典'!$K:$K,MATCH(F1272,'1.職能辭典'!$C:$C,0)))))&gt;0)),INDEX('2.職務職能需求'!$B$2:$F$28,MATCH(F1272,'2.職務職能需求'!$A$2:$A$28,0),MATCH(D1272,'2.職務職能需求'!$B$1:$F$1,0)),0),""))</f>
        <v/>
      </c>
      <c r="H1272" s="94" t="n"/>
      <c r="I1272" s="94" t="n"/>
      <c r="J1272" s="120">
        <f>IF(OR(G1272="",I1272="",G1272=0),"",I1272-G1272)</f>
        <v/>
      </c>
      <c r="K1272" s="120">
        <f>IF(G1272="","",IF(G1272=0,"不適用",IF(I1272="","待評核",IF(I1272&gt;=G1272,IF(I1272&gt;G1272,"超越","達標"),"待發展"))))</f>
        <v/>
      </c>
      <c r="L1272" s="91" t="n"/>
      <c r="M1272" s="91" t="n"/>
      <c r="N1272" s="88" t="n"/>
    </row>
    <row r="1273" ht="15.75" customHeight="1" s="64">
      <c r="A1273" s="88" t="n"/>
      <c r="B1273" s="120">
        <f t="array" ref="B1273:B1273">IF(A1273="","",IFERROR(INDEX('3.員工名單'!$B:$B,MATCH(A1273,'3.員工名單'!$A:$A,0)),"查無此員工"))</f>
        <v/>
      </c>
      <c r="C1273" s="120">
        <f t="array" ref="C1273:C1273">IF(A1273="","",IFERROR(INDEX('3.員工名單'!$C:$C,MATCH(A1273,'3.員工名單'!$A:$A,0)),""))</f>
        <v/>
      </c>
      <c r="D1273" s="120">
        <f t="array" ref="D1273:D1273">IF(A1273="","",IFERROR(INDEX('3.員工名單'!$D:$D,MATCH(A1273,'3.員工名單'!$A:$A,0)),""))</f>
        <v/>
      </c>
      <c r="E1273" s="120">
        <f t="array" ref="E1273:E1273">IF(F1273="","",IFERROR(INDEX('1.職能辭典'!$A:$A,MATCH(F1273,'1.職能辭典'!$C:$C,0)),""))</f>
        <v/>
      </c>
      <c r="F1273" s="94" t="n"/>
      <c r="G1273" s="120">
        <f t="array" ref="G1273:G1273">IF(OR(D1273="",F1273=""),"",IFERROR(IF(AND(OR(INDEX('1.職能辭典'!$J:$J,MATCH(F1273,'1.職能辭典'!$C:$C,0))="全部",INDEX('3.員工名單'!$H:$H,MATCH(A1273,'3.員工名單'!$A:$A,0))="兩款共用",INDEX('3.員工名單'!$H:$H,MATCH(A1273,'3.員工名單'!$A:$A,0))=INDEX('1.職能辭典'!$J:$J,MATCH(F1273,'1.職能辭典'!$C:$C,0))),OR(INDEX('1.職能辭典'!$K:$K,MATCH(F1273,'1.職能辭典'!$C:$C,0))="全部",SUMPRODUCT(ISNUMBER(SEARCH({"經營","管理","財務","企劃","營運","技術","數據","美術","測試","客服"},INDEX('3.員工名單'!$I:$I,MATCH(A1273,'3.員工名單'!$A:$A,0))))*ISNUMBER(SEARCH({"經營","管理","財務","企劃","營運","技術","數據","美術","測試","客服"},INDEX('1.職能辭典'!$K:$K,MATCH(F1273,'1.職能辭典'!$C:$C,0)))))&gt;0)),INDEX('2.職務職能需求'!$B$2:$F$28,MATCH(F1273,'2.職務職能需求'!$A$2:$A$28,0),MATCH(D1273,'2.職務職能需求'!$B$1:$F$1,0)),0),""))</f>
        <v/>
      </c>
      <c r="H1273" s="94" t="n"/>
      <c r="I1273" s="94" t="n"/>
      <c r="J1273" s="120">
        <f>IF(OR(G1273="",I1273="",G1273=0),"",I1273-G1273)</f>
        <v/>
      </c>
      <c r="K1273" s="120">
        <f>IF(G1273="","",IF(G1273=0,"不適用",IF(I1273="","待評核",IF(I1273&gt;=G1273,IF(I1273&gt;G1273,"超越","達標"),"待發展"))))</f>
        <v/>
      </c>
      <c r="L1273" s="91" t="n"/>
      <c r="M1273" s="91" t="n"/>
      <c r="N1273" s="88" t="n"/>
    </row>
    <row r="1274" ht="15.75" customHeight="1" s="64">
      <c r="A1274" s="88" t="n"/>
      <c r="B1274" s="120">
        <f t="array" ref="B1274:B1274">IF(A1274="","",IFERROR(INDEX('3.員工名單'!$B:$B,MATCH(A1274,'3.員工名單'!$A:$A,0)),"查無此員工"))</f>
        <v/>
      </c>
      <c r="C1274" s="120">
        <f t="array" ref="C1274:C1274">IF(A1274="","",IFERROR(INDEX('3.員工名單'!$C:$C,MATCH(A1274,'3.員工名單'!$A:$A,0)),""))</f>
        <v/>
      </c>
      <c r="D1274" s="120">
        <f t="array" ref="D1274:D1274">IF(A1274="","",IFERROR(INDEX('3.員工名單'!$D:$D,MATCH(A1274,'3.員工名單'!$A:$A,0)),""))</f>
        <v/>
      </c>
      <c r="E1274" s="120">
        <f t="array" ref="E1274:E1274">IF(F1274="","",IFERROR(INDEX('1.職能辭典'!$A:$A,MATCH(F1274,'1.職能辭典'!$C:$C,0)),""))</f>
        <v/>
      </c>
      <c r="F1274" s="94" t="n"/>
      <c r="G1274" s="120">
        <f t="array" ref="G1274:G1274">IF(OR(D1274="",F1274=""),"",IFERROR(IF(AND(OR(INDEX('1.職能辭典'!$J:$J,MATCH(F1274,'1.職能辭典'!$C:$C,0))="全部",INDEX('3.員工名單'!$H:$H,MATCH(A1274,'3.員工名單'!$A:$A,0))="兩款共用",INDEX('3.員工名單'!$H:$H,MATCH(A1274,'3.員工名單'!$A:$A,0))=INDEX('1.職能辭典'!$J:$J,MATCH(F1274,'1.職能辭典'!$C:$C,0))),OR(INDEX('1.職能辭典'!$K:$K,MATCH(F1274,'1.職能辭典'!$C:$C,0))="全部",SUMPRODUCT(ISNUMBER(SEARCH({"經營","管理","財務","企劃","營運","技術","數據","美術","測試","客服"},INDEX('3.員工名單'!$I:$I,MATCH(A1274,'3.員工名單'!$A:$A,0))))*ISNUMBER(SEARCH({"經營","管理","財務","企劃","營運","技術","數據","美術","測試","客服"},INDEX('1.職能辭典'!$K:$K,MATCH(F1274,'1.職能辭典'!$C:$C,0)))))&gt;0)),INDEX('2.職務職能需求'!$B$2:$F$28,MATCH(F1274,'2.職務職能需求'!$A$2:$A$28,0),MATCH(D1274,'2.職務職能需求'!$B$1:$F$1,0)),0),""))</f>
        <v/>
      </c>
      <c r="H1274" s="94" t="n"/>
      <c r="I1274" s="94" t="n"/>
      <c r="J1274" s="120">
        <f>IF(OR(G1274="",I1274="",G1274=0),"",I1274-G1274)</f>
        <v/>
      </c>
      <c r="K1274" s="120">
        <f>IF(G1274="","",IF(G1274=0,"不適用",IF(I1274="","待評核",IF(I1274&gt;=G1274,IF(I1274&gt;G1274,"超越","達標"),"待發展"))))</f>
        <v/>
      </c>
      <c r="L1274" s="91" t="n"/>
      <c r="M1274" s="91" t="n"/>
      <c r="N1274" s="88" t="n"/>
    </row>
    <row r="1275" ht="15.75" customHeight="1" s="64">
      <c r="A1275" s="88" t="n"/>
      <c r="B1275" s="120">
        <f t="array" ref="B1275:B1275">IF(A1275="","",IFERROR(INDEX('3.員工名單'!$B:$B,MATCH(A1275,'3.員工名單'!$A:$A,0)),"查無此員工"))</f>
        <v/>
      </c>
      <c r="C1275" s="120">
        <f t="array" ref="C1275:C1275">IF(A1275="","",IFERROR(INDEX('3.員工名單'!$C:$C,MATCH(A1275,'3.員工名單'!$A:$A,0)),""))</f>
        <v/>
      </c>
      <c r="D1275" s="120">
        <f t="array" ref="D1275:D1275">IF(A1275="","",IFERROR(INDEX('3.員工名單'!$D:$D,MATCH(A1275,'3.員工名單'!$A:$A,0)),""))</f>
        <v/>
      </c>
      <c r="E1275" s="120">
        <f t="array" ref="E1275:E1275">IF(F1275="","",IFERROR(INDEX('1.職能辭典'!$A:$A,MATCH(F1275,'1.職能辭典'!$C:$C,0)),""))</f>
        <v/>
      </c>
      <c r="F1275" s="94" t="n"/>
      <c r="G1275" s="120">
        <f t="array" ref="G1275:G1275">IF(OR(D1275="",F1275=""),"",IFERROR(IF(AND(OR(INDEX('1.職能辭典'!$J:$J,MATCH(F1275,'1.職能辭典'!$C:$C,0))="全部",INDEX('3.員工名單'!$H:$H,MATCH(A1275,'3.員工名單'!$A:$A,0))="兩款共用",INDEX('3.員工名單'!$H:$H,MATCH(A1275,'3.員工名單'!$A:$A,0))=INDEX('1.職能辭典'!$J:$J,MATCH(F1275,'1.職能辭典'!$C:$C,0))),OR(INDEX('1.職能辭典'!$K:$K,MATCH(F1275,'1.職能辭典'!$C:$C,0))="全部",SUMPRODUCT(ISNUMBER(SEARCH({"經營","管理","財務","企劃","營運","技術","數據","美術","測試","客服"},INDEX('3.員工名單'!$I:$I,MATCH(A1275,'3.員工名單'!$A:$A,0))))*ISNUMBER(SEARCH({"經營","管理","財務","企劃","營運","技術","數據","美術","測試","客服"},INDEX('1.職能辭典'!$K:$K,MATCH(F1275,'1.職能辭典'!$C:$C,0)))))&gt;0)),INDEX('2.職務職能需求'!$B$2:$F$28,MATCH(F1275,'2.職務職能需求'!$A$2:$A$28,0),MATCH(D1275,'2.職務職能需求'!$B$1:$F$1,0)),0),""))</f>
        <v/>
      </c>
      <c r="H1275" s="94" t="n"/>
      <c r="I1275" s="94" t="n"/>
      <c r="J1275" s="120">
        <f>IF(OR(G1275="",I1275="",G1275=0),"",I1275-G1275)</f>
        <v/>
      </c>
      <c r="K1275" s="120">
        <f>IF(G1275="","",IF(G1275=0,"不適用",IF(I1275="","待評核",IF(I1275&gt;=G1275,IF(I1275&gt;G1275,"超越","達標"),"待發展"))))</f>
        <v/>
      </c>
      <c r="L1275" s="91" t="n"/>
      <c r="M1275" s="91" t="n"/>
      <c r="N1275" s="88" t="n"/>
    </row>
    <row r="1276" ht="15.75" customHeight="1" s="64">
      <c r="A1276" s="88" t="n"/>
      <c r="B1276" s="120">
        <f t="array" ref="B1276:B1276">IF(A1276="","",IFERROR(INDEX('3.員工名單'!$B:$B,MATCH(A1276,'3.員工名單'!$A:$A,0)),"查無此員工"))</f>
        <v/>
      </c>
      <c r="C1276" s="120">
        <f t="array" ref="C1276:C1276">IF(A1276="","",IFERROR(INDEX('3.員工名單'!$C:$C,MATCH(A1276,'3.員工名單'!$A:$A,0)),""))</f>
        <v/>
      </c>
      <c r="D1276" s="120">
        <f t="array" ref="D1276:D1276">IF(A1276="","",IFERROR(INDEX('3.員工名單'!$D:$D,MATCH(A1276,'3.員工名單'!$A:$A,0)),""))</f>
        <v/>
      </c>
      <c r="E1276" s="120">
        <f t="array" ref="E1276:E1276">IF(F1276="","",IFERROR(INDEX('1.職能辭典'!$A:$A,MATCH(F1276,'1.職能辭典'!$C:$C,0)),""))</f>
        <v/>
      </c>
      <c r="F1276" s="94" t="n"/>
      <c r="G1276" s="120">
        <f t="array" ref="G1276:G1276">IF(OR(D1276="",F1276=""),"",IFERROR(IF(AND(OR(INDEX('1.職能辭典'!$J:$J,MATCH(F1276,'1.職能辭典'!$C:$C,0))="全部",INDEX('3.員工名單'!$H:$H,MATCH(A1276,'3.員工名單'!$A:$A,0))="兩款共用",INDEX('3.員工名單'!$H:$H,MATCH(A1276,'3.員工名單'!$A:$A,0))=INDEX('1.職能辭典'!$J:$J,MATCH(F1276,'1.職能辭典'!$C:$C,0))),OR(INDEX('1.職能辭典'!$K:$K,MATCH(F1276,'1.職能辭典'!$C:$C,0))="全部",SUMPRODUCT(ISNUMBER(SEARCH({"經營","管理","財務","企劃","營運","技術","數據","美術","測試","客服"},INDEX('3.員工名單'!$I:$I,MATCH(A1276,'3.員工名單'!$A:$A,0))))*ISNUMBER(SEARCH({"經營","管理","財務","企劃","營運","技術","數據","美術","測試","客服"},INDEX('1.職能辭典'!$K:$K,MATCH(F1276,'1.職能辭典'!$C:$C,0)))))&gt;0)),INDEX('2.職務職能需求'!$B$2:$F$28,MATCH(F1276,'2.職務職能需求'!$A$2:$A$28,0),MATCH(D1276,'2.職務職能需求'!$B$1:$F$1,0)),0),""))</f>
        <v/>
      </c>
      <c r="H1276" s="94" t="n"/>
      <c r="I1276" s="94" t="n"/>
      <c r="J1276" s="120">
        <f>IF(OR(G1276="",I1276="",G1276=0),"",I1276-G1276)</f>
        <v/>
      </c>
      <c r="K1276" s="120">
        <f>IF(G1276="","",IF(G1276=0,"不適用",IF(I1276="","待評核",IF(I1276&gt;=G1276,IF(I1276&gt;G1276,"超越","達標"),"待發展"))))</f>
        <v/>
      </c>
      <c r="L1276" s="91" t="n"/>
      <c r="M1276" s="91" t="n"/>
      <c r="N1276" s="88" t="n"/>
    </row>
    <row r="1277" ht="15.75" customHeight="1" s="64">
      <c r="A1277" s="88" t="n"/>
      <c r="B1277" s="120">
        <f t="array" ref="B1277:B1277">IF(A1277="","",IFERROR(INDEX('3.員工名單'!$B:$B,MATCH(A1277,'3.員工名單'!$A:$A,0)),"查無此員工"))</f>
        <v/>
      </c>
      <c r="C1277" s="120">
        <f t="array" ref="C1277:C1277">IF(A1277="","",IFERROR(INDEX('3.員工名單'!$C:$C,MATCH(A1277,'3.員工名單'!$A:$A,0)),""))</f>
        <v/>
      </c>
      <c r="D1277" s="120">
        <f t="array" ref="D1277:D1277">IF(A1277="","",IFERROR(INDEX('3.員工名單'!$D:$D,MATCH(A1277,'3.員工名單'!$A:$A,0)),""))</f>
        <v/>
      </c>
      <c r="E1277" s="120">
        <f t="array" ref="E1277:E1277">IF(F1277="","",IFERROR(INDEX('1.職能辭典'!$A:$A,MATCH(F1277,'1.職能辭典'!$C:$C,0)),""))</f>
        <v/>
      </c>
      <c r="F1277" s="94" t="n"/>
      <c r="G1277" s="120">
        <f t="array" ref="G1277:G1277">IF(OR(D1277="",F1277=""),"",IFERROR(IF(AND(OR(INDEX('1.職能辭典'!$J:$J,MATCH(F1277,'1.職能辭典'!$C:$C,0))="全部",INDEX('3.員工名單'!$H:$H,MATCH(A1277,'3.員工名單'!$A:$A,0))="兩款共用",INDEX('3.員工名單'!$H:$H,MATCH(A1277,'3.員工名單'!$A:$A,0))=INDEX('1.職能辭典'!$J:$J,MATCH(F1277,'1.職能辭典'!$C:$C,0))),OR(INDEX('1.職能辭典'!$K:$K,MATCH(F1277,'1.職能辭典'!$C:$C,0))="全部",SUMPRODUCT(ISNUMBER(SEARCH({"經營","管理","財務","企劃","營運","技術","數據","美術","測試","客服"},INDEX('3.員工名單'!$I:$I,MATCH(A1277,'3.員工名單'!$A:$A,0))))*ISNUMBER(SEARCH({"經營","管理","財務","企劃","營運","技術","數據","美術","測試","客服"},INDEX('1.職能辭典'!$K:$K,MATCH(F1277,'1.職能辭典'!$C:$C,0)))))&gt;0)),INDEX('2.職務職能需求'!$B$2:$F$28,MATCH(F1277,'2.職務職能需求'!$A$2:$A$28,0),MATCH(D1277,'2.職務職能需求'!$B$1:$F$1,0)),0),""))</f>
        <v/>
      </c>
      <c r="H1277" s="94" t="n"/>
      <c r="I1277" s="94" t="n"/>
      <c r="J1277" s="120">
        <f>IF(OR(G1277="",I1277="",G1277=0),"",I1277-G1277)</f>
        <v/>
      </c>
      <c r="K1277" s="120">
        <f>IF(G1277="","",IF(G1277=0,"不適用",IF(I1277="","待評核",IF(I1277&gt;=G1277,IF(I1277&gt;G1277,"超越","達標"),"待發展"))))</f>
        <v/>
      </c>
      <c r="L1277" s="91" t="n"/>
      <c r="M1277" s="91" t="n"/>
      <c r="N1277" s="88" t="n"/>
    </row>
    <row r="1278" ht="15.75" customHeight="1" s="64">
      <c r="A1278" s="88" t="n"/>
      <c r="B1278" s="120">
        <f t="array" ref="B1278:B1278">IF(A1278="","",IFERROR(INDEX('3.員工名單'!$B:$B,MATCH(A1278,'3.員工名單'!$A:$A,0)),"查無此員工"))</f>
        <v/>
      </c>
      <c r="C1278" s="120">
        <f t="array" ref="C1278:C1278">IF(A1278="","",IFERROR(INDEX('3.員工名單'!$C:$C,MATCH(A1278,'3.員工名單'!$A:$A,0)),""))</f>
        <v/>
      </c>
      <c r="D1278" s="120">
        <f t="array" ref="D1278:D1278">IF(A1278="","",IFERROR(INDEX('3.員工名單'!$D:$D,MATCH(A1278,'3.員工名單'!$A:$A,0)),""))</f>
        <v/>
      </c>
      <c r="E1278" s="120">
        <f t="array" ref="E1278:E1278">IF(F1278="","",IFERROR(INDEX('1.職能辭典'!$A:$A,MATCH(F1278,'1.職能辭典'!$C:$C,0)),""))</f>
        <v/>
      </c>
      <c r="F1278" s="94" t="n"/>
      <c r="G1278" s="120">
        <f t="array" ref="G1278:G1278">IF(OR(D1278="",F1278=""),"",IFERROR(IF(AND(OR(INDEX('1.職能辭典'!$J:$J,MATCH(F1278,'1.職能辭典'!$C:$C,0))="全部",INDEX('3.員工名單'!$H:$H,MATCH(A1278,'3.員工名單'!$A:$A,0))="兩款共用",INDEX('3.員工名單'!$H:$H,MATCH(A1278,'3.員工名單'!$A:$A,0))=INDEX('1.職能辭典'!$J:$J,MATCH(F1278,'1.職能辭典'!$C:$C,0))),OR(INDEX('1.職能辭典'!$K:$K,MATCH(F1278,'1.職能辭典'!$C:$C,0))="全部",SUMPRODUCT(ISNUMBER(SEARCH({"經營","管理","財務","企劃","營運","技術","數據","美術","測試","客服"},INDEX('3.員工名單'!$I:$I,MATCH(A1278,'3.員工名單'!$A:$A,0))))*ISNUMBER(SEARCH({"經營","管理","財務","企劃","營運","技術","數據","美術","測試","客服"},INDEX('1.職能辭典'!$K:$K,MATCH(F1278,'1.職能辭典'!$C:$C,0)))))&gt;0)),INDEX('2.職務職能需求'!$B$2:$F$28,MATCH(F1278,'2.職務職能需求'!$A$2:$A$28,0),MATCH(D1278,'2.職務職能需求'!$B$1:$F$1,0)),0),""))</f>
        <v/>
      </c>
      <c r="H1278" s="94" t="n"/>
      <c r="I1278" s="94" t="n"/>
      <c r="J1278" s="120">
        <f>IF(OR(G1278="",I1278="",G1278=0),"",I1278-G1278)</f>
        <v/>
      </c>
      <c r="K1278" s="120">
        <f>IF(G1278="","",IF(G1278=0,"不適用",IF(I1278="","待評核",IF(I1278&gt;=G1278,IF(I1278&gt;G1278,"超越","達標"),"待發展"))))</f>
        <v/>
      </c>
      <c r="L1278" s="91" t="n"/>
      <c r="M1278" s="91" t="n"/>
      <c r="N1278" s="88" t="n"/>
    </row>
    <row r="1279" ht="15.75" customHeight="1" s="64">
      <c r="A1279" s="88" t="n"/>
      <c r="B1279" s="120">
        <f t="array" ref="B1279:B1279">IF(A1279="","",IFERROR(INDEX('3.員工名單'!$B:$B,MATCH(A1279,'3.員工名單'!$A:$A,0)),"查無此員工"))</f>
        <v/>
      </c>
      <c r="C1279" s="120">
        <f t="array" ref="C1279:C1279">IF(A1279="","",IFERROR(INDEX('3.員工名單'!$C:$C,MATCH(A1279,'3.員工名單'!$A:$A,0)),""))</f>
        <v/>
      </c>
      <c r="D1279" s="120">
        <f t="array" ref="D1279:D1279">IF(A1279="","",IFERROR(INDEX('3.員工名單'!$D:$D,MATCH(A1279,'3.員工名單'!$A:$A,0)),""))</f>
        <v/>
      </c>
      <c r="E1279" s="120">
        <f t="array" ref="E1279:E1279">IF(F1279="","",IFERROR(INDEX('1.職能辭典'!$A:$A,MATCH(F1279,'1.職能辭典'!$C:$C,0)),""))</f>
        <v/>
      </c>
      <c r="F1279" s="94" t="n"/>
      <c r="G1279" s="120">
        <f t="array" ref="G1279:G1279">IF(OR(D1279="",F1279=""),"",IFERROR(IF(AND(OR(INDEX('1.職能辭典'!$J:$J,MATCH(F1279,'1.職能辭典'!$C:$C,0))="全部",INDEX('3.員工名單'!$H:$H,MATCH(A1279,'3.員工名單'!$A:$A,0))="兩款共用",INDEX('3.員工名單'!$H:$H,MATCH(A1279,'3.員工名單'!$A:$A,0))=INDEX('1.職能辭典'!$J:$J,MATCH(F1279,'1.職能辭典'!$C:$C,0))),OR(INDEX('1.職能辭典'!$K:$K,MATCH(F1279,'1.職能辭典'!$C:$C,0))="全部",SUMPRODUCT(ISNUMBER(SEARCH({"經營","管理","財務","企劃","營運","技術","數據","美術","測試","客服"},INDEX('3.員工名單'!$I:$I,MATCH(A1279,'3.員工名單'!$A:$A,0))))*ISNUMBER(SEARCH({"經營","管理","財務","企劃","營運","技術","數據","美術","測試","客服"},INDEX('1.職能辭典'!$K:$K,MATCH(F1279,'1.職能辭典'!$C:$C,0)))))&gt;0)),INDEX('2.職務職能需求'!$B$2:$F$28,MATCH(F1279,'2.職務職能需求'!$A$2:$A$28,0),MATCH(D1279,'2.職務職能需求'!$B$1:$F$1,0)),0),""))</f>
        <v/>
      </c>
      <c r="H1279" s="94" t="n"/>
      <c r="I1279" s="94" t="n"/>
      <c r="J1279" s="120">
        <f>IF(OR(G1279="",I1279="",G1279=0),"",I1279-G1279)</f>
        <v/>
      </c>
      <c r="K1279" s="120">
        <f>IF(G1279="","",IF(G1279=0,"不適用",IF(I1279="","待評核",IF(I1279&gt;=G1279,IF(I1279&gt;G1279,"超越","達標"),"待發展"))))</f>
        <v/>
      </c>
      <c r="L1279" s="91" t="n"/>
      <c r="M1279" s="91" t="n"/>
      <c r="N1279" s="88" t="n"/>
    </row>
    <row r="1280" ht="15.75" customHeight="1" s="64">
      <c r="A1280" s="88" t="n"/>
      <c r="B1280" s="120">
        <f t="array" ref="B1280:B1280">IF(A1280="","",IFERROR(INDEX('3.員工名單'!$B:$B,MATCH(A1280,'3.員工名單'!$A:$A,0)),"查無此員工"))</f>
        <v/>
      </c>
      <c r="C1280" s="120">
        <f t="array" ref="C1280:C1280">IF(A1280="","",IFERROR(INDEX('3.員工名單'!$C:$C,MATCH(A1280,'3.員工名單'!$A:$A,0)),""))</f>
        <v/>
      </c>
      <c r="D1280" s="120">
        <f t="array" ref="D1280:D1280">IF(A1280="","",IFERROR(INDEX('3.員工名單'!$D:$D,MATCH(A1280,'3.員工名單'!$A:$A,0)),""))</f>
        <v/>
      </c>
      <c r="E1280" s="120">
        <f t="array" ref="E1280:E1280">IF(F1280="","",IFERROR(INDEX('1.職能辭典'!$A:$A,MATCH(F1280,'1.職能辭典'!$C:$C,0)),""))</f>
        <v/>
      </c>
      <c r="F1280" s="94" t="n"/>
      <c r="G1280" s="120">
        <f t="array" ref="G1280:G1280">IF(OR(D1280="",F1280=""),"",IFERROR(IF(AND(OR(INDEX('1.職能辭典'!$J:$J,MATCH(F1280,'1.職能辭典'!$C:$C,0))="全部",INDEX('3.員工名單'!$H:$H,MATCH(A1280,'3.員工名單'!$A:$A,0))="兩款共用",INDEX('3.員工名單'!$H:$H,MATCH(A1280,'3.員工名單'!$A:$A,0))=INDEX('1.職能辭典'!$J:$J,MATCH(F1280,'1.職能辭典'!$C:$C,0))),OR(INDEX('1.職能辭典'!$K:$K,MATCH(F1280,'1.職能辭典'!$C:$C,0))="全部",SUMPRODUCT(ISNUMBER(SEARCH({"經營","管理","財務","企劃","營運","技術","數據","美術","測試","客服"},INDEX('3.員工名單'!$I:$I,MATCH(A1280,'3.員工名單'!$A:$A,0))))*ISNUMBER(SEARCH({"經營","管理","財務","企劃","營運","技術","數據","美術","測試","客服"},INDEX('1.職能辭典'!$K:$K,MATCH(F1280,'1.職能辭典'!$C:$C,0)))))&gt;0)),INDEX('2.職務職能需求'!$B$2:$F$28,MATCH(F1280,'2.職務職能需求'!$A$2:$A$28,0),MATCH(D1280,'2.職務職能需求'!$B$1:$F$1,0)),0),""))</f>
        <v/>
      </c>
      <c r="H1280" s="94" t="n"/>
      <c r="I1280" s="94" t="n"/>
      <c r="J1280" s="120">
        <f>IF(OR(G1280="",I1280="",G1280=0),"",I1280-G1280)</f>
        <v/>
      </c>
      <c r="K1280" s="120">
        <f>IF(G1280="","",IF(G1280=0,"不適用",IF(I1280="","待評核",IF(I1280&gt;=G1280,IF(I1280&gt;G1280,"超越","達標"),"待發展"))))</f>
        <v/>
      </c>
      <c r="L1280" s="91" t="n"/>
      <c r="M1280" s="91" t="n"/>
      <c r="N1280" s="88" t="n"/>
    </row>
    <row r="1281" ht="15.75" customHeight="1" s="64">
      <c r="A1281" s="88" t="n"/>
      <c r="B1281" s="120">
        <f t="array" ref="B1281:B1281">IF(A1281="","",IFERROR(INDEX('3.員工名單'!$B:$B,MATCH(A1281,'3.員工名單'!$A:$A,0)),"查無此員工"))</f>
        <v/>
      </c>
      <c r="C1281" s="120">
        <f t="array" ref="C1281:C1281">IF(A1281="","",IFERROR(INDEX('3.員工名單'!$C:$C,MATCH(A1281,'3.員工名單'!$A:$A,0)),""))</f>
        <v/>
      </c>
      <c r="D1281" s="120">
        <f t="array" ref="D1281:D1281">IF(A1281="","",IFERROR(INDEX('3.員工名單'!$D:$D,MATCH(A1281,'3.員工名單'!$A:$A,0)),""))</f>
        <v/>
      </c>
      <c r="E1281" s="120">
        <f t="array" ref="E1281:E1281">IF(F1281="","",IFERROR(INDEX('1.職能辭典'!$A:$A,MATCH(F1281,'1.職能辭典'!$C:$C,0)),""))</f>
        <v/>
      </c>
      <c r="F1281" s="94" t="n"/>
      <c r="G1281" s="120">
        <f t="array" ref="G1281:G1281">IF(OR(D1281="",F1281=""),"",IFERROR(IF(AND(OR(INDEX('1.職能辭典'!$J:$J,MATCH(F1281,'1.職能辭典'!$C:$C,0))="全部",INDEX('3.員工名單'!$H:$H,MATCH(A1281,'3.員工名單'!$A:$A,0))="兩款共用",INDEX('3.員工名單'!$H:$H,MATCH(A1281,'3.員工名單'!$A:$A,0))=INDEX('1.職能辭典'!$J:$J,MATCH(F1281,'1.職能辭典'!$C:$C,0))),OR(INDEX('1.職能辭典'!$K:$K,MATCH(F1281,'1.職能辭典'!$C:$C,0))="全部",SUMPRODUCT(ISNUMBER(SEARCH({"經營","管理","財務","企劃","營運","技術","數據","美術","測試","客服"},INDEX('3.員工名單'!$I:$I,MATCH(A1281,'3.員工名單'!$A:$A,0))))*ISNUMBER(SEARCH({"經營","管理","財務","企劃","營運","技術","數據","美術","測試","客服"},INDEX('1.職能辭典'!$K:$K,MATCH(F1281,'1.職能辭典'!$C:$C,0)))))&gt;0)),INDEX('2.職務職能需求'!$B$2:$F$28,MATCH(F1281,'2.職務職能需求'!$A$2:$A$28,0),MATCH(D1281,'2.職務職能需求'!$B$1:$F$1,0)),0),""))</f>
        <v/>
      </c>
      <c r="H1281" s="94" t="n"/>
      <c r="I1281" s="94" t="n"/>
      <c r="J1281" s="120">
        <f>IF(OR(G1281="",I1281="",G1281=0),"",I1281-G1281)</f>
        <v/>
      </c>
      <c r="K1281" s="120">
        <f>IF(G1281="","",IF(G1281=0,"不適用",IF(I1281="","待評核",IF(I1281&gt;=G1281,IF(I1281&gt;G1281,"超越","達標"),"待發展"))))</f>
        <v/>
      </c>
      <c r="L1281" s="91" t="n"/>
      <c r="M1281" s="91" t="n"/>
      <c r="N1281" s="88" t="n"/>
    </row>
    <row r="1282" ht="15.75" customHeight="1" s="64">
      <c r="A1282" s="88" t="n"/>
      <c r="B1282" s="120">
        <f t="array" ref="B1282:B1282">IF(A1282="","",IFERROR(INDEX('3.員工名單'!$B:$B,MATCH(A1282,'3.員工名單'!$A:$A,0)),"查無此員工"))</f>
        <v/>
      </c>
      <c r="C1282" s="120">
        <f t="array" ref="C1282:C1282">IF(A1282="","",IFERROR(INDEX('3.員工名單'!$C:$C,MATCH(A1282,'3.員工名單'!$A:$A,0)),""))</f>
        <v/>
      </c>
      <c r="D1282" s="120">
        <f t="array" ref="D1282:D1282">IF(A1282="","",IFERROR(INDEX('3.員工名單'!$D:$D,MATCH(A1282,'3.員工名單'!$A:$A,0)),""))</f>
        <v/>
      </c>
      <c r="E1282" s="120">
        <f t="array" ref="E1282:E1282">IF(F1282="","",IFERROR(INDEX('1.職能辭典'!$A:$A,MATCH(F1282,'1.職能辭典'!$C:$C,0)),""))</f>
        <v/>
      </c>
      <c r="F1282" s="94" t="n"/>
      <c r="G1282" s="120">
        <f t="array" ref="G1282:G1282">IF(OR(D1282="",F1282=""),"",IFERROR(IF(AND(OR(INDEX('1.職能辭典'!$J:$J,MATCH(F1282,'1.職能辭典'!$C:$C,0))="全部",INDEX('3.員工名單'!$H:$H,MATCH(A1282,'3.員工名單'!$A:$A,0))="兩款共用",INDEX('3.員工名單'!$H:$H,MATCH(A1282,'3.員工名單'!$A:$A,0))=INDEX('1.職能辭典'!$J:$J,MATCH(F1282,'1.職能辭典'!$C:$C,0))),OR(INDEX('1.職能辭典'!$K:$K,MATCH(F1282,'1.職能辭典'!$C:$C,0))="全部",SUMPRODUCT(ISNUMBER(SEARCH({"經營","管理","財務","企劃","營運","技術","數據","美術","測試","客服"},INDEX('3.員工名單'!$I:$I,MATCH(A1282,'3.員工名單'!$A:$A,0))))*ISNUMBER(SEARCH({"經營","管理","財務","企劃","營運","技術","數據","美術","測試","客服"},INDEX('1.職能辭典'!$K:$K,MATCH(F1282,'1.職能辭典'!$C:$C,0)))))&gt;0)),INDEX('2.職務職能需求'!$B$2:$F$28,MATCH(F1282,'2.職務職能需求'!$A$2:$A$28,0),MATCH(D1282,'2.職務職能需求'!$B$1:$F$1,0)),0),""))</f>
        <v/>
      </c>
      <c r="H1282" s="94" t="n"/>
      <c r="I1282" s="94" t="n"/>
      <c r="J1282" s="120">
        <f>IF(OR(G1282="",I1282="",G1282=0),"",I1282-G1282)</f>
        <v/>
      </c>
      <c r="K1282" s="120">
        <f>IF(G1282="","",IF(G1282=0,"不適用",IF(I1282="","待評核",IF(I1282&gt;=G1282,IF(I1282&gt;G1282,"超越","達標"),"待發展"))))</f>
        <v/>
      </c>
      <c r="L1282" s="91" t="n"/>
      <c r="M1282" s="91" t="n"/>
      <c r="N1282" s="88" t="n"/>
    </row>
    <row r="1283" ht="15.75" customHeight="1" s="64">
      <c r="A1283" s="88" t="n"/>
      <c r="B1283" s="120">
        <f t="array" ref="B1283:B1283">IF(A1283="","",IFERROR(INDEX('3.員工名單'!$B:$B,MATCH(A1283,'3.員工名單'!$A:$A,0)),"查無此員工"))</f>
        <v/>
      </c>
      <c r="C1283" s="120">
        <f t="array" ref="C1283:C1283">IF(A1283="","",IFERROR(INDEX('3.員工名單'!$C:$C,MATCH(A1283,'3.員工名單'!$A:$A,0)),""))</f>
        <v/>
      </c>
      <c r="D1283" s="120">
        <f t="array" ref="D1283:D1283">IF(A1283="","",IFERROR(INDEX('3.員工名單'!$D:$D,MATCH(A1283,'3.員工名單'!$A:$A,0)),""))</f>
        <v/>
      </c>
      <c r="E1283" s="120">
        <f t="array" ref="E1283:E1283">IF(F1283="","",IFERROR(INDEX('1.職能辭典'!$A:$A,MATCH(F1283,'1.職能辭典'!$C:$C,0)),""))</f>
        <v/>
      </c>
      <c r="F1283" s="94" t="n"/>
      <c r="G1283" s="120">
        <f t="array" ref="G1283:G1283">IF(OR(D1283="",F1283=""),"",IFERROR(IF(AND(OR(INDEX('1.職能辭典'!$J:$J,MATCH(F1283,'1.職能辭典'!$C:$C,0))="全部",INDEX('3.員工名單'!$H:$H,MATCH(A1283,'3.員工名單'!$A:$A,0))="兩款共用",INDEX('3.員工名單'!$H:$H,MATCH(A1283,'3.員工名單'!$A:$A,0))=INDEX('1.職能辭典'!$J:$J,MATCH(F1283,'1.職能辭典'!$C:$C,0))),OR(INDEX('1.職能辭典'!$K:$K,MATCH(F1283,'1.職能辭典'!$C:$C,0))="全部",SUMPRODUCT(ISNUMBER(SEARCH({"經營","管理","財務","企劃","營運","技術","數據","美術","測試","客服"},INDEX('3.員工名單'!$I:$I,MATCH(A1283,'3.員工名單'!$A:$A,0))))*ISNUMBER(SEARCH({"經營","管理","財務","企劃","營運","技術","數據","美術","測試","客服"},INDEX('1.職能辭典'!$K:$K,MATCH(F1283,'1.職能辭典'!$C:$C,0)))))&gt;0)),INDEX('2.職務職能需求'!$B$2:$F$28,MATCH(F1283,'2.職務職能需求'!$A$2:$A$28,0),MATCH(D1283,'2.職務職能需求'!$B$1:$F$1,0)),0),""))</f>
        <v/>
      </c>
      <c r="H1283" s="94" t="n"/>
      <c r="I1283" s="94" t="n"/>
      <c r="J1283" s="120">
        <f>IF(OR(G1283="",I1283="",G1283=0),"",I1283-G1283)</f>
        <v/>
      </c>
      <c r="K1283" s="120">
        <f>IF(G1283="","",IF(G1283=0,"不適用",IF(I1283="","待評核",IF(I1283&gt;=G1283,IF(I1283&gt;G1283,"超越","達標"),"待發展"))))</f>
        <v/>
      </c>
      <c r="L1283" s="91" t="n"/>
      <c r="M1283" s="91" t="n"/>
      <c r="N1283" s="88" t="n"/>
    </row>
    <row r="1284" ht="15.75" customHeight="1" s="64">
      <c r="A1284" s="88" t="n"/>
      <c r="B1284" s="120">
        <f t="array" ref="B1284:B1284">IF(A1284="","",IFERROR(INDEX('3.員工名單'!$B:$B,MATCH(A1284,'3.員工名單'!$A:$A,0)),"查無此員工"))</f>
        <v/>
      </c>
      <c r="C1284" s="120">
        <f t="array" ref="C1284:C1284">IF(A1284="","",IFERROR(INDEX('3.員工名單'!$C:$C,MATCH(A1284,'3.員工名單'!$A:$A,0)),""))</f>
        <v/>
      </c>
      <c r="D1284" s="120">
        <f t="array" ref="D1284:D1284">IF(A1284="","",IFERROR(INDEX('3.員工名單'!$D:$D,MATCH(A1284,'3.員工名單'!$A:$A,0)),""))</f>
        <v/>
      </c>
      <c r="E1284" s="120">
        <f t="array" ref="E1284:E1284">IF(F1284="","",IFERROR(INDEX('1.職能辭典'!$A:$A,MATCH(F1284,'1.職能辭典'!$C:$C,0)),""))</f>
        <v/>
      </c>
      <c r="F1284" s="94" t="n"/>
      <c r="G1284" s="120">
        <f t="array" ref="G1284:G1284">IF(OR(D1284="",F1284=""),"",IFERROR(IF(AND(OR(INDEX('1.職能辭典'!$J:$J,MATCH(F1284,'1.職能辭典'!$C:$C,0))="全部",INDEX('3.員工名單'!$H:$H,MATCH(A1284,'3.員工名單'!$A:$A,0))="兩款共用",INDEX('3.員工名單'!$H:$H,MATCH(A1284,'3.員工名單'!$A:$A,0))=INDEX('1.職能辭典'!$J:$J,MATCH(F1284,'1.職能辭典'!$C:$C,0))),OR(INDEX('1.職能辭典'!$K:$K,MATCH(F1284,'1.職能辭典'!$C:$C,0))="全部",SUMPRODUCT(ISNUMBER(SEARCH({"經營","管理","財務","企劃","營運","技術","數據","美術","測試","客服"},INDEX('3.員工名單'!$I:$I,MATCH(A1284,'3.員工名單'!$A:$A,0))))*ISNUMBER(SEARCH({"經營","管理","財務","企劃","營運","技術","數據","美術","測試","客服"},INDEX('1.職能辭典'!$K:$K,MATCH(F1284,'1.職能辭典'!$C:$C,0)))))&gt;0)),INDEX('2.職務職能需求'!$B$2:$F$28,MATCH(F1284,'2.職務職能需求'!$A$2:$A$28,0),MATCH(D1284,'2.職務職能需求'!$B$1:$F$1,0)),0),""))</f>
        <v/>
      </c>
      <c r="H1284" s="94" t="n"/>
      <c r="I1284" s="94" t="n"/>
      <c r="J1284" s="120">
        <f>IF(OR(G1284="",I1284="",G1284=0),"",I1284-G1284)</f>
        <v/>
      </c>
      <c r="K1284" s="120">
        <f>IF(G1284="","",IF(G1284=0,"不適用",IF(I1284="","待評核",IF(I1284&gt;=G1284,IF(I1284&gt;G1284,"超越","達標"),"待發展"))))</f>
        <v/>
      </c>
      <c r="L1284" s="91" t="n"/>
      <c r="M1284" s="91" t="n"/>
      <c r="N1284" s="88" t="n"/>
    </row>
    <row r="1285" ht="15.75" customHeight="1" s="64">
      <c r="A1285" s="88" t="n"/>
      <c r="B1285" s="120">
        <f t="array" ref="B1285:B1285">IF(A1285="","",IFERROR(INDEX('3.員工名單'!$B:$B,MATCH(A1285,'3.員工名單'!$A:$A,0)),"查無此員工"))</f>
        <v/>
      </c>
      <c r="C1285" s="120">
        <f t="array" ref="C1285:C1285">IF(A1285="","",IFERROR(INDEX('3.員工名單'!$C:$C,MATCH(A1285,'3.員工名單'!$A:$A,0)),""))</f>
        <v/>
      </c>
      <c r="D1285" s="120">
        <f t="array" ref="D1285:D1285">IF(A1285="","",IFERROR(INDEX('3.員工名單'!$D:$D,MATCH(A1285,'3.員工名單'!$A:$A,0)),""))</f>
        <v/>
      </c>
      <c r="E1285" s="120">
        <f t="array" ref="E1285:E1285">IF(F1285="","",IFERROR(INDEX('1.職能辭典'!$A:$A,MATCH(F1285,'1.職能辭典'!$C:$C,0)),""))</f>
        <v/>
      </c>
      <c r="F1285" s="94" t="n"/>
      <c r="G1285" s="120">
        <f t="array" ref="G1285:G1285">IF(OR(D1285="",F1285=""),"",IFERROR(IF(AND(OR(INDEX('1.職能辭典'!$J:$J,MATCH(F1285,'1.職能辭典'!$C:$C,0))="全部",INDEX('3.員工名單'!$H:$H,MATCH(A1285,'3.員工名單'!$A:$A,0))="兩款共用",INDEX('3.員工名單'!$H:$H,MATCH(A1285,'3.員工名單'!$A:$A,0))=INDEX('1.職能辭典'!$J:$J,MATCH(F1285,'1.職能辭典'!$C:$C,0))),OR(INDEX('1.職能辭典'!$K:$K,MATCH(F1285,'1.職能辭典'!$C:$C,0))="全部",SUMPRODUCT(ISNUMBER(SEARCH({"經營","管理","財務","企劃","營運","技術","數據","美術","測試","客服"},INDEX('3.員工名單'!$I:$I,MATCH(A1285,'3.員工名單'!$A:$A,0))))*ISNUMBER(SEARCH({"經營","管理","財務","企劃","營運","技術","數據","美術","測試","客服"},INDEX('1.職能辭典'!$K:$K,MATCH(F1285,'1.職能辭典'!$C:$C,0)))))&gt;0)),INDEX('2.職務職能需求'!$B$2:$F$28,MATCH(F1285,'2.職務職能需求'!$A$2:$A$28,0),MATCH(D1285,'2.職務職能需求'!$B$1:$F$1,0)),0),""))</f>
        <v/>
      </c>
      <c r="H1285" s="94" t="n"/>
      <c r="I1285" s="94" t="n"/>
      <c r="J1285" s="120">
        <f>IF(OR(G1285="",I1285="",G1285=0),"",I1285-G1285)</f>
        <v/>
      </c>
      <c r="K1285" s="120">
        <f>IF(G1285="","",IF(G1285=0,"不適用",IF(I1285="","待評核",IF(I1285&gt;=G1285,IF(I1285&gt;G1285,"超越","達標"),"待發展"))))</f>
        <v/>
      </c>
      <c r="L1285" s="91" t="n"/>
      <c r="M1285" s="91" t="n"/>
      <c r="N1285" s="88" t="n"/>
    </row>
    <row r="1286" ht="15.75" customHeight="1" s="64">
      <c r="A1286" s="88" t="n"/>
      <c r="B1286" s="120">
        <f t="array" ref="B1286:B1286">IF(A1286="","",IFERROR(INDEX('3.員工名單'!$B:$B,MATCH(A1286,'3.員工名單'!$A:$A,0)),"查無此員工"))</f>
        <v/>
      </c>
      <c r="C1286" s="120">
        <f t="array" ref="C1286:C1286">IF(A1286="","",IFERROR(INDEX('3.員工名單'!$C:$C,MATCH(A1286,'3.員工名單'!$A:$A,0)),""))</f>
        <v/>
      </c>
      <c r="D1286" s="120">
        <f t="array" ref="D1286:D1286">IF(A1286="","",IFERROR(INDEX('3.員工名單'!$D:$D,MATCH(A1286,'3.員工名單'!$A:$A,0)),""))</f>
        <v/>
      </c>
      <c r="E1286" s="120">
        <f t="array" ref="E1286:E1286">IF(F1286="","",IFERROR(INDEX('1.職能辭典'!$A:$A,MATCH(F1286,'1.職能辭典'!$C:$C,0)),""))</f>
        <v/>
      </c>
      <c r="F1286" s="94" t="n"/>
      <c r="G1286" s="120">
        <f t="array" ref="G1286:G1286">IF(OR(D1286="",F1286=""),"",IFERROR(IF(AND(OR(INDEX('1.職能辭典'!$J:$J,MATCH(F1286,'1.職能辭典'!$C:$C,0))="全部",INDEX('3.員工名單'!$H:$H,MATCH(A1286,'3.員工名單'!$A:$A,0))="兩款共用",INDEX('3.員工名單'!$H:$H,MATCH(A1286,'3.員工名單'!$A:$A,0))=INDEX('1.職能辭典'!$J:$J,MATCH(F1286,'1.職能辭典'!$C:$C,0))),OR(INDEX('1.職能辭典'!$K:$K,MATCH(F1286,'1.職能辭典'!$C:$C,0))="全部",SUMPRODUCT(ISNUMBER(SEARCH({"經營","管理","財務","企劃","營運","技術","數據","美術","測試","客服"},INDEX('3.員工名單'!$I:$I,MATCH(A1286,'3.員工名單'!$A:$A,0))))*ISNUMBER(SEARCH({"經營","管理","財務","企劃","營運","技術","數據","美術","測試","客服"},INDEX('1.職能辭典'!$K:$K,MATCH(F1286,'1.職能辭典'!$C:$C,0)))))&gt;0)),INDEX('2.職務職能需求'!$B$2:$F$28,MATCH(F1286,'2.職務職能需求'!$A$2:$A$28,0),MATCH(D1286,'2.職務職能需求'!$B$1:$F$1,0)),0),""))</f>
        <v/>
      </c>
      <c r="H1286" s="94" t="n"/>
      <c r="I1286" s="94" t="n"/>
      <c r="J1286" s="120">
        <f>IF(OR(G1286="",I1286="",G1286=0),"",I1286-G1286)</f>
        <v/>
      </c>
      <c r="K1286" s="120">
        <f>IF(G1286="","",IF(G1286=0,"不適用",IF(I1286="","待評核",IF(I1286&gt;=G1286,IF(I1286&gt;G1286,"超越","達標"),"待發展"))))</f>
        <v/>
      </c>
      <c r="L1286" s="91" t="n"/>
      <c r="M1286" s="91" t="n"/>
      <c r="N1286" s="88" t="n"/>
    </row>
    <row r="1287" ht="15.75" customHeight="1" s="64">
      <c r="A1287" s="88" t="n"/>
      <c r="B1287" s="120">
        <f t="array" ref="B1287:B1287">IF(A1287="","",IFERROR(INDEX('3.員工名單'!$B:$B,MATCH(A1287,'3.員工名單'!$A:$A,0)),"查無此員工"))</f>
        <v/>
      </c>
      <c r="C1287" s="120">
        <f t="array" ref="C1287:C1287">IF(A1287="","",IFERROR(INDEX('3.員工名單'!$C:$C,MATCH(A1287,'3.員工名單'!$A:$A,0)),""))</f>
        <v/>
      </c>
      <c r="D1287" s="120">
        <f t="array" ref="D1287:D1287">IF(A1287="","",IFERROR(INDEX('3.員工名單'!$D:$D,MATCH(A1287,'3.員工名單'!$A:$A,0)),""))</f>
        <v/>
      </c>
      <c r="E1287" s="120">
        <f t="array" ref="E1287:E1287">IF(F1287="","",IFERROR(INDEX('1.職能辭典'!$A:$A,MATCH(F1287,'1.職能辭典'!$C:$C,0)),""))</f>
        <v/>
      </c>
      <c r="F1287" s="94" t="n"/>
      <c r="G1287" s="120">
        <f t="array" ref="G1287:G1287">IF(OR(D1287="",F1287=""),"",IFERROR(IF(AND(OR(INDEX('1.職能辭典'!$J:$J,MATCH(F1287,'1.職能辭典'!$C:$C,0))="全部",INDEX('3.員工名單'!$H:$H,MATCH(A1287,'3.員工名單'!$A:$A,0))="兩款共用",INDEX('3.員工名單'!$H:$H,MATCH(A1287,'3.員工名單'!$A:$A,0))=INDEX('1.職能辭典'!$J:$J,MATCH(F1287,'1.職能辭典'!$C:$C,0))),OR(INDEX('1.職能辭典'!$K:$K,MATCH(F1287,'1.職能辭典'!$C:$C,0))="全部",SUMPRODUCT(ISNUMBER(SEARCH({"經營","管理","財務","企劃","營運","技術","數據","美術","測試","客服"},INDEX('3.員工名單'!$I:$I,MATCH(A1287,'3.員工名單'!$A:$A,0))))*ISNUMBER(SEARCH({"經營","管理","財務","企劃","營運","技術","數據","美術","測試","客服"},INDEX('1.職能辭典'!$K:$K,MATCH(F1287,'1.職能辭典'!$C:$C,0)))))&gt;0)),INDEX('2.職務職能需求'!$B$2:$F$28,MATCH(F1287,'2.職務職能需求'!$A$2:$A$28,0),MATCH(D1287,'2.職務職能需求'!$B$1:$F$1,0)),0),""))</f>
        <v/>
      </c>
      <c r="H1287" s="94" t="n"/>
      <c r="I1287" s="94" t="n"/>
      <c r="J1287" s="120">
        <f>IF(OR(G1287="",I1287="",G1287=0),"",I1287-G1287)</f>
        <v/>
      </c>
      <c r="K1287" s="120">
        <f>IF(G1287="","",IF(G1287=0,"不適用",IF(I1287="","待評核",IF(I1287&gt;=G1287,IF(I1287&gt;G1287,"超越","達標"),"待發展"))))</f>
        <v/>
      </c>
      <c r="L1287" s="91" t="n"/>
      <c r="M1287" s="91" t="n"/>
      <c r="N1287" s="88" t="n"/>
    </row>
    <row r="1288" ht="15.75" customHeight="1" s="64">
      <c r="A1288" s="88" t="n"/>
      <c r="B1288" s="120">
        <f t="array" ref="B1288:B1288">IF(A1288="","",IFERROR(INDEX('3.員工名單'!$B:$B,MATCH(A1288,'3.員工名單'!$A:$A,0)),"查無此員工"))</f>
        <v/>
      </c>
      <c r="C1288" s="120">
        <f t="array" ref="C1288:C1288">IF(A1288="","",IFERROR(INDEX('3.員工名單'!$C:$C,MATCH(A1288,'3.員工名單'!$A:$A,0)),""))</f>
        <v/>
      </c>
      <c r="D1288" s="120">
        <f t="array" ref="D1288:D1288">IF(A1288="","",IFERROR(INDEX('3.員工名單'!$D:$D,MATCH(A1288,'3.員工名單'!$A:$A,0)),""))</f>
        <v/>
      </c>
      <c r="E1288" s="120">
        <f t="array" ref="E1288:E1288">IF(F1288="","",IFERROR(INDEX('1.職能辭典'!$A:$A,MATCH(F1288,'1.職能辭典'!$C:$C,0)),""))</f>
        <v/>
      </c>
      <c r="F1288" s="94" t="n"/>
      <c r="G1288" s="120">
        <f t="array" ref="G1288:G1288">IF(OR(D1288="",F1288=""),"",IFERROR(IF(AND(OR(INDEX('1.職能辭典'!$J:$J,MATCH(F1288,'1.職能辭典'!$C:$C,0))="全部",INDEX('3.員工名單'!$H:$H,MATCH(A1288,'3.員工名單'!$A:$A,0))="兩款共用",INDEX('3.員工名單'!$H:$H,MATCH(A1288,'3.員工名單'!$A:$A,0))=INDEX('1.職能辭典'!$J:$J,MATCH(F1288,'1.職能辭典'!$C:$C,0))),OR(INDEX('1.職能辭典'!$K:$K,MATCH(F1288,'1.職能辭典'!$C:$C,0))="全部",SUMPRODUCT(ISNUMBER(SEARCH({"經營","管理","財務","企劃","營運","技術","數據","美術","測試","客服"},INDEX('3.員工名單'!$I:$I,MATCH(A1288,'3.員工名單'!$A:$A,0))))*ISNUMBER(SEARCH({"經營","管理","財務","企劃","營運","技術","數據","美術","測試","客服"},INDEX('1.職能辭典'!$K:$K,MATCH(F1288,'1.職能辭典'!$C:$C,0)))))&gt;0)),INDEX('2.職務職能需求'!$B$2:$F$28,MATCH(F1288,'2.職務職能需求'!$A$2:$A$28,0),MATCH(D1288,'2.職務職能需求'!$B$1:$F$1,0)),0),""))</f>
        <v/>
      </c>
      <c r="H1288" s="94" t="n"/>
      <c r="I1288" s="94" t="n"/>
      <c r="J1288" s="120">
        <f>IF(OR(G1288="",I1288="",G1288=0),"",I1288-G1288)</f>
        <v/>
      </c>
      <c r="K1288" s="120">
        <f>IF(G1288="","",IF(G1288=0,"不適用",IF(I1288="","待評核",IF(I1288&gt;=G1288,IF(I1288&gt;G1288,"超越","達標"),"待發展"))))</f>
        <v/>
      </c>
      <c r="L1288" s="91" t="n"/>
      <c r="M1288" s="91" t="n"/>
      <c r="N1288" s="88" t="n"/>
    </row>
    <row r="1289" ht="15.75" customHeight="1" s="64">
      <c r="A1289" s="88" t="n"/>
      <c r="B1289" s="120">
        <f t="array" ref="B1289:B1289">IF(A1289="","",IFERROR(INDEX('3.員工名單'!$B:$B,MATCH(A1289,'3.員工名單'!$A:$A,0)),"查無此員工"))</f>
        <v/>
      </c>
      <c r="C1289" s="120">
        <f t="array" ref="C1289:C1289">IF(A1289="","",IFERROR(INDEX('3.員工名單'!$C:$C,MATCH(A1289,'3.員工名單'!$A:$A,0)),""))</f>
        <v/>
      </c>
      <c r="D1289" s="120">
        <f t="array" ref="D1289:D1289">IF(A1289="","",IFERROR(INDEX('3.員工名單'!$D:$D,MATCH(A1289,'3.員工名單'!$A:$A,0)),""))</f>
        <v/>
      </c>
      <c r="E1289" s="120">
        <f t="array" ref="E1289:E1289">IF(F1289="","",IFERROR(INDEX('1.職能辭典'!$A:$A,MATCH(F1289,'1.職能辭典'!$C:$C,0)),""))</f>
        <v/>
      </c>
      <c r="F1289" s="94" t="n"/>
      <c r="G1289" s="120">
        <f t="array" ref="G1289:G1289">IF(OR(D1289="",F1289=""),"",IFERROR(IF(AND(OR(INDEX('1.職能辭典'!$J:$J,MATCH(F1289,'1.職能辭典'!$C:$C,0))="全部",INDEX('3.員工名單'!$H:$H,MATCH(A1289,'3.員工名單'!$A:$A,0))="兩款共用",INDEX('3.員工名單'!$H:$H,MATCH(A1289,'3.員工名單'!$A:$A,0))=INDEX('1.職能辭典'!$J:$J,MATCH(F1289,'1.職能辭典'!$C:$C,0))),OR(INDEX('1.職能辭典'!$K:$K,MATCH(F1289,'1.職能辭典'!$C:$C,0))="全部",SUMPRODUCT(ISNUMBER(SEARCH({"經營","管理","財務","企劃","營運","技術","數據","美術","測試","客服"},INDEX('3.員工名單'!$I:$I,MATCH(A1289,'3.員工名單'!$A:$A,0))))*ISNUMBER(SEARCH({"經營","管理","財務","企劃","營運","技術","數據","美術","測試","客服"},INDEX('1.職能辭典'!$K:$K,MATCH(F1289,'1.職能辭典'!$C:$C,0)))))&gt;0)),INDEX('2.職務職能需求'!$B$2:$F$28,MATCH(F1289,'2.職務職能需求'!$A$2:$A$28,0),MATCH(D1289,'2.職務職能需求'!$B$1:$F$1,0)),0),""))</f>
        <v/>
      </c>
      <c r="H1289" s="94" t="n"/>
      <c r="I1289" s="94" t="n"/>
      <c r="J1289" s="120">
        <f>IF(OR(G1289="",I1289="",G1289=0),"",I1289-G1289)</f>
        <v/>
      </c>
      <c r="K1289" s="120">
        <f>IF(G1289="","",IF(G1289=0,"不適用",IF(I1289="","待評核",IF(I1289&gt;=G1289,IF(I1289&gt;G1289,"超越","達標"),"待發展"))))</f>
        <v/>
      </c>
      <c r="L1289" s="91" t="n"/>
      <c r="M1289" s="91" t="n"/>
      <c r="N1289" s="88" t="n"/>
    </row>
    <row r="1290" ht="15.75" customHeight="1" s="64">
      <c r="A1290" s="88" t="n"/>
      <c r="B1290" s="120">
        <f t="array" ref="B1290:B1290">IF(A1290="","",IFERROR(INDEX('3.員工名單'!$B:$B,MATCH(A1290,'3.員工名單'!$A:$A,0)),"查無此員工"))</f>
        <v/>
      </c>
      <c r="C1290" s="120">
        <f t="array" ref="C1290:C1290">IF(A1290="","",IFERROR(INDEX('3.員工名單'!$C:$C,MATCH(A1290,'3.員工名單'!$A:$A,0)),""))</f>
        <v/>
      </c>
      <c r="D1290" s="120">
        <f t="array" ref="D1290:D1290">IF(A1290="","",IFERROR(INDEX('3.員工名單'!$D:$D,MATCH(A1290,'3.員工名單'!$A:$A,0)),""))</f>
        <v/>
      </c>
      <c r="E1290" s="120">
        <f t="array" ref="E1290:E1290">IF(F1290="","",IFERROR(INDEX('1.職能辭典'!$A:$A,MATCH(F1290,'1.職能辭典'!$C:$C,0)),""))</f>
        <v/>
      </c>
      <c r="F1290" s="94" t="n"/>
      <c r="G1290" s="120">
        <f t="array" ref="G1290:G1290">IF(OR(D1290="",F1290=""),"",IFERROR(IF(AND(OR(INDEX('1.職能辭典'!$J:$J,MATCH(F1290,'1.職能辭典'!$C:$C,0))="全部",INDEX('3.員工名單'!$H:$H,MATCH(A1290,'3.員工名單'!$A:$A,0))="兩款共用",INDEX('3.員工名單'!$H:$H,MATCH(A1290,'3.員工名單'!$A:$A,0))=INDEX('1.職能辭典'!$J:$J,MATCH(F1290,'1.職能辭典'!$C:$C,0))),OR(INDEX('1.職能辭典'!$K:$K,MATCH(F1290,'1.職能辭典'!$C:$C,0))="全部",SUMPRODUCT(ISNUMBER(SEARCH({"經營","管理","財務","企劃","營運","技術","數據","美術","測試","客服"},INDEX('3.員工名單'!$I:$I,MATCH(A1290,'3.員工名單'!$A:$A,0))))*ISNUMBER(SEARCH({"經營","管理","財務","企劃","營運","技術","數據","美術","測試","客服"},INDEX('1.職能辭典'!$K:$K,MATCH(F1290,'1.職能辭典'!$C:$C,0)))))&gt;0)),INDEX('2.職務職能需求'!$B$2:$F$28,MATCH(F1290,'2.職務職能需求'!$A$2:$A$28,0),MATCH(D1290,'2.職務職能需求'!$B$1:$F$1,0)),0),""))</f>
        <v/>
      </c>
      <c r="H1290" s="94" t="n"/>
      <c r="I1290" s="94" t="n"/>
      <c r="J1290" s="120">
        <f>IF(OR(G1290="",I1290="",G1290=0),"",I1290-G1290)</f>
        <v/>
      </c>
      <c r="K1290" s="120">
        <f>IF(G1290="","",IF(G1290=0,"不適用",IF(I1290="","待評核",IF(I1290&gt;=G1290,IF(I1290&gt;G1290,"超越","達標"),"待發展"))))</f>
        <v/>
      </c>
      <c r="L1290" s="91" t="n"/>
      <c r="M1290" s="91" t="n"/>
      <c r="N1290" s="88" t="n"/>
    </row>
    <row r="1291" ht="15.75" customHeight="1" s="64">
      <c r="A1291" s="88" t="n"/>
      <c r="B1291" s="120">
        <f t="array" ref="B1291:B1291">IF(A1291="","",IFERROR(INDEX('3.員工名單'!$B:$B,MATCH(A1291,'3.員工名單'!$A:$A,0)),"查無此員工"))</f>
        <v/>
      </c>
      <c r="C1291" s="120">
        <f t="array" ref="C1291:C1291">IF(A1291="","",IFERROR(INDEX('3.員工名單'!$C:$C,MATCH(A1291,'3.員工名單'!$A:$A,0)),""))</f>
        <v/>
      </c>
      <c r="D1291" s="120">
        <f t="array" ref="D1291:D1291">IF(A1291="","",IFERROR(INDEX('3.員工名單'!$D:$D,MATCH(A1291,'3.員工名單'!$A:$A,0)),""))</f>
        <v/>
      </c>
      <c r="E1291" s="120">
        <f t="array" ref="E1291:E1291">IF(F1291="","",IFERROR(INDEX('1.職能辭典'!$A:$A,MATCH(F1291,'1.職能辭典'!$C:$C,0)),""))</f>
        <v/>
      </c>
      <c r="F1291" s="94" t="n"/>
      <c r="G1291" s="120">
        <f t="array" ref="G1291:G1291">IF(OR(D1291="",F1291=""),"",IFERROR(IF(AND(OR(INDEX('1.職能辭典'!$J:$J,MATCH(F1291,'1.職能辭典'!$C:$C,0))="全部",INDEX('3.員工名單'!$H:$H,MATCH(A1291,'3.員工名單'!$A:$A,0))="兩款共用",INDEX('3.員工名單'!$H:$H,MATCH(A1291,'3.員工名單'!$A:$A,0))=INDEX('1.職能辭典'!$J:$J,MATCH(F1291,'1.職能辭典'!$C:$C,0))),OR(INDEX('1.職能辭典'!$K:$K,MATCH(F1291,'1.職能辭典'!$C:$C,0))="全部",SUMPRODUCT(ISNUMBER(SEARCH({"經營","管理","財務","企劃","營運","技術","數據","美術","測試","客服"},INDEX('3.員工名單'!$I:$I,MATCH(A1291,'3.員工名單'!$A:$A,0))))*ISNUMBER(SEARCH({"經營","管理","財務","企劃","營運","技術","數據","美術","測試","客服"},INDEX('1.職能辭典'!$K:$K,MATCH(F1291,'1.職能辭典'!$C:$C,0)))))&gt;0)),INDEX('2.職務職能需求'!$B$2:$F$28,MATCH(F1291,'2.職務職能需求'!$A$2:$A$28,0),MATCH(D1291,'2.職務職能需求'!$B$1:$F$1,0)),0),""))</f>
        <v/>
      </c>
      <c r="H1291" s="94" t="n"/>
      <c r="I1291" s="94" t="n"/>
      <c r="J1291" s="120">
        <f>IF(OR(G1291="",I1291="",G1291=0),"",I1291-G1291)</f>
        <v/>
      </c>
      <c r="K1291" s="120">
        <f>IF(G1291="","",IF(G1291=0,"不適用",IF(I1291="","待評核",IF(I1291&gt;=G1291,IF(I1291&gt;G1291,"超越","達標"),"待發展"))))</f>
        <v/>
      </c>
      <c r="L1291" s="91" t="n"/>
      <c r="M1291" s="91" t="n"/>
      <c r="N1291" s="88" t="n"/>
    </row>
    <row r="1292" ht="15.75" customHeight="1" s="64">
      <c r="A1292" s="88" t="n"/>
      <c r="B1292" s="120">
        <f t="array" ref="B1292:B1292">IF(A1292="","",IFERROR(INDEX('3.員工名單'!$B:$B,MATCH(A1292,'3.員工名單'!$A:$A,0)),"查無此員工"))</f>
        <v/>
      </c>
      <c r="C1292" s="120">
        <f t="array" ref="C1292:C1292">IF(A1292="","",IFERROR(INDEX('3.員工名單'!$C:$C,MATCH(A1292,'3.員工名單'!$A:$A,0)),""))</f>
        <v/>
      </c>
      <c r="D1292" s="120">
        <f t="array" ref="D1292:D1292">IF(A1292="","",IFERROR(INDEX('3.員工名單'!$D:$D,MATCH(A1292,'3.員工名單'!$A:$A,0)),""))</f>
        <v/>
      </c>
      <c r="E1292" s="120">
        <f t="array" ref="E1292:E1292">IF(F1292="","",IFERROR(INDEX('1.職能辭典'!$A:$A,MATCH(F1292,'1.職能辭典'!$C:$C,0)),""))</f>
        <v/>
      </c>
      <c r="F1292" s="94" t="n"/>
      <c r="G1292" s="120">
        <f t="array" ref="G1292:G1292">IF(OR(D1292="",F1292=""),"",IFERROR(IF(AND(OR(INDEX('1.職能辭典'!$J:$J,MATCH(F1292,'1.職能辭典'!$C:$C,0))="全部",INDEX('3.員工名單'!$H:$H,MATCH(A1292,'3.員工名單'!$A:$A,0))="兩款共用",INDEX('3.員工名單'!$H:$H,MATCH(A1292,'3.員工名單'!$A:$A,0))=INDEX('1.職能辭典'!$J:$J,MATCH(F1292,'1.職能辭典'!$C:$C,0))),OR(INDEX('1.職能辭典'!$K:$K,MATCH(F1292,'1.職能辭典'!$C:$C,0))="全部",SUMPRODUCT(ISNUMBER(SEARCH({"經營","管理","財務","企劃","營運","技術","數據","美術","測試","客服"},INDEX('3.員工名單'!$I:$I,MATCH(A1292,'3.員工名單'!$A:$A,0))))*ISNUMBER(SEARCH({"經營","管理","財務","企劃","營運","技術","數據","美術","測試","客服"},INDEX('1.職能辭典'!$K:$K,MATCH(F1292,'1.職能辭典'!$C:$C,0)))))&gt;0)),INDEX('2.職務職能需求'!$B$2:$F$28,MATCH(F1292,'2.職務職能需求'!$A$2:$A$28,0),MATCH(D1292,'2.職務職能需求'!$B$1:$F$1,0)),0),""))</f>
        <v/>
      </c>
      <c r="H1292" s="94" t="n"/>
      <c r="I1292" s="94" t="n"/>
      <c r="J1292" s="120">
        <f>IF(OR(G1292="",I1292="",G1292=0),"",I1292-G1292)</f>
        <v/>
      </c>
      <c r="K1292" s="120">
        <f>IF(G1292="","",IF(G1292=0,"不適用",IF(I1292="","待評核",IF(I1292&gt;=G1292,IF(I1292&gt;G1292,"超越","達標"),"待發展"))))</f>
        <v/>
      </c>
      <c r="L1292" s="91" t="n"/>
      <c r="M1292" s="91" t="n"/>
      <c r="N1292" s="88" t="n"/>
    </row>
    <row r="1293" ht="15.75" customHeight="1" s="64">
      <c r="A1293" s="88" t="n"/>
      <c r="B1293" s="120">
        <f t="array" ref="B1293:B1293">IF(A1293="","",IFERROR(INDEX('3.員工名單'!$B:$B,MATCH(A1293,'3.員工名單'!$A:$A,0)),"查無此員工"))</f>
        <v/>
      </c>
      <c r="C1293" s="120">
        <f t="array" ref="C1293:C1293">IF(A1293="","",IFERROR(INDEX('3.員工名單'!$C:$C,MATCH(A1293,'3.員工名單'!$A:$A,0)),""))</f>
        <v/>
      </c>
      <c r="D1293" s="120">
        <f t="array" ref="D1293:D1293">IF(A1293="","",IFERROR(INDEX('3.員工名單'!$D:$D,MATCH(A1293,'3.員工名單'!$A:$A,0)),""))</f>
        <v/>
      </c>
      <c r="E1293" s="120">
        <f t="array" ref="E1293:E1293">IF(F1293="","",IFERROR(INDEX('1.職能辭典'!$A:$A,MATCH(F1293,'1.職能辭典'!$C:$C,0)),""))</f>
        <v/>
      </c>
      <c r="F1293" s="94" t="n"/>
      <c r="G1293" s="120">
        <f t="array" ref="G1293:G1293">IF(OR(D1293="",F1293=""),"",IFERROR(IF(AND(OR(INDEX('1.職能辭典'!$J:$J,MATCH(F1293,'1.職能辭典'!$C:$C,0))="全部",INDEX('3.員工名單'!$H:$H,MATCH(A1293,'3.員工名單'!$A:$A,0))="兩款共用",INDEX('3.員工名單'!$H:$H,MATCH(A1293,'3.員工名單'!$A:$A,0))=INDEX('1.職能辭典'!$J:$J,MATCH(F1293,'1.職能辭典'!$C:$C,0))),OR(INDEX('1.職能辭典'!$K:$K,MATCH(F1293,'1.職能辭典'!$C:$C,0))="全部",SUMPRODUCT(ISNUMBER(SEARCH({"經營","管理","財務","企劃","營運","技術","數據","美術","測試","客服"},INDEX('3.員工名單'!$I:$I,MATCH(A1293,'3.員工名單'!$A:$A,0))))*ISNUMBER(SEARCH({"經營","管理","財務","企劃","營運","技術","數據","美術","測試","客服"},INDEX('1.職能辭典'!$K:$K,MATCH(F1293,'1.職能辭典'!$C:$C,0)))))&gt;0)),INDEX('2.職務職能需求'!$B$2:$F$28,MATCH(F1293,'2.職務職能需求'!$A$2:$A$28,0),MATCH(D1293,'2.職務職能需求'!$B$1:$F$1,0)),0),""))</f>
        <v/>
      </c>
      <c r="H1293" s="94" t="n"/>
      <c r="I1293" s="94" t="n"/>
      <c r="J1293" s="120">
        <f>IF(OR(G1293="",I1293="",G1293=0),"",I1293-G1293)</f>
        <v/>
      </c>
      <c r="K1293" s="120">
        <f>IF(G1293="","",IF(G1293=0,"不適用",IF(I1293="","待評核",IF(I1293&gt;=G1293,IF(I1293&gt;G1293,"超越","達標"),"待發展"))))</f>
        <v/>
      </c>
      <c r="L1293" s="91" t="n"/>
      <c r="M1293" s="91" t="n"/>
      <c r="N1293" s="88" t="n"/>
    </row>
    <row r="1294" ht="15.75" customHeight="1" s="64">
      <c r="A1294" s="88" t="n"/>
      <c r="B1294" s="120">
        <f t="array" ref="B1294:B1294">IF(A1294="","",IFERROR(INDEX('3.員工名單'!$B:$B,MATCH(A1294,'3.員工名單'!$A:$A,0)),"查無此員工"))</f>
        <v/>
      </c>
      <c r="C1294" s="120">
        <f t="array" ref="C1294:C1294">IF(A1294="","",IFERROR(INDEX('3.員工名單'!$C:$C,MATCH(A1294,'3.員工名單'!$A:$A,0)),""))</f>
        <v/>
      </c>
      <c r="D1294" s="120">
        <f t="array" ref="D1294:D1294">IF(A1294="","",IFERROR(INDEX('3.員工名單'!$D:$D,MATCH(A1294,'3.員工名單'!$A:$A,0)),""))</f>
        <v/>
      </c>
      <c r="E1294" s="120">
        <f t="array" ref="E1294:E1294">IF(F1294="","",IFERROR(INDEX('1.職能辭典'!$A:$A,MATCH(F1294,'1.職能辭典'!$C:$C,0)),""))</f>
        <v/>
      </c>
      <c r="F1294" s="94" t="n"/>
      <c r="G1294" s="120">
        <f t="array" ref="G1294:G1294">IF(OR(D1294="",F1294=""),"",IFERROR(IF(AND(OR(INDEX('1.職能辭典'!$J:$J,MATCH(F1294,'1.職能辭典'!$C:$C,0))="全部",INDEX('3.員工名單'!$H:$H,MATCH(A1294,'3.員工名單'!$A:$A,0))="兩款共用",INDEX('3.員工名單'!$H:$H,MATCH(A1294,'3.員工名單'!$A:$A,0))=INDEX('1.職能辭典'!$J:$J,MATCH(F1294,'1.職能辭典'!$C:$C,0))),OR(INDEX('1.職能辭典'!$K:$K,MATCH(F1294,'1.職能辭典'!$C:$C,0))="全部",SUMPRODUCT(ISNUMBER(SEARCH({"經營","管理","財務","企劃","營運","技術","數據","美術","測試","客服"},INDEX('3.員工名單'!$I:$I,MATCH(A1294,'3.員工名單'!$A:$A,0))))*ISNUMBER(SEARCH({"經營","管理","財務","企劃","營運","技術","數據","美術","測試","客服"},INDEX('1.職能辭典'!$K:$K,MATCH(F1294,'1.職能辭典'!$C:$C,0)))))&gt;0)),INDEX('2.職務職能需求'!$B$2:$F$28,MATCH(F1294,'2.職務職能需求'!$A$2:$A$28,0),MATCH(D1294,'2.職務職能需求'!$B$1:$F$1,0)),0),""))</f>
        <v/>
      </c>
      <c r="H1294" s="94" t="n"/>
      <c r="I1294" s="94" t="n"/>
      <c r="J1294" s="120">
        <f>IF(OR(G1294="",I1294="",G1294=0),"",I1294-G1294)</f>
        <v/>
      </c>
      <c r="K1294" s="120">
        <f>IF(G1294="","",IF(G1294=0,"不適用",IF(I1294="","待評核",IF(I1294&gt;=G1294,IF(I1294&gt;G1294,"超越","達標"),"待發展"))))</f>
        <v/>
      </c>
      <c r="L1294" s="91" t="n"/>
      <c r="M1294" s="91" t="n"/>
      <c r="N1294" s="88" t="n"/>
    </row>
    <row r="1295" ht="15.75" customHeight="1" s="64">
      <c r="A1295" s="88" t="n"/>
      <c r="B1295" s="120">
        <f t="array" ref="B1295:B1295">IF(A1295="","",IFERROR(INDEX('3.員工名單'!$B:$B,MATCH(A1295,'3.員工名單'!$A:$A,0)),"查無此員工"))</f>
        <v/>
      </c>
      <c r="C1295" s="120">
        <f t="array" ref="C1295:C1295">IF(A1295="","",IFERROR(INDEX('3.員工名單'!$C:$C,MATCH(A1295,'3.員工名單'!$A:$A,0)),""))</f>
        <v/>
      </c>
      <c r="D1295" s="120">
        <f t="array" ref="D1295:D1295">IF(A1295="","",IFERROR(INDEX('3.員工名單'!$D:$D,MATCH(A1295,'3.員工名單'!$A:$A,0)),""))</f>
        <v/>
      </c>
      <c r="E1295" s="120">
        <f t="array" ref="E1295:E1295">IF(F1295="","",IFERROR(INDEX('1.職能辭典'!$A:$A,MATCH(F1295,'1.職能辭典'!$C:$C,0)),""))</f>
        <v/>
      </c>
      <c r="F1295" s="94" t="n"/>
      <c r="G1295" s="120">
        <f t="array" ref="G1295:G1295">IF(OR(D1295="",F1295=""),"",IFERROR(IF(AND(OR(INDEX('1.職能辭典'!$J:$J,MATCH(F1295,'1.職能辭典'!$C:$C,0))="全部",INDEX('3.員工名單'!$H:$H,MATCH(A1295,'3.員工名單'!$A:$A,0))="兩款共用",INDEX('3.員工名單'!$H:$H,MATCH(A1295,'3.員工名單'!$A:$A,0))=INDEX('1.職能辭典'!$J:$J,MATCH(F1295,'1.職能辭典'!$C:$C,0))),OR(INDEX('1.職能辭典'!$K:$K,MATCH(F1295,'1.職能辭典'!$C:$C,0))="全部",SUMPRODUCT(ISNUMBER(SEARCH({"經營","管理","財務","企劃","營運","技術","數據","美術","測試","客服"},INDEX('3.員工名單'!$I:$I,MATCH(A1295,'3.員工名單'!$A:$A,0))))*ISNUMBER(SEARCH({"經營","管理","財務","企劃","營運","技術","數據","美術","測試","客服"},INDEX('1.職能辭典'!$K:$K,MATCH(F1295,'1.職能辭典'!$C:$C,0)))))&gt;0)),INDEX('2.職務職能需求'!$B$2:$F$28,MATCH(F1295,'2.職務職能需求'!$A$2:$A$28,0),MATCH(D1295,'2.職務職能需求'!$B$1:$F$1,0)),0),""))</f>
        <v/>
      </c>
      <c r="H1295" s="94" t="n"/>
      <c r="I1295" s="94" t="n"/>
      <c r="J1295" s="120">
        <f>IF(OR(G1295="",I1295="",G1295=0),"",I1295-G1295)</f>
        <v/>
      </c>
      <c r="K1295" s="120">
        <f>IF(G1295="","",IF(G1295=0,"不適用",IF(I1295="","待評核",IF(I1295&gt;=G1295,IF(I1295&gt;G1295,"超越","達標"),"待發展"))))</f>
        <v/>
      </c>
      <c r="L1295" s="91" t="n"/>
      <c r="M1295" s="91" t="n"/>
      <c r="N1295" s="88" t="n"/>
    </row>
    <row r="1296" ht="15.75" customHeight="1" s="64">
      <c r="A1296" s="88" t="n"/>
      <c r="B1296" s="120">
        <f t="array" ref="B1296:B1296">IF(A1296="","",IFERROR(INDEX('3.員工名單'!$B:$B,MATCH(A1296,'3.員工名單'!$A:$A,0)),"查無此員工"))</f>
        <v/>
      </c>
      <c r="C1296" s="120">
        <f t="array" ref="C1296:C1296">IF(A1296="","",IFERROR(INDEX('3.員工名單'!$C:$C,MATCH(A1296,'3.員工名單'!$A:$A,0)),""))</f>
        <v/>
      </c>
      <c r="D1296" s="120">
        <f t="array" ref="D1296:D1296">IF(A1296="","",IFERROR(INDEX('3.員工名單'!$D:$D,MATCH(A1296,'3.員工名單'!$A:$A,0)),""))</f>
        <v/>
      </c>
      <c r="E1296" s="120">
        <f t="array" ref="E1296:E1296">IF(F1296="","",IFERROR(INDEX('1.職能辭典'!$A:$A,MATCH(F1296,'1.職能辭典'!$C:$C,0)),""))</f>
        <v/>
      </c>
      <c r="F1296" s="94" t="n"/>
      <c r="G1296" s="120">
        <f t="array" ref="G1296:G1296">IF(OR(D1296="",F1296=""),"",IFERROR(IF(AND(OR(INDEX('1.職能辭典'!$J:$J,MATCH(F1296,'1.職能辭典'!$C:$C,0))="全部",INDEX('3.員工名單'!$H:$H,MATCH(A1296,'3.員工名單'!$A:$A,0))="兩款共用",INDEX('3.員工名單'!$H:$H,MATCH(A1296,'3.員工名單'!$A:$A,0))=INDEX('1.職能辭典'!$J:$J,MATCH(F1296,'1.職能辭典'!$C:$C,0))),OR(INDEX('1.職能辭典'!$K:$K,MATCH(F1296,'1.職能辭典'!$C:$C,0))="全部",SUMPRODUCT(ISNUMBER(SEARCH({"經營","管理","財務","企劃","營運","技術","數據","美術","測試","客服"},INDEX('3.員工名單'!$I:$I,MATCH(A1296,'3.員工名單'!$A:$A,0))))*ISNUMBER(SEARCH({"經營","管理","財務","企劃","營運","技術","數據","美術","測試","客服"},INDEX('1.職能辭典'!$K:$K,MATCH(F1296,'1.職能辭典'!$C:$C,0)))))&gt;0)),INDEX('2.職務職能需求'!$B$2:$F$28,MATCH(F1296,'2.職務職能需求'!$A$2:$A$28,0),MATCH(D1296,'2.職務職能需求'!$B$1:$F$1,0)),0),""))</f>
        <v/>
      </c>
      <c r="H1296" s="94" t="n"/>
      <c r="I1296" s="94" t="n"/>
      <c r="J1296" s="120">
        <f>IF(OR(G1296="",I1296="",G1296=0),"",I1296-G1296)</f>
        <v/>
      </c>
      <c r="K1296" s="120">
        <f>IF(G1296="","",IF(G1296=0,"不適用",IF(I1296="","待評核",IF(I1296&gt;=G1296,IF(I1296&gt;G1296,"超越","達標"),"待發展"))))</f>
        <v/>
      </c>
      <c r="L1296" s="91" t="n"/>
      <c r="M1296" s="91" t="n"/>
      <c r="N1296" s="88" t="n"/>
    </row>
    <row r="1297" ht="15.75" customHeight="1" s="64">
      <c r="A1297" s="88" t="n"/>
      <c r="B1297" s="120">
        <f t="array" ref="B1297:B1297">IF(A1297="","",IFERROR(INDEX('3.員工名單'!$B:$B,MATCH(A1297,'3.員工名單'!$A:$A,0)),"查無此員工"))</f>
        <v/>
      </c>
      <c r="C1297" s="120">
        <f t="array" ref="C1297:C1297">IF(A1297="","",IFERROR(INDEX('3.員工名單'!$C:$C,MATCH(A1297,'3.員工名單'!$A:$A,0)),""))</f>
        <v/>
      </c>
      <c r="D1297" s="120">
        <f t="array" ref="D1297:D1297">IF(A1297="","",IFERROR(INDEX('3.員工名單'!$D:$D,MATCH(A1297,'3.員工名單'!$A:$A,0)),""))</f>
        <v/>
      </c>
      <c r="E1297" s="120">
        <f t="array" ref="E1297:E1297">IF(F1297="","",IFERROR(INDEX('1.職能辭典'!$A:$A,MATCH(F1297,'1.職能辭典'!$C:$C,0)),""))</f>
        <v/>
      </c>
      <c r="F1297" s="94" t="n"/>
      <c r="G1297" s="120">
        <f t="array" ref="G1297:G1297">IF(OR(D1297="",F1297=""),"",IFERROR(IF(AND(OR(INDEX('1.職能辭典'!$J:$J,MATCH(F1297,'1.職能辭典'!$C:$C,0))="全部",INDEX('3.員工名單'!$H:$H,MATCH(A1297,'3.員工名單'!$A:$A,0))="兩款共用",INDEX('3.員工名單'!$H:$H,MATCH(A1297,'3.員工名單'!$A:$A,0))=INDEX('1.職能辭典'!$J:$J,MATCH(F1297,'1.職能辭典'!$C:$C,0))),OR(INDEX('1.職能辭典'!$K:$K,MATCH(F1297,'1.職能辭典'!$C:$C,0))="全部",SUMPRODUCT(ISNUMBER(SEARCH({"經營","管理","財務","企劃","營運","技術","數據","美術","測試","客服"},INDEX('3.員工名單'!$I:$I,MATCH(A1297,'3.員工名單'!$A:$A,0))))*ISNUMBER(SEARCH({"經營","管理","財務","企劃","營運","技術","數據","美術","測試","客服"},INDEX('1.職能辭典'!$K:$K,MATCH(F1297,'1.職能辭典'!$C:$C,0)))))&gt;0)),INDEX('2.職務職能需求'!$B$2:$F$28,MATCH(F1297,'2.職務職能需求'!$A$2:$A$28,0),MATCH(D1297,'2.職務職能需求'!$B$1:$F$1,0)),0),""))</f>
        <v/>
      </c>
      <c r="H1297" s="94" t="n"/>
      <c r="I1297" s="94" t="n"/>
      <c r="J1297" s="120">
        <f>IF(OR(G1297="",I1297="",G1297=0),"",I1297-G1297)</f>
        <v/>
      </c>
      <c r="K1297" s="120">
        <f>IF(G1297="","",IF(G1297=0,"不適用",IF(I1297="","待評核",IF(I1297&gt;=G1297,IF(I1297&gt;G1297,"超越","達標"),"待發展"))))</f>
        <v/>
      </c>
      <c r="L1297" s="91" t="n"/>
      <c r="M1297" s="91" t="n"/>
      <c r="N1297" s="88" t="n"/>
    </row>
    <row r="1298" ht="15.75" customHeight="1" s="64">
      <c r="A1298" s="88" t="n"/>
      <c r="B1298" s="120">
        <f t="array" ref="B1298:B1298">IF(A1298="","",IFERROR(INDEX('3.員工名單'!$B:$B,MATCH(A1298,'3.員工名單'!$A:$A,0)),"查無此員工"))</f>
        <v/>
      </c>
      <c r="C1298" s="120">
        <f t="array" ref="C1298:C1298">IF(A1298="","",IFERROR(INDEX('3.員工名單'!$C:$C,MATCH(A1298,'3.員工名單'!$A:$A,0)),""))</f>
        <v/>
      </c>
      <c r="D1298" s="120">
        <f t="array" ref="D1298:D1298">IF(A1298="","",IFERROR(INDEX('3.員工名單'!$D:$D,MATCH(A1298,'3.員工名單'!$A:$A,0)),""))</f>
        <v/>
      </c>
      <c r="E1298" s="120">
        <f t="array" ref="E1298:E1298">IF(F1298="","",IFERROR(INDEX('1.職能辭典'!$A:$A,MATCH(F1298,'1.職能辭典'!$C:$C,0)),""))</f>
        <v/>
      </c>
      <c r="F1298" s="94" t="n"/>
      <c r="G1298" s="120">
        <f t="array" ref="G1298:G1298">IF(OR(D1298="",F1298=""),"",IFERROR(IF(AND(OR(INDEX('1.職能辭典'!$J:$J,MATCH(F1298,'1.職能辭典'!$C:$C,0))="全部",INDEX('3.員工名單'!$H:$H,MATCH(A1298,'3.員工名單'!$A:$A,0))="兩款共用",INDEX('3.員工名單'!$H:$H,MATCH(A1298,'3.員工名單'!$A:$A,0))=INDEX('1.職能辭典'!$J:$J,MATCH(F1298,'1.職能辭典'!$C:$C,0))),OR(INDEX('1.職能辭典'!$K:$K,MATCH(F1298,'1.職能辭典'!$C:$C,0))="全部",SUMPRODUCT(ISNUMBER(SEARCH({"經營","管理","財務","企劃","營運","技術","數據","美術","測試","客服"},INDEX('3.員工名單'!$I:$I,MATCH(A1298,'3.員工名單'!$A:$A,0))))*ISNUMBER(SEARCH({"經營","管理","財務","企劃","營運","技術","數據","美術","測試","客服"},INDEX('1.職能辭典'!$K:$K,MATCH(F1298,'1.職能辭典'!$C:$C,0)))))&gt;0)),INDEX('2.職務職能需求'!$B$2:$F$28,MATCH(F1298,'2.職務職能需求'!$A$2:$A$28,0),MATCH(D1298,'2.職務職能需求'!$B$1:$F$1,0)),0),""))</f>
        <v/>
      </c>
      <c r="H1298" s="94" t="n"/>
      <c r="I1298" s="94" t="n"/>
      <c r="J1298" s="120">
        <f>IF(OR(G1298="",I1298="",G1298=0),"",I1298-G1298)</f>
        <v/>
      </c>
      <c r="K1298" s="120">
        <f>IF(G1298="","",IF(G1298=0,"不適用",IF(I1298="","待評核",IF(I1298&gt;=G1298,IF(I1298&gt;G1298,"超越","達標"),"待發展"))))</f>
        <v/>
      </c>
      <c r="L1298" s="91" t="n"/>
      <c r="M1298" s="91" t="n"/>
      <c r="N1298" s="88" t="n"/>
    </row>
    <row r="1299" ht="15.75" customHeight="1" s="64">
      <c r="A1299" s="88" t="n"/>
      <c r="B1299" s="120">
        <f t="array" ref="B1299:B1299">IF(A1299="","",IFERROR(INDEX('3.員工名單'!$B:$B,MATCH(A1299,'3.員工名單'!$A:$A,0)),"查無此員工"))</f>
        <v/>
      </c>
      <c r="C1299" s="120">
        <f t="array" ref="C1299:C1299">IF(A1299="","",IFERROR(INDEX('3.員工名單'!$C:$C,MATCH(A1299,'3.員工名單'!$A:$A,0)),""))</f>
        <v/>
      </c>
      <c r="D1299" s="120">
        <f t="array" ref="D1299:D1299">IF(A1299="","",IFERROR(INDEX('3.員工名單'!$D:$D,MATCH(A1299,'3.員工名單'!$A:$A,0)),""))</f>
        <v/>
      </c>
      <c r="E1299" s="120">
        <f t="array" ref="E1299:E1299">IF(F1299="","",IFERROR(INDEX('1.職能辭典'!$A:$A,MATCH(F1299,'1.職能辭典'!$C:$C,0)),""))</f>
        <v/>
      </c>
      <c r="F1299" s="94" t="n"/>
      <c r="G1299" s="120">
        <f t="array" ref="G1299:G1299">IF(OR(D1299="",F1299=""),"",IFERROR(IF(AND(OR(INDEX('1.職能辭典'!$J:$J,MATCH(F1299,'1.職能辭典'!$C:$C,0))="全部",INDEX('3.員工名單'!$H:$H,MATCH(A1299,'3.員工名單'!$A:$A,0))="兩款共用",INDEX('3.員工名單'!$H:$H,MATCH(A1299,'3.員工名單'!$A:$A,0))=INDEX('1.職能辭典'!$J:$J,MATCH(F1299,'1.職能辭典'!$C:$C,0))),OR(INDEX('1.職能辭典'!$K:$K,MATCH(F1299,'1.職能辭典'!$C:$C,0))="全部",SUMPRODUCT(ISNUMBER(SEARCH({"經營","管理","財務","企劃","營運","技術","數據","美術","測試","客服"},INDEX('3.員工名單'!$I:$I,MATCH(A1299,'3.員工名單'!$A:$A,0))))*ISNUMBER(SEARCH({"經營","管理","財務","企劃","營運","技術","數據","美術","測試","客服"},INDEX('1.職能辭典'!$K:$K,MATCH(F1299,'1.職能辭典'!$C:$C,0)))))&gt;0)),INDEX('2.職務職能需求'!$B$2:$F$28,MATCH(F1299,'2.職務職能需求'!$A$2:$A$28,0),MATCH(D1299,'2.職務職能需求'!$B$1:$F$1,0)),0),""))</f>
        <v/>
      </c>
      <c r="H1299" s="94" t="n"/>
      <c r="I1299" s="94" t="n"/>
      <c r="J1299" s="120">
        <f>IF(OR(G1299="",I1299="",G1299=0),"",I1299-G1299)</f>
        <v/>
      </c>
      <c r="K1299" s="120">
        <f>IF(G1299="","",IF(G1299=0,"不適用",IF(I1299="","待評核",IF(I1299&gt;=G1299,IF(I1299&gt;G1299,"超越","達標"),"待發展"))))</f>
        <v/>
      </c>
      <c r="L1299" s="91" t="n"/>
      <c r="M1299" s="91" t="n"/>
      <c r="N1299" s="88" t="n"/>
    </row>
    <row r="1300" ht="15.75" customHeight="1" s="64">
      <c r="A1300" s="88" t="n"/>
      <c r="B1300" s="120">
        <f t="array" ref="B1300:B1300">IF(A1300="","",IFERROR(INDEX('3.員工名單'!$B:$B,MATCH(A1300,'3.員工名單'!$A:$A,0)),"查無此員工"))</f>
        <v/>
      </c>
      <c r="C1300" s="120">
        <f t="array" ref="C1300:C1300">IF(A1300="","",IFERROR(INDEX('3.員工名單'!$C:$C,MATCH(A1300,'3.員工名單'!$A:$A,0)),""))</f>
        <v/>
      </c>
      <c r="D1300" s="120">
        <f t="array" ref="D1300:D1300">IF(A1300="","",IFERROR(INDEX('3.員工名單'!$D:$D,MATCH(A1300,'3.員工名單'!$A:$A,0)),""))</f>
        <v/>
      </c>
      <c r="E1300" s="120">
        <f t="array" ref="E1300:E1300">IF(F1300="","",IFERROR(INDEX('1.職能辭典'!$A:$A,MATCH(F1300,'1.職能辭典'!$C:$C,0)),""))</f>
        <v/>
      </c>
      <c r="F1300" s="94" t="n"/>
      <c r="G1300" s="120">
        <f t="array" ref="G1300:G1300">IF(OR(D1300="",F1300=""),"",IFERROR(IF(AND(OR(INDEX('1.職能辭典'!$J:$J,MATCH(F1300,'1.職能辭典'!$C:$C,0))="全部",INDEX('3.員工名單'!$H:$H,MATCH(A1300,'3.員工名單'!$A:$A,0))="兩款共用",INDEX('3.員工名單'!$H:$H,MATCH(A1300,'3.員工名單'!$A:$A,0))=INDEX('1.職能辭典'!$J:$J,MATCH(F1300,'1.職能辭典'!$C:$C,0))),OR(INDEX('1.職能辭典'!$K:$K,MATCH(F1300,'1.職能辭典'!$C:$C,0))="全部",SUMPRODUCT(ISNUMBER(SEARCH({"經營","管理","財務","企劃","營運","技術","數據","美術","測試","客服"},INDEX('3.員工名單'!$I:$I,MATCH(A1300,'3.員工名單'!$A:$A,0))))*ISNUMBER(SEARCH({"經營","管理","財務","企劃","營運","技術","數據","美術","測試","客服"},INDEX('1.職能辭典'!$K:$K,MATCH(F1300,'1.職能辭典'!$C:$C,0)))))&gt;0)),INDEX('2.職務職能需求'!$B$2:$F$28,MATCH(F1300,'2.職務職能需求'!$A$2:$A$28,0),MATCH(D1300,'2.職務職能需求'!$B$1:$F$1,0)),0),""))</f>
        <v/>
      </c>
      <c r="H1300" s="94" t="n"/>
      <c r="I1300" s="94" t="n"/>
      <c r="J1300" s="120">
        <f>IF(OR(G1300="",I1300="",G1300=0),"",I1300-G1300)</f>
        <v/>
      </c>
      <c r="K1300" s="120">
        <f>IF(G1300="","",IF(G1300=0,"不適用",IF(I1300="","待評核",IF(I1300&gt;=G1300,IF(I1300&gt;G1300,"超越","達標"),"待發展"))))</f>
        <v/>
      </c>
      <c r="L1300" s="91" t="n"/>
      <c r="M1300" s="91" t="n"/>
      <c r="N1300" s="88" t="n"/>
    </row>
    <row r="1301" ht="15.75" customHeight="1" s="64">
      <c r="A1301" s="88" t="n"/>
      <c r="B1301" s="120">
        <f t="array" ref="B1301:B1301">IF(A1301="","",IFERROR(INDEX('3.員工名單'!$B:$B,MATCH(A1301,'3.員工名單'!$A:$A,0)),"查無此員工"))</f>
        <v/>
      </c>
      <c r="C1301" s="120">
        <f t="array" ref="C1301:C1301">IF(A1301="","",IFERROR(INDEX('3.員工名單'!$C:$C,MATCH(A1301,'3.員工名單'!$A:$A,0)),""))</f>
        <v/>
      </c>
      <c r="D1301" s="120">
        <f t="array" ref="D1301:D1301">IF(A1301="","",IFERROR(INDEX('3.員工名單'!$D:$D,MATCH(A1301,'3.員工名單'!$A:$A,0)),""))</f>
        <v/>
      </c>
      <c r="E1301" s="120">
        <f t="array" ref="E1301:E1301">IF(F1301="","",IFERROR(INDEX('1.職能辭典'!$A:$A,MATCH(F1301,'1.職能辭典'!$C:$C,0)),""))</f>
        <v/>
      </c>
      <c r="F1301" s="94" t="n"/>
      <c r="G1301" s="120">
        <f t="array" ref="G1301:G1301">IF(OR(D1301="",F1301=""),"",IFERROR(IF(AND(OR(INDEX('1.職能辭典'!$J:$J,MATCH(F1301,'1.職能辭典'!$C:$C,0))="全部",INDEX('3.員工名單'!$H:$H,MATCH(A1301,'3.員工名單'!$A:$A,0))="兩款共用",INDEX('3.員工名單'!$H:$H,MATCH(A1301,'3.員工名單'!$A:$A,0))=INDEX('1.職能辭典'!$J:$J,MATCH(F1301,'1.職能辭典'!$C:$C,0))),OR(INDEX('1.職能辭典'!$K:$K,MATCH(F1301,'1.職能辭典'!$C:$C,0))="全部",SUMPRODUCT(ISNUMBER(SEARCH({"經營","管理","財務","企劃","營運","技術","數據","美術","測試","客服"},INDEX('3.員工名單'!$I:$I,MATCH(A1301,'3.員工名單'!$A:$A,0))))*ISNUMBER(SEARCH({"經營","管理","財務","企劃","營運","技術","數據","美術","測試","客服"},INDEX('1.職能辭典'!$K:$K,MATCH(F1301,'1.職能辭典'!$C:$C,0)))))&gt;0)),INDEX('2.職務職能需求'!$B$2:$F$28,MATCH(F1301,'2.職務職能需求'!$A$2:$A$28,0),MATCH(D1301,'2.職務職能需求'!$B$1:$F$1,0)),0),""))</f>
        <v/>
      </c>
      <c r="H1301" s="94" t="n"/>
      <c r="I1301" s="94" t="n"/>
      <c r="J1301" s="120">
        <f>IF(OR(G1301="",I1301="",G1301=0),"",I1301-G1301)</f>
        <v/>
      </c>
      <c r="K1301" s="120">
        <f>IF(G1301="","",IF(G1301=0,"不適用",IF(I1301="","待評核",IF(I1301&gt;=G1301,IF(I1301&gt;G1301,"超越","達標"),"待發展"))))</f>
        <v/>
      </c>
      <c r="L1301" s="91" t="n"/>
      <c r="M1301" s="91" t="n"/>
      <c r="N1301" s="88" t="n"/>
    </row>
    <row r="1302" ht="15.75" customHeight="1" s="64">
      <c r="A1302" s="88" t="n"/>
      <c r="B1302" s="120">
        <f t="array" ref="B1302:B1302">IF(A1302="","",IFERROR(INDEX('3.員工名單'!$B:$B,MATCH(A1302,'3.員工名單'!$A:$A,0)),"查無此員工"))</f>
        <v/>
      </c>
      <c r="C1302" s="120">
        <f t="array" ref="C1302:C1302">IF(A1302="","",IFERROR(INDEX('3.員工名單'!$C:$C,MATCH(A1302,'3.員工名單'!$A:$A,0)),""))</f>
        <v/>
      </c>
      <c r="D1302" s="120">
        <f t="array" ref="D1302:D1302">IF(A1302="","",IFERROR(INDEX('3.員工名單'!$D:$D,MATCH(A1302,'3.員工名單'!$A:$A,0)),""))</f>
        <v/>
      </c>
      <c r="E1302" s="120">
        <f t="array" ref="E1302:E1302">IF(F1302="","",IFERROR(INDEX('1.職能辭典'!$A:$A,MATCH(F1302,'1.職能辭典'!$C:$C,0)),""))</f>
        <v/>
      </c>
      <c r="F1302" s="94" t="n"/>
      <c r="G1302" s="120">
        <f t="array" ref="G1302:G1302">IF(OR(D1302="",F1302=""),"",IFERROR(IF(AND(OR(INDEX('1.職能辭典'!$J:$J,MATCH(F1302,'1.職能辭典'!$C:$C,0))="全部",INDEX('3.員工名單'!$H:$H,MATCH(A1302,'3.員工名單'!$A:$A,0))="兩款共用",INDEX('3.員工名單'!$H:$H,MATCH(A1302,'3.員工名單'!$A:$A,0))=INDEX('1.職能辭典'!$J:$J,MATCH(F1302,'1.職能辭典'!$C:$C,0))),OR(INDEX('1.職能辭典'!$K:$K,MATCH(F1302,'1.職能辭典'!$C:$C,0))="全部",SUMPRODUCT(ISNUMBER(SEARCH({"經營","管理","財務","企劃","營運","技術","數據","美術","測試","客服"},INDEX('3.員工名單'!$I:$I,MATCH(A1302,'3.員工名單'!$A:$A,0))))*ISNUMBER(SEARCH({"經營","管理","財務","企劃","營運","技術","數據","美術","測試","客服"},INDEX('1.職能辭典'!$K:$K,MATCH(F1302,'1.職能辭典'!$C:$C,0)))))&gt;0)),INDEX('2.職務職能需求'!$B$2:$F$28,MATCH(F1302,'2.職務職能需求'!$A$2:$A$28,0),MATCH(D1302,'2.職務職能需求'!$B$1:$F$1,0)),0),""))</f>
        <v/>
      </c>
      <c r="H1302" s="94" t="n"/>
      <c r="I1302" s="94" t="n"/>
      <c r="J1302" s="120">
        <f>IF(OR(G1302="",I1302="",G1302=0),"",I1302-G1302)</f>
        <v/>
      </c>
      <c r="K1302" s="120">
        <f>IF(G1302="","",IF(G1302=0,"不適用",IF(I1302="","待評核",IF(I1302&gt;=G1302,IF(I1302&gt;G1302,"超越","達標"),"待發展"))))</f>
        <v/>
      </c>
      <c r="L1302" s="91" t="n"/>
      <c r="M1302" s="91" t="n"/>
      <c r="N1302" s="88" t="n"/>
    </row>
    <row r="1303" ht="15.75" customHeight="1" s="64">
      <c r="A1303" s="88" t="n"/>
      <c r="B1303" s="120">
        <f t="array" ref="B1303:B1303">IF(A1303="","",IFERROR(INDEX('3.員工名單'!$B:$B,MATCH(A1303,'3.員工名單'!$A:$A,0)),"查無此員工"))</f>
        <v/>
      </c>
      <c r="C1303" s="120">
        <f t="array" ref="C1303:C1303">IF(A1303="","",IFERROR(INDEX('3.員工名單'!$C:$C,MATCH(A1303,'3.員工名單'!$A:$A,0)),""))</f>
        <v/>
      </c>
      <c r="D1303" s="120">
        <f t="array" ref="D1303:D1303">IF(A1303="","",IFERROR(INDEX('3.員工名單'!$D:$D,MATCH(A1303,'3.員工名單'!$A:$A,0)),""))</f>
        <v/>
      </c>
      <c r="E1303" s="120">
        <f t="array" ref="E1303:E1303">IF(F1303="","",IFERROR(INDEX('1.職能辭典'!$A:$A,MATCH(F1303,'1.職能辭典'!$C:$C,0)),""))</f>
        <v/>
      </c>
      <c r="F1303" s="94" t="n"/>
      <c r="G1303" s="120">
        <f t="array" ref="G1303:G1303">IF(OR(D1303="",F1303=""),"",IFERROR(IF(AND(OR(INDEX('1.職能辭典'!$J:$J,MATCH(F1303,'1.職能辭典'!$C:$C,0))="全部",INDEX('3.員工名單'!$H:$H,MATCH(A1303,'3.員工名單'!$A:$A,0))="兩款共用",INDEX('3.員工名單'!$H:$H,MATCH(A1303,'3.員工名單'!$A:$A,0))=INDEX('1.職能辭典'!$J:$J,MATCH(F1303,'1.職能辭典'!$C:$C,0))),OR(INDEX('1.職能辭典'!$K:$K,MATCH(F1303,'1.職能辭典'!$C:$C,0))="全部",SUMPRODUCT(ISNUMBER(SEARCH({"經營","管理","財務","企劃","營運","技術","數據","美術","測試","客服"},INDEX('3.員工名單'!$I:$I,MATCH(A1303,'3.員工名單'!$A:$A,0))))*ISNUMBER(SEARCH({"經營","管理","財務","企劃","營運","技術","數據","美術","測試","客服"},INDEX('1.職能辭典'!$K:$K,MATCH(F1303,'1.職能辭典'!$C:$C,0)))))&gt;0)),INDEX('2.職務職能需求'!$B$2:$F$28,MATCH(F1303,'2.職務職能需求'!$A$2:$A$28,0),MATCH(D1303,'2.職務職能需求'!$B$1:$F$1,0)),0),""))</f>
        <v/>
      </c>
      <c r="H1303" s="94" t="n"/>
      <c r="I1303" s="94" t="n"/>
      <c r="J1303" s="120">
        <f>IF(OR(G1303="",I1303="",G1303=0),"",I1303-G1303)</f>
        <v/>
      </c>
      <c r="K1303" s="120">
        <f>IF(G1303="","",IF(G1303=0,"不適用",IF(I1303="","待評核",IF(I1303&gt;=G1303,IF(I1303&gt;G1303,"超越","達標"),"待發展"))))</f>
        <v/>
      </c>
      <c r="L1303" s="91" t="n"/>
      <c r="M1303" s="91" t="n"/>
      <c r="N1303" s="88" t="n"/>
    </row>
    <row r="1304" ht="15.75" customHeight="1" s="64">
      <c r="A1304" s="88" t="n"/>
      <c r="B1304" s="120">
        <f t="array" ref="B1304:B1304">IF(A1304="","",IFERROR(INDEX('3.員工名單'!$B:$B,MATCH(A1304,'3.員工名單'!$A:$A,0)),"查無此員工"))</f>
        <v/>
      </c>
      <c r="C1304" s="120">
        <f t="array" ref="C1304:C1304">IF(A1304="","",IFERROR(INDEX('3.員工名單'!$C:$C,MATCH(A1304,'3.員工名單'!$A:$A,0)),""))</f>
        <v/>
      </c>
      <c r="D1304" s="120">
        <f t="array" ref="D1304:D1304">IF(A1304="","",IFERROR(INDEX('3.員工名單'!$D:$D,MATCH(A1304,'3.員工名單'!$A:$A,0)),""))</f>
        <v/>
      </c>
      <c r="E1304" s="120">
        <f t="array" ref="E1304:E1304">IF(F1304="","",IFERROR(INDEX('1.職能辭典'!$A:$A,MATCH(F1304,'1.職能辭典'!$C:$C,0)),""))</f>
        <v/>
      </c>
      <c r="F1304" s="94" t="n"/>
      <c r="G1304" s="120">
        <f t="array" ref="G1304:G1304">IF(OR(D1304="",F1304=""),"",IFERROR(IF(AND(OR(INDEX('1.職能辭典'!$J:$J,MATCH(F1304,'1.職能辭典'!$C:$C,0))="全部",INDEX('3.員工名單'!$H:$H,MATCH(A1304,'3.員工名單'!$A:$A,0))="兩款共用",INDEX('3.員工名單'!$H:$H,MATCH(A1304,'3.員工名單'!$A:$A,0))=INDEX('1.職能辭典'!$J:$J,MATCH(F1304,'1.職能辭典'!$C:$C,0))),OR(INDEX('1.職能辭典'!$K:$K,MATCH(F1304,'1.職能辭典'!$C:$C,0))="全部",SUMPRODUCT(ISNUMBER(SEARCH({"經營","管理","財務","企劃","營運","技術","數據","美術","測試","客服"},INDEX('3.員工名單'!$I:$I,MATCH(A1304,'3.員工名單'!$A:$A,0))))*ISNUMBER(SEARCH({"經營","管理","財務","企劃","營運","技術","數據","美術","測試","客服"},INDEX('1.職能辭典'!$K:$K,MATCH(F1304,'1.職能辭典'!$C:$C,0)))))&gt;0)),INDEX('2.職務職能需求'!$B$2:$F$28,MATCH(F1304,'2.職務職能需求'!$A$2:$A$28,0),MATCH(D1304,'2.職務職能需求'!$B$1:$F$1,0)),0),""))</f>
        <v/>
      </c>
      <c r="H1304" s="94" t="n"/>
      <c r="I1304" s="94" t="n"/>
      <c r="J1304" s="120">
        <f>IF(OR(G1304="",I1304="",G1304=0),"",I1304-G1304)</f>
        <v/>
      </c>
      <c r="K1304" s="120">
        <f>IF(G1304="","",IF(G1304=0,"不適用",IF(I1304="","待評核",IF(I1304&gt;=G1304,IF(I1304&gt;G1304,"超越","達標"),"待發展"))))</f>
        <v/>
      </c>
      <c r="L1304" s="91" t="n"/>
      <c r="M1304" s="91" t="n"/>
      <c r="N1304" s="88" t="n"/>
    </row>
    <row r="1305" ht="15.75" customHeight="1" s="64">
      <c r="A1305" s="88" t="n"/>
      <c r="B1305" s="120">
        <f t="array" ref="B1305:B1305">IF(A1305="","",IFERROR(INDEX('3.員工名單'!$B:$B,MATCH(A1305,'3.員工名單'!$A:$A,0)),"查無此員工"))</f>
        <v/>
      </c>
      <c r="C1305" s="120">
        <f t="array" ref="C1305:C1305">IF(A1305="","",IFERROR(INDEX('3.員工名單'!$C:$C,MATCH(A1305,'3.員工名單'!$A:$A,0)),""))</f>
        <v/>
      </c>
      <c r="D1305" s="120">
        <f t="array" ref="D1305:D1305">IF(A1305="","",IFERROR(INDEX('3.員工名單'!$D:$D,MATCH(A1305,'3.員工名單'!$A:$A,0)),""))</f>
        <v/>
      </c>
      <c r="E1305" s="120">
        <f t="array" ref="E1305:E1305">IF(F1305="","",IFERROR(INDEX('1.職能辭典'!$A:$A,MATCH(F1305,'1.職能辭典'!$C:$C,0)),""))</f>
        <v/>
      </c>
      <c r="F1305" s="94" t="n"/>
      <c r="G1305" s="120">
        <f t="array" ref="G1305:G1305">IF(OR(D1305="",F1305=""),"",IFERROR(IF(AND(OR(INDEX('1.職能辭典'!$J:$J,MATCH(F1305,'1.職能辭典'!$C:$C,0))="全部",INDEX('3.員工名單'!$H:$H,MATCH(A1305,'3.員工名單'!$A:$A,0))="兩款共用",INDEX('3.員工名單'!$H:$H,MATCH(A1305,'3.員工名單'!$A:$A,0))=INDEX('1.職能辭典'!$J:$J,MATCH(F1305,'1.職能辭典'!$C:$C,0))),OR(INDEX('1.職能辭典'!$K:$K,MATCH(F1305,'1.職能辭典'!$C:$C,0))="全部",SUMPRODUCT(ISNUMBER(SEARCH({"經營","管理","財務","企劃","營運","技術","數據","美術","測試","客服"},INDEX('3.員工名單'!$I:$I,MATCH(A1305,'3.員工名單'!$A:$A,0))))*ISNUMBER(SEARCH({"經營","管理","財務","企劃","營運","技術","數據","美術","測試","客服"},INDEX('1.職能辭典'!$K:$K,MATCH(F1305,'1.職能辭典'!$C:$C,0)))))&gt;0)),INDEX('2.職務職能需求'!$B$2:$F$28,MATCH(F1305,'2.職務職能需求'!$A$2:$A$28,0),MATCH(D1305,'2.職務職能需求'!$B$1:$F$1,0)),0),""))</f>
        <v/>
      </c>
      <c r="H1305" s="94" t="n"/>
      <c r="I1305" s="94" t="n"/>
      <c r="J1305" s="120">
        <f>IF(OR(G1305="",I1305="",G1305=0),"",I1305-G1305)</f>
        <v/>
      </c>
      <c r="K1305" s="120">
        <f>IF(G1305="","",IF(G1305=0,"不適用",IF(I1305="","待評核",IF(I1305&gt;=G1305,IF(I1305&gt;G1305,"超越","達標"),"待發展"))))</f>
        <v/>
      </c>
      <c r="L1305" s="91" t="n"/>
      <c r="M1305" s="91" t="n"/>
      <c r="N1305" s="88" t="n"/>
    </row>
    <row r="1306" ht="15.75" customHeight="1" s="64">
      <c r="A1306" s="88" t="n"/>
      <c r="B1306" s="120">
        <f t="array" ref="B1306:B1306">IF(A1306="","",IFERROR(INDEX('3.員工名單'!$B:$B,MATCH(A1306,'3.員工名單'!$A:$A,0)),"查無此員工"))</f>
        <v/>
      </c>
      <c r="C1306" s="120">
        <f t="array" ref="C1306:C1306">IF(A1306="","",IFERROR(INDEX('3.員工名單'!$C:$C,MATCH(A1306,'3.員工名單'!$A:$A,0)),""))</f>
        <v/>
      </c>
      <c r="D1306" s="120">
        <f t="array" ref="D1306:D1306">IF(A1306="","",IFERROR(INDEX('3.員工名單'!$D:$D,MATCH(A1306,'3.員工名單'!$A:$A,0)),""))</f>
        <v/>
      </c>
      <c r="E1306" s="120">
        <f t="array" ref="E1306:E1306">IF(F1306="","",IFERROR(INDEX('1.職能辭典'!$A:$A,MATCH(F1306,'1.職能辭典'!$C:$C,0)),""))</f>
        <v/>
      </c>
      <c r="F1306" s="94" t="n"/>
      <c r="G1306" s="120">
        <f t="array" ref="G1306:G1306">IF(OR(D1306="",F1306=""),"",IFERROR(IF(AND(OR(INDEX('1.職能辭典'!$J:$J,MATCH(F1306,'1.職能辭典'!$C:$C,0))="全部",INDEX('3.員工名單'!$H:$H,MATCH(A1306,'3.員工名單'!$A:$A,0))="兩款共用",INDEX('3.員工名單'!$H:$H,MATCH(A1306,'3.員工名單'!$A:$A,0))=INDEX('1.職能辭典'!$J:$J,MATCH(F1306,'1.職能辭典'!$C:$C,0))),OR(INDEX('1.職能辭典'!$K:$K,MATCH(F1306,'1.職能辭典'!$C:$C,0))="全部",SUMPRODUCT(ISNUMBER(SEARCH({"經營","管理","財務","企劃","營運","技術","數據","美術","測試","客服"},INDEX('3.員工名單'!$I:$I,MATCH(A1306,'3.員工名單'!$A:$A,0))))*ISNUMBER(SEARCH({"經營","管理","財務","企劃","營運","技術","數據","美術","測試","客服"},INDEX('1.職能辭典'!$K:$K,MATCH(F1306,'1.職能辭典'!$C:$C,0)))))&gt;0)),INDEX('2.職務職能需求'!$B$2:$F$28,MATCH(F1306,'2.職務職能需求'!$A$2:$A$28,0),MATCH(D1306,'2.職務職能需求'!$B$1:$F$1,0)),0),""))</f>
        <v/>
      </c>
      <c r="H1306" s="94" t="n"/>
      <c r="I1306" s="94" t="n"/>
      <c r="J1306" s="120">
        <f>IF(OR(G1306="",I1306="",G1306=0),"",I1306-G1306)</f>
        <v/>
      </c>
      <c r="K1306" s="120">
        <f>IF(G1306="","",IF(G1306=0,"不適用",IF(I1306="","待評核",IF(I1306&gt;=G1306,IF(I1306&gt;G1306,"超越","達標"),"待發展"))))</f>
        <v/>
      </c>
      <c r="L1306" s="91" t="n"/>
      <c r="M1306" s="91" t="n"/>
      <c r="N1306" s="88" t="n"/>
    </row>
    <row r="1307" ht="15.75" customHeight="1" s="64">
      <c r="A1307" s="88" t="n"/>
      <c r="B1307" s="120">
        <f t="array" ref="B1307:B1307">IF(A1307="","",IFERROR(INDEX('3.員工名單'!$B:$B,MATCH(A1307,'3.員工名單'!$A:$A,0)),"查無此員工"))</f>
        <v/>
      </c>
      <c r="C1307" s="120">
        <f t="array" ref="C1307:C1307">IF(A1307="","",IFERROR(INDEX('3.員工名單'!$C:$C,MATCH(A1307,'3.員工名單'!$A:$A,0)),""))</f>
        <v/>
      </c>
      <c r="D1307" s="120">
        <f t="array" ref="D1307:D1307">IF(A1307="","",IFERROR(INDEX('3.員工名單'!$D:$D,MATCH(A1307,'3.員工名單'!$A:$A,0)),""))</f>
        <v/>
      </c>
      <c r="E1307" s="120">
        <f t="array" ref="E1307:E1307">IF(F1307="","",IFERROR(INDEX('1.職能辭典'!$A:$A,MATCH(F1307,'1.職能辭典'!$C:$C,0)),""))</f>
        <v/>
      </c>
      <c r="F1307" s="94" t="n"/>
      <c r="G1307" s="120">
        <f t="array" ref="G1307:G1307">IF(OR(D1307="",F1307=""),"",IFERROR(IF(AND(OR(INDEX('1.職能辭典'!$J:$J,MATCH(F1307,'1.職能辭典'!$C:$C,0))="全部",INDEX('3.員工名單'!$H:$H,MATCH(A1307,'3.員工名單'!$A:$A,0))="兩款共用",INDEX('3.員工名單'!$H:$H,MATCH(A1307,'3.員工名單'!$A:$A,0))=INDEX('1.職能辭典'!$J:$J,MATCH(F1307,'1.職能辭典'!$C:$C,0))),OR(INDEX('1.職能辭典'!$K:$K,MATCH(F1307,'1.職能辭典'!$C:$C,0))="全部",SUMPRODUCT(ISNUMBER(SEARCH({"經營","管理","財務","企劃","營運","技術","數據","美術","測試","客服"},INDEX('3.員工名單'!$I:$I,MATCH(A1307,'3.員工名單'!$A:$A,0))))*ISNUMBER(SEARCH({"經營","管理","財務","企劃","營運","技術","數據","美術","測試","客服"},INDEX('1.職能辭典'!$K:$K,MATCH(F1307,'1.職能辭典'!$C:$C,0)))))&gt;0)),INDEX('2.職務職能需求'!$B$2:$F$28,MATCH(F1307,'2.職務職能需求'!$A$2:$A$28,0),MATCH(D1307,'2.職務職能需求'!$B$1:$F$1,0)),0),""))</f>
        <v/>
      </c>
      <c r="H1307" s="94" t="n"/>
      <c r="I1307" s="94" t="n"/>
      <c r="J1307" s="120">
        <f>IF(OR(G1307="",I1307="",G1307=0),"",I1307-G1307)</f>
        <v/>
      </c>
      <c r="K1307" s="120">
        <f>IF(G1307="","",IF(G1307=0,"不適用",IF(I1307="","待評核",IF(I1307&gt;=G1307,IF(I1307&gt;G1307,"超越","達標"),"待發展"))))</f>
        <v/>
      </c>
      <c r="L1307" s="91" t="n"/>
      <c r="M1307" s="91" t="n"/>
      <c r="N1307" s="88" t="n"/>
    </row>
    <row r="1308" ht="15.75" customHeight="1" s="64">
      <c r="A1308" s="88" t="n"/>
      <c r="B1308" s="120">
        <f t="array" ref="B1308:B1308">IF(A1308="","",IFERROR(INDEX('3.員工名單'!$B:$B,MATCH(A1308,'3.員工名單'!$A:$A,0)),"查無此員工"))</f>
        <v/>
      </c>
      <c r="C1308" s="120">
        <f t="array" ref="C1308:C1308">IF(A1308="","",IFERROR(INDEX('3.員工名單'!$C:$C,MATCH(A1308,'3.員工名單'!$A:$A,0)),""))</f>
        <v/>
      </c>
      <c r="D1308" s="120">
        <f t="array" ref="D1308:D1308">IF(A1308="","",IFERROR(INDEX('3.員工名單'!$D:$D,MATCH(A1308,'3.員工名單'!$A:$A,0)),""))</f>
        <v/>
      </c>
      <c r="E1308" s="120">
        <f t="array" ref="E1308:E1308">IF(F1308="","",IFERROR(INDEX('1.職能辭典'!$A:$A,MATCH(F1308,'1.職能辭典'!$C:$C,0)),""))</f>
        <v/>
      </c>
      <c r="F1308" s="94" t="n"/>
      <c r="G1308" s="120">
        <f t="array" ref="G1308:G1308">IF(OR(D1308="",F1308=""),"",IFERROR(IF(AND(OR(INDEX('1.職能辭典'!$J:$J,MATCH(F1308,'1.職能辭典'!$C:$C,0))="全部",INDEX('3.員工名單'!$H:$H,MATCH(A1308,'3.員工名單'!$A:$A,0))="兩款共用",INDEX('3.員工名單'!$H:$H,MATCH(A1308,'3.員工名單'!$A:$A,0))=INDEX('1.職能辭典'!$J:$J,MATCH(F1308,'1.職能辭典'!$C:$C,0))),OR(INDEX('1.職能辭典'!$K:$K,MATCH(F1308,'1.職能辭典'!$C:$C,0))="全部",SUMPRODUCT(ISNUMBER(SEARCH({"經營","管理","財務","企劃","營運","技術","數據","美術","測試","客服"},INDEX('3.員工名單'!$I:$I,MATCH(A1308,'3.員工名單'!$A:$A,0))))*ISNUMBER(SEARCH({"經營","管理","財務","企劃","營運","技術","數據","美術","測試","客服"},INDEX('1.職能辭典'!$K:$K,MATCH(F1308,'1.職能辭典'!$C:$C,0)))))&gt;0)),INDEX('2.職務職能需求'!$B$2:$F$28,MATCH(F1308,'2.職務職能需求'!$A$2:$A$28,0),MATCH(D1308,'2.職務職能需求'!$B$1:$F$1,0)),0),""))</f>
        <v/>
      </c>
      <c r="H1308" s="94" t="n"/>
      <c r="I1308" s="94" t="n"/>
      <c r="J1308" s="120">
        <f>IF(OR(G1308="",I1308="",G1308=0),"",I1308-G1308)</f>
        <v/>
      </c>
      <c r="K1308" s="120">
        <f>IF(G1308="","",IF(G1308=0,"不適用",IF(I1308="","待評核",IF(I1308&gt;=G1308,IF(I1308&gt;G1308,"超越","達標"),"待發展"))))</f>
        <v/>
      </c>
      <c r="L1308" s="91" t="n"/>
      <c r="M1308" s="91" t="n"/>
      <c r="N1308" s="88" t="n"/>
    </row>
    <row r="1309" ht="15.75" customHeight="1" s="64">
      <c r="A1309" s="88" t="n"/>
      <c r="B1309" s="120">
        <f t="array" ref="B1309:B1309">IF(A1309="","",IFERROR(INDEX('3.員工名單'!$B:$B,MATCH(A1309,'3.員工名單'!$A:$A,0)),"查無此員工"))</f>
        <v/>
      </c>
      <c r="C1309" s="120">
        <f t="array" ref="C1309:C1309">IF(A1309="","",IFERROR(INDEX('3.員工名單'!$C:$C,MATCH(A1309,'3.員工名單'!$A:$A,0)),""))</f>
        <v/>
      </c>
      <c r="D1309" s="120">
        <f t="array" ref="D1309:D1309">IF(A1309="","",IFERROR(INDEX('3.員工名單'!$D:$D,MATCH(A1309,'3.員工名單'!$A:$A,0)),""))</f>
        <v/>
      </c>
      <c r="E1309" s="120">
        <f t="array" ref="E1309:E1309">IF(F1309="","",IFERROR(INDEX('1.職能辭典'!$A:$A,MATCH(F1309,'1.職能辭典'!$C:$C,0)),""))</f>
        <v/>
      </c>
      <c r="F1309" s="94" t="n"/>
      <c r="G1309" s="120">
        <f t="array" ref="G1309:G1309">IF(OR(D1309="",F1309=""),"",IFERROR(IF(AND(OR(INDEX('1.職能辭典'!$J:$J,MATCH(F1309,'1.職能辭典'!$C:$C,0))="全部",INDEX('3.員工名單'!$H:$H,MATCH(A1309,'3.員工名單'!$A:$A,0))="兩款共用",INDEX('3.員工名單'!$H:$H,MATCH(A1309,'3.員工名單'!$A:$A,0))=INDEX('1.職能辭典'!$J:$J,MATCH(F1309,'1.職能辭典'!$C:$C,0))),OR(INDEX('1.職能辭典'!$K:$K,MATCH(F1309,'1.職能辭典'!$C:$C,0))="全部",SUMPRODUCT(ISNUMBER(SEARCH({"經營","管理","財務","企劃","營運","技術","數據","美術","測試","客服"},INDEX('3.員工名單'!$I:$I,MATCH(A1309,'3.員工名單'!$A:$A,0))))*ISNUMBER(SEARCH({"經營","管理","財務","企劃","營運","技術","數據","美術","測試","客服"},INDEX('1.職能辭典'!$K:$K,MATCH(F1309,'1.職能辭典'!$C:$C,0)))))&gt;0)),INDEX('2.職務職能需求'!$B$2:$F$28,MATCH(F1309,'2.職務職能需求'!$A$2:$A$28,0),MATCH(D1309,'2.職務職能需求'!$B$1:$F$1,0)),0),""))</f>
        <v/>
      </c>
      <c r="H1309" s="94" t="n"/>
      <c r="I1309" s="94" t="n"/>
      <c r="J1309" s="120">
        <f>IF(OR(G1309="",I1309="",G1309=0),"",I1309-G1309)</f>
        <v/>
      </c>
      <c r="K1309" s="120">
        <f>IF(G1309="","",IF(G1309=0,"不適用",IF(I1309="","待評核",IF(I1309&gt;=G1309,IF(I1309&gt;G1309,"超越","達標"),"待發展"))))</f>
        <v/>
      </c>
      <c r="L1309" s="91" t="n"/>
      <c r="M1309" s="91" t="n"/>
      <c r="N1309" s="88" t="n"/>
    </row>
    <row r="1310" ht="15.75" customHeight="1" s="64">
      <c r="A1310" s="88" t="n"/>
      <c r="B1310" s="120">
        <f t="array" ref="B1310:B1310">IF(A1310="","",IFERROR(INDEX('3.員工名單'!$B:$B,MATCH(A1310,'3.員工名單'!$A:$A,0)),"查無此員工"))</f>
        <v/>
      </c>
      <c r="C1310" s="120">
        <f t="array" ref="C1310:C1310">IF(A1310="","",IFERROR(INDEX('3.員工名單'!$C:$C,MATCH(A1310,'3.員工名單'!$A:$A,0)),""))</f>
        <v/>
      </c>
      <c r="D1310" s="120">
        <f t="array" ref="D1310:D1310">IF(A1310="","",IFERROR(INDEX('3.員工名單'!$D:$D,MATCH(A1310,'3.員工名單'!$A:$A,0)),""))</f>
        <v/>
      </c>
      <c r="E1310" s="120">
        <f t="array" ref="E1310:E1310">IF(F1310="","",IFERROR(INDEX('1.職能辭典'!$A:$A,MATCH(F1310,'1.職能辭典'!$C:$C,0)),""))</f>
        <v/>
      </c>
      <c r="F1310" s="94" t="n"/>
      <c r="G1310" s="120">
        <f t="array" ref="G1310:G1310">IF(OR(D1310="",F1310=""),"",IFERROR(IF(AND(OR(INDEX('1.職能辭典'!$J:$J,MATCH(F1310,'1.職能辭典'!$C:$C,0))="全部",INDEX('3.員工名單'!$H:$H,MATCH(A1310,'3.員工名單'!$A:$A,0))="兩款共用",INDEX('3.員工名單'!$H:$H,MATCH(A1310,'3.員工名單'!$A:$A,0))=INDEX('1.職能辭典'!$J:$J,MATCH(F1310,'1.職能辭典'!$C:$C,0))),OR(INDEX('1.職能辭典'!$K:$K,MATCH(F1310,'1.職能辭典'!$C:$C,0))="全部",SUMPRODUCT(ISNUMBER(SEARCH({"經營","管理","財務","企劃","營運","技術","數據","美術","測試","客服"},INDEX('3.員工名單'!$I:$I,MATCH(A1310,'3.員工名單'!$A:$A,0))))*ISNUMBER(SEARCH({"經營","管理","財務","企劃","營運","技術","數據","美術","測試","客服"},INDEX('1.職能辭典'!$K:$K,MATCH(F1310,'1.職能辭典'!$C:$C,0)))))&gt;0)),INDEX('2.職務職能需求'!$B$2:$F$28,MATCH(F1310,'2.職務職能需求'!$A$2:$A$28,0),MATCH(D1310,'2.職務職能需求'!$B$1:$F$1,0)),0),""))</f>
        <v/>
      </c>
      <c r="H1310" s="94" t="n"/>
      <c r="I1310" s="94" t="n"/>
      <c r="J1310" s="120">
        <f>IF(OR(G1310="",I1310="",G1310=0),"",I1310-G1310)</f>
        <v/>
      </c>
      <c r="K1310" s="120">
        <f>IF(G1310="","",IF(G1310=0,"不適用",IF(I1310="","待評核",IF(I1310&gt;=G1310,IF(I1310&gt;G1310,"超越","達標"),"待發展"))))</f>
        <v/>
      </c>
      <c r="L1310" s="91" t="n"/>
      <c r="M1310" s="91" t="n"/>
      <c r="N1310" s="88" t="n"/>
    </row>
    <row r="1311" ht="15.75" customHeight="1" s="64">
      <c r="A1311" s="88" t="n"/>
      <c r="B1311" s="120">
        <f t="array" ref="B1311:B1311">IF(A1311="","",IFERROR(INDEX('3.員工名單'!$B:$B,MATCH(A1311,'3.員工名單'!$A:$A,0)),"查無此員工"))</f>
        <v/>
      </c>
      <c r="C1311" s="120">
        <f t="array" ref="C1311:C1311">IF(A1311="","",IFERROR(INDEX('3.員工名單'!$C:$C,MATCH(A1311,'3.員工名單'!$A:$A,0)),""))</f>
        <v/>
      </c>
      <c r="D1311" s="120">
        <f t="array" ref="D1311:D1311">IF(A1311="","",IFERROR(INDEX('3.員工名單'!$D:$D,MATCH(A1311,'3.員工名單'!$A:$A,0)),""))</f>
        <v/>
      </c>
      <c r="E1311" s="120">
        <f t="array" ref="E1311:E1311">IF(F1311="","",IFERROR(INDEX('1.職能辭典'!$A:$A,MATCH(F1311,'1.職能辭典'!$C:$C,0)),""))</f>
        <v/>
      </c>
      <c r="F1311" s="94" t="n"/>
      <c r="G1311" s="120">
        <f t="array" ref="G1311:G1311">IF(OR(D1311="",F1311=""),"",IFERROR(IF(AND(OR(INDEX('1.職能辭典'!$J:$J,MATCH(F1311,'1.職能辭典'!$C:$C,0))="全部",INDEX('3.員工名單'!$H:$H,MATCH(A1311,'3.員工名單'!$A:$A,0))="兩款共用",INDEX('3.員工名單'!$H:$H,MATCH(A1311,'3.員工名單'!$A:$A,0))=INDEX('1.職能辭典'!$J:$J,MATCH(F1311,'1.職能辭典'!$C:$C,0))),OR(INDEX('1.職能辭典'!$K:$K,MATCH(F1311,'1.職能辭典'!$C:$C,0))="全部",SUMPRODUCT(ISNUMBER(SEARCH({"經營","管理","財務","企劃","營運","技術","數據","美術","測試","客服"},INDEX('3.員工名單'!$I:$I,MATCH(A1311,'3.員工名單'!$A:$A,0))))*ISNUMBER(SEARCH({"經營","管理","財務","企劃","營運","技術","數據","美術","測試","客服"},INDEX('1.職能辭典'!$K:$K,MATCH(F1311,'1.職能辭典'!$C:$C,0)))))&gt;0)),INDEX('2.職務職能需求'!$B$2:$F$28,MATCH(F1311,'2.職務職能需求'!$A$2:$A$28,0),MATCH(D1311,'2.職務職能需求'!$B$1:$F$1,0)),0),""))</f>
        <v/>
      </c>
      <c r="H1311" s="94" t="n"/>
      <c r="I1311" s="94" t="n"/>
      <c r="J1311" s="120">
        <f>IF(OR(G1311="",I1311="",G1311=0),"",I1311-G1311)</f>
        <v/>
      </c>
      <c r="K1311" s="120">
        <f>IF(G1311="","",IF(G1311=0,"不適用",IF(I1311="","待評核",IF(I1311&gt;=G1311,IF(I1311&gt;G1311,"超越","達標"),"待發展"))))</f>
        <v/>
      </c>
      <c r="L1311" s="91" t="n"/>
      <c r="M1311" s="91" t="n"/>
      <c r="N1311" s="88" t="n"/>
    </row>
    <row r="1312" ht="15.75" customHeight="1" s="64">
      <c r="A1312" s="88" t="n"/>
      <c r="B1312" s="120">
        <f t="array" ref="B1312:B1312">IF(A1312="","",IFERROR(INDEX('3.員工名單'!$B:$B,MATCH(A1312,'3.員工名單'!$A:$A,0)),"查無此員工"))</f>
        <v/>
      </c>
      <c r="C1312" s="120">
        <f t="array" ref="C1312:C1312">IF(A1312="","",IFERROR(INDEX('3.員工名單'!$C:$C,MATCH(A1312,'3.員工名單'!$A:$A,0)),""))</f>
        <v/>
      </c>
      <c r="D1312" s="120">
        <f t="array" ref="D1312:D1312">IF(A1312="","",IFERROR(INDEX('3.員工名單'!$D:$D,MATCH(A1312,'3.員工名單'!$A:$A,0)),""))</f>
        <v/>
      </c>
      <c r="E1312" s="120">
        <f t="array" ref="E1312:E1312">IF(F1312="","",IFERROR(INDEX('1.職能辭典'!$A:$A,MATCH(F1312,'1.職能辭典'!$C:$C,0)),""))</f>
        <v/>
      </c>
      <c r="F1312" s="94" t="n"/>
      <c r="G1312" s="120">
        <f t="array" ref="G1312:G1312">IF(OR(D1312="",F1312=""),"",IFERROR(IF(AND(OR(INDEX('1.職能辭典'!$J:$J,MATCH(F1312,'1.職能辭典'!$C:$C,0))="全部",INDEX('3.員工名單'!$H:$H,MATCH(A1312,'3.員工名單'!$A:$A,0))="兩款共用",INDEX('3.員工名單'!$H:$H,MATCH(A1312,'3.員工名單'!$A:$A,0))=INDEX('1.職能辭典'!$J:$J,MATCH(F1312,'1.職能辭典'!$C:$C,0))),OR(INDEX('1.職能辭典'!$K:$K,MATCH(F1312,'1.職能辭典'!$C:$C,0))="全部",SUMPRODUCT(ISNUMBER(SEARCH({"經營","管理","財務","企劃","營運","技術","數據","美術","測試","客服"},INDEX('3.員工名單'!$I:$I,MATCH(A1312,'3.員工名單'!$A:$A,0))))*ISNUMBER(SEARCH({"經營","管理","財務","企劃","營運","技術","數據","美術","測試","客服"},INDEX('1.職能辭典'!$K:$K,MATCH(F1312,'1.職能辭典'!$C:$C,0)))))&gt;0)),INDEX('2.職務職能需求'!$B$2:$F$28,MATCH(F1312,'2.職務職能需求'!$A$2:$A$28,0),MATCH(D1312,'2.職務職能需求'!$B$1:$F$1,0)),0),""))</f>
        <v/>
      </c>
      <c r="H1312" s="94" t="n"/>
      <c r="I1312" s="94" t="n"/>
      <c r="J1312" s="120">
        <f>IF(OR(G1312="",I1312="",G1312=0),"",I1312-G1312)</f>
        <v/>
      </c>
      <c r="K1312" s="120">
        <f>IF(G1312="","",IF(G1312=0,"不適用",IF(I1312="","待評核",IF(I1312&gt;=G1312,IF(I1312&gt;G1312,"超越","達標"),"待發展"))))</f>
        <v/>
      </c>
      <c r="L1312" s="91" t="n"/>
      <c r="M1312" s="91" t="n"/>
      <c r="N1312" s="88" t="n"/>
    </row>
    <row r="1313" ht="15.75" customHeight="1" s="64">
      <c r="A1313" s="88" t="n"/>
      <c r="B1313" s="120">
        <f t="array" ref="B1313:B1313">IF(A1313="","",IFERROR(INDEX('3.員工名單'!$B:$B,MATCH(A1313,'3.員工名單'!$A:$A,0)),"查無此員工"))</f>
        <v/>
      </c>
      <c r="C1313" s="120">
        <f t="array" ref="C1313:C1313">IF(A1313="","",IFERROR(INDEX('3.員工名單'!$C:$C,MATCH(A1313,'3.員工名單'!$A:$A,0)),""))</f>
        <v/>
      </c>
      <c r="D1313" s="120">
        <f t="array" ref="D1313:D1313">IF(A1313="","",IFERROR(INDEX('3.員工名單'!$D:$D,MATCH(A1313,'3.員工名單'!$A:$A,0)),""))</f>
        <v/>
      </c>
      <c r="E1313" s="120">
        <f t="array" ref="E1313:E1313">IF(F1313="","",IFERROR(INDEX('1.職能辭典'!$A:$A,MATCH(F1313,'1.職能辭典'!$C:$C,0)),""))</f>
        <v/>
      </c>
      <c r="F1313" s="94" t="n"/>
      <c r="G1313" s="120">
        <f t="array" ref="G1313:G1313">IF(OR(D1313="",F1313=""),"",IFERROR(IF(AND(OR(INDEX('1.職能辭典'!$J:$J,MATCH(F1313,'1.職能辭典'!$C:$C,0))="全部",INDEX('3.員工名單'!$H:$H,MATCH(A1313,'3.員工名單'!$A:$A,0))="兩款共用",INDEX('3.員工名單'!$H:$H,MATCH(A1313,'3.員工名單'!$A:$A,0))=INDEX('1.職能辭典'!$J:$J,MATCH(F1313,'1.職能辭典'!$C:$C,0))),OR(INDEX('1.職能辭典'!$K:$K,MATCH(F1313,'1.職能辭典'!$C:$C,0))="全部",SUMPRODUCT(ISNUMBER(SEARCH({"經營","管理","財務","企劃","營運","技術","數據","美術","測試","客服"},INDEX('3.員工名單'!$I:$I,MATCH(A1313,'3.員工名單'!$A:$A,0))))*ISNUMBER(SEARCH({"經營","管理","財務","企劃","營運","技術","數據","美術","測試","客服"},INDEX('1.職能辭典'!$K:$K,MATCH(F1313,'1.職能辭典'!$C:$C,0)))))&gt;0)),INDEX('2.職務職能需求'!$B$2:$F$28,MATCH(F1313,'2.職務職能需求'!$A$2:$A$28,0),MATCH(D1313,'2.職務職能需求'!$B$1:$F$1,0)),0),""))</f>
        <v/>
      </c>
      <c r="H1313" s="94" t="n"/>
      <c r="I1313" s="94" t="n"/>
      <c r="J1313" s="120">
        <f>IF(OR(G1313="",I1313="",G1313=0),"",I1313-G1313)</f>
        <v/>
      </c>
      <c r="K1313" s="120">
        <f>IF(G1313="","",IF(G1313=0,"不適用",IF(I1313="","待評核",IF(I1313&gt;=G1313,IF(I1313&gt;G1313,"超越","達標"),"待發展"))))</f>
        <v/>
      </c>
      <c r="L1313" s="91" t="n"/>
      <c r="M1313" s="91" t="n"/>
      <c r="N1313" s="88" t="n"/>
    </row>
    <row r="1314" ht="15.75" customHeight="1" s="64">
      <c r="A1314" s="88" t="n"/>
      <c r="B1314" s="120">
        <f t="array" ref="B1314:B1314">IF(A1314="","",IFERROR(INDEX('3.員工名單'!$B:$B,MATCH(A1314,'3.員工名單'!$A:$A,0)),"查無此員工"))</f>
        <v/>
      </c>
      <c r="C1314" s="120">
        <f t="array" ref="C1314:C1314">IF(A1314="","",IFERROR(INDEX('3.員工名單'!$C:$C,MATCH(A1314,'3.員工名單'!$A:$A,0)),""))</f>
        <v/>
      </c>
      <c r="D1314" s="120">
        <f t="array" ref="D1314:D1314">IF(A1314="","",IFERROR(INDEX('3.員工名單'!$D:$D,MATCH(A1314,'3.員工名單'!$A:$A,0)),""))</f>
        <v/>
      </c>
      <c r="E1314" s="120">
        <f t="array" ref="E1314:E1314">IF(F1314="","",IFERROR(INDEX('1.職能辭典'!$A:$A,MATCH(F1314,'1.職能辭典'!$C:$C,0)),""))</f>
        <v/>
      </c>
      <c r="F1314" s="94" t="n"/>
      <c r="G1314" s="120">
        <f t="array" ref="G1314:G1314">IF(OR(D1314="",F1314=""),"",IFERROR(IF(AND(OR(INDEX('1.職能辭典'!$J:$J,MATCH(F1314,'1.職能辭典'!$C:$C,0))="全部",INDEX('3.員工名單'!$H:$H,MATCH(A1314,'3.員工名單'!$A:$A,0))="兩款共用",INDEX('3.員工名單'!$H:$H,MATCH(A1314,'3.員工名單'!$A:$A,0))=INDEX('1.職能辭典'!$J:$J,MATCH(F1314,'1.職能辭典'!$C:$C,0))),OR(INDEX('1.職能辭典'!$K:$K,MATCH(F1314,'1.職能辭典'!$C:$C,0))="全部",SUMPRODUCT(ISNUMBER(SEARCH({"經營","管理","財務","企劃","營運","技術","數據","美術","測試","客服"},INDEX('3.員工名單'!$I:$I,MATCH(A1314,'3.員工名單'!$A:$A,0))))*ISNUMBER(SEARCH({"經營","管理","財務","企劃","營運","技術","數據","美術","測試","客服"},INDEX('1.職能辭典'!$K:$K,MATCH(F1314,'1.職能辭典'!$C:$C,0)))))&gt;0)),INDEX('2.職務職能需求'!$B$2:$F$28,MATCH(F1314,'2.職務職能需求'!$A$2:$A$28,0),MATCH(D1314,'2.職務職能需求'!$B$1:$F$1,0)),0),""))</f>
        <v/>
      </c>
      <c r="H1314" s="94" t="n"/>
      <c r="I1314" s="94" t="n"/>
      <c r="J1314" s="120">
        <f>IF(OR(G1314="",I1314="",G1314=0),"",I1314-G1314)</f>
        <v/>
      </c>
      <c r="K1314" s="120">
        <f>IF(G1314="","",IF(G1314=0,"不適用",IF(I1314="","待評核",IF(I1314&gt;=G1314,IF(I1314&gt;G1314,"超越","達標"),"待發展"))))</f>
        <v/>
      </c>
      <c r="L1314" s="91" t="n"/>
      <c r="M1314" s="91" t="n"/>
      <c r="N1314" s="88" t="n"/>
    </row>
    <row r="1315" ht="15.75" customHeight="1" s="64">
      <c r="A1315" s="88" t="n"/>
      <c r="B1315" s="120">
        <f t="array" ref="B1315:B1315">IF(A1315="","",IFERROR(INDEX('3.員工名單'!$B:$B,MATCH(A1315,'3.員工名單'!$A:$A,0)),"查無此員工"))</f>
        <v/>
      </c>
      <c r="C1315" s="120">
        <f t="array" ref="C1315:C1315">IF(A1315="","",IFERROR(INDEX('3.員工名單'!$C:$C,MATCH(A1315,'3.員工名單'!$A:$A,0)),""))</f>
        <v/>
      </c>
      <c r="D1315" s="120">
        <f t="array" ref="D1315:D1315">IF(A1315="","",IFERROR(INDEX('3.員工名單'!$D:$D,MATCH(A1315,'3.員工名單'!$A:$A,0)),""))</f>
        <v/>
      </c>
      <c r="E1315" s="120">
        <f t="array" ref="E1315:E1315">IF(F1315="","",IFERROR(INDEX('1.職能辭典'!$A:$A,MATCH(F1315,'1.職能辭典'!$C:$C,0)),""))</f>
        <v/>
      </c>
      <c r="F1315" s="94" t="n"/>
      <c r="G1315" s="120">
        <f t="array" ref="G1315:G1315">IF(OR(D1315="",F1315=""),"",IFERROR(IF(AND(OR(INDEX('1.職能辭典'!$J:$J,MATCH(F1315,'1.職能辭典'!$C:$C,0))="全部",INDEX('3.員工名單'!$H:$H,MATCH(A1315,'3.員工名單'!$A:$A,0))="兩款共用",INDEX('3.員工名單'!$H:$H,MATCH(A1315,'3.員工名單'!$A:$A,0))=INDEX('1.職能辭典'!$J:$J,MATCH(F1315,'1.職能辭典'!$C:$C,0))),OR(INDEX('1.職能辭典'!$K:$K,MATCH(F1315,'1.職能辭典'!$C:$C,0))="全部",SUMPRODUCT(ISNUMBER(SEARCH({"經營","管理","財務","企劃","營運","技術","數據","美術","測試","客服"},INDEX('3.員工名單'!$I:$I,MATCH(A1315,'3.員工名單'!$A:$A,0))))*ISNUMBER(SEARCH({"經營","管理","財務","企劃","營運","技術","數據","美術","測試","客服"},INDEX('1.職能辭典'!$K:$K,MATCH(F1315,'1.職能辭典'!$C:$C,0)))))&gt;0)),INDEX('2.職務職能需求'!$B$2:$F$28,MATCH(F1315,'2.職務職能需求'!$A$2:$A$28,0),MATCH(D1315,'2.職務職能需求'!$B$1:$F$1,0)),0),""))</f>
        <v/>
      </c>
      <c r="H1315" s="94" t="n"/>
      <c r="I1315" s="94" t="n"/>
      <c r="J1315" s="120">
        <f>IF(OR(G1315="",I1315="",G1315=0),"",I1315-G1315)</f>
        <v/>
      </c>
      <c r="K1315" s="120">
        <f>IF(G1315="","",IF(G1315=0,"不適用",IF(I1315="","待評核",IF(I1315&gt;=G1315,IF(I1315&gt;G1315,"超越","達標"),"待發展"))))</f>
        <v/>
      </c>
      <c r="L1315" s="91" t="n"/>
      <c r="M1315" s="91" t="n"/>
      <c r="N1315" s="88" t="n"/>
    </row>
    <row r="1316" ht="15.75" customHeight="1" s="64">
      <c r="A1316" s="88" t="n"/>
      <c r="B1316" s="120">
        <f t="array" ref="B1316:B1316">IF(A1316="","",IFERROR(INDEX('3.員工名單'!$B:$B,MATCH(A1316,'3.員工名單'!$A:$A,0)),"查無此員工"))</f>
        <v/>
      </c>
      <c r="C1316" s="120">
        <f t="array" ref="C1316:C1316">IF(A1316="","",IFERROR(INDEX('3.員工名單'!$C:$C,MATCH(A1316,'3.員工名單'!$A:$A,0)),""))</f>
        <v/>
      </c>
      <c r="D1316" s="120">
        <f t="array" ref="D1316:D1316">IF(A1316="","",IFERROR(INDEX('3.員工名單'!$D:$D,MATCH(A1316,'3.員工名單'!$A:$A,0)),""))</f>
        <v/>
      </c>
      <c r="E1316" s="120">
        <f t="array" ref="E1316:E1316">IF(F1316="","",IFERROR(INDEX('1.職能辭典'!$A:$A,MATCH(F1316,'1.職能辭典'!$C:$C,0)),""))</f>
        <v/>
      </c>
      <c r="F1316" s="94" t="n"/>
      <c r="G1316" s="120">
        <f t="array" ref="G1316:G1316">IF(OR(D1316="",F1316=""),"",IFERROR(IF(AND(OR(INDEX('1.職能辭典'!$J:$J,MATCH(F1316,'1.職能辭典'!$C:$C,0))="全部",INDEX('3.員工名單'!$H:$H,MATCH(A1316,'3.員工名單'!$A:$A,0))="兩款共用",INDEX('3.員工名單'!$H:$H,MATCH(A1316,'3.員工名單'!$A:$A,0))=INDEX('1.職能辭典'!$J:$J,MATCH(F1316,'1.職能辭典'!$C:$C,0))),OR(INDEX('1.職能辭典'!$K:$K,MATCH(F1316,'1.職能辭典'!$C:$C,0))="全部",SUMPRODUCT(ISNUMBER(SEARCH({"經營","管理","財務","企劃","營運","技術","數據","美術","測試","客服"},INDEX('3.員工名單'!$I:$I,MATCH(A1316,'3.員工名單'!$A:$A,0))))*ISNUMBER(SEARCH({"經營","管理","財務","企劃","營運","技術","數據","美術","測試","客服"},INDEX('1.職能辭典'!$K:$K,MATCH(F1316,'1.職能辭典'!$C:$C,0)))))&gt;0)),INDEX('2.職務職能需求'!$B$2:$F$28,MATCH(F1316,'2.職務職能需求'!$A$2:$A$28,0),MATCH(D1316,'2.職務職能需求'!$B$1:$F$1,0)),0),""))</f>
        <v/>
      </c>
      <c r="H1316" s="94" t="n"/>
      <c r="I1316" s="94" t="n"/>
      <c r="J1316" s="120">
        <f>IF(OR(G1316="",I1316="",G1316=0),"",I1316-G1316)</f>
        <v/>
      </c>
      <c r="K1316" s="120">
        <f>IF(G1316="","",IF(G1316=0,"不適用",IF(I1316="","待評核",IF(I1316&gt;=G1316,IF(I1316&gt;G1316,"超越","達標"),"待發展"))))</f>
        <v/>
      </c>
      <c r="L1316" s="91" t="n"/>
      <c r="M1316" s="91" t="n"/>
      <c r="N1316" s="88" t="n"/>
    </row>
    <row r="1317" ht="15.75" customHeight="1" s="64">
      <c r="A1317" s="88" t="n"/>
      <c r="B1317" s="120">
        <f t="array" ref="B1317:B1317">IF(A1317="","",IFERROR(INDEX('3.員工名單'!$B:$B,MATCH(A1317,'3.員工名單'!$A:$A,0)),"查無此員工"))</f>
        <v/>
      </c>
      <c r="C1317" s="120">
        <f t="array" ref="C1317:C1317">IF(A1317="","",IFERROR(INDEX('3.員工名單'!$C:$C,MATCH(A1317,'3.員工名單'!$A:$A,0)),""))</f>
        <v/>
      </c>
      <c r="D1317" s="120">
        <f t="array" ref="D1317:D1317">IF(A1317="","",IFERROR(INDEX('3.員工名單'!$D:$D,MATCH(A1317,'3.員工名單'!$A:$A,0)),""))</f>
        <v/>
      </c>
      <c r="E1317" s="120">
        <f t="array" ref="E1317:E1317">IF(F1317="","",IFERROR(INDEX('1.職能辭典'!$A:$A,MATCH(F1317,'1.職能辭典'!$C:$C,0)),""))</f>
        <v/>
      </c>
      <c r="F1317" s="94" t="n"/>
      <c r="G1317" s="120">
        <f t="array" ref="G1317:G1317">IF(OR(D1317="",F1317=""),"",IFERROR(IF(AND(OR(INDEX('1.職能辭典'!$J:$J,MATCH(F1317,'1.職能辭典'!$C:$C,0))="全部",INDEX('3.員工名單'!$H:$H,MATCH(A1317,'3.員工名單'!$A:$A,0))="兩款共用",INDEX('3.員工名單'!$H:$H,MATCH(A1317,'3.員工名單'!$A:$A,0))=INDEX('1.職能辭典'!$J:$J,MATCH(F1317,'1.職能辭典'!$C:$C,0))),OR(INDEX('1.職能辭典'!$K:$K,MATCH(F1317,'1.職能辭典'!$C:$C,0))="全部",SUMPRODUCT(ISNUMBER(SEARCH({"經營","管理","財務","企劃","營運","技術","數據","美術","測試","客服"},INDEX('3.員工名單'!$I:$I,MATCH(A1317,'3.員工名單'!$A:$A,0))))*ISNUMBER(SEARCH({"經營","管理","財務","企劃","營運","技術","數據","美術","測試","客服"},INDEX('1.職能辭典'!$K:$K,MATCH(F1317,'1.職能辭典'!$C:$C,0)))))&gt;0)),INDEX('2.職務職能需求'!$B$2:$F$28,MATCH(F1317,'2.職務職能需求'!$A$2:$A$28,0),MATCH(D1317,'2.職務職能需求'!$B$1:$F$1,0)),0),""))</f>
        <v/>
      </c>
      <c r="H1317" s="94" t="n"/>
      <c r="I1317" s="94" t="n"/>
      <c r="J1317" s="120">
        <f>IF(OR(G1317="",I1317="",G1317=0),"",I1317-G1317)</f>
        <v/>
      </c>
      <c r="K1317" s="120">
        <f>IF(G1317="","",IF(G1317=0,"不適用",IF(I1317="","待評核",IF(I1317&gt;=G1317,IF(I1317&gt;G1317,"超越","達標"),"待發展"))))</f>
        <v/>
      </c>
      <c r="L1317" s="91" t="n"/>
      <c r="M1317" s="91" t="n"/>
      <c r="N1317" s="88" t="n"/>
    </row>
    <row r="1318" ht="15.75" customHeight="1" s="64">
      <c r="A1318" s="88" t="n"/>
      <c r="B1318" s="120">
        <f t="array" ref="B1318:B1318">IF(A1318="","",IFERROR(INDEX('3.員工名單'!$B:$B,MATCH(A1318,'3.員工名單'!$A:$A,0)),"查無此員工"))</f>
        <v/>
      </c>
      <c r="C1318" s="120">
        <f t="array" ref="C1318:C1318">IF(A1318="","",IFERROR(INDEX('3.員工名單'!$C:$C,MATCH(A1318,'3.員工名單'!$A:$A,0)),""))</f>
        <v/>
      </c>
      <c r="D1318" s="120">
        <f t="array" ref="D1318:D1318">IF(A1318="","",IFERROR(INDEX('3.員工名單'!$D:$D,MATCH(A1318,'3.員工名單'!$A:$A,0)),""))</f>
        <v/>
      </c>
      <c r="E1318" s="120">
        <f t="array" ref="E1318:E1318">IF(F1318="","",IFERROR(INDEX('1.職能辭典'!$A:$A,MATCH(F1318,'1.職能辭典'!$C:$C,0)),""))</f>
        <v/>
      </c>
      <c r="F1318" s="94" t="n"/>
      <c r="G1318" s="120">
        <f t="array" ref="G1318:G1318">IF(OR(D1318="",F1318=""),"",IFERROR(IF(AND(OR(INDEX('1.職能辭典'!$J:$J,MATCH(F1318,'1.職能辭典'!$C:$C,0))="全部",INDEX('3.員工名單'!$H:$H,MATCH(A1318,'3.員工名單'!$A:$A,0))="兩款共用",INDEX('3.員工名單'!$H:$H,MATCH(A1318,'3.員工名單'!$A:$A,0))=INDEX('1.職能辭典'!$J:$J,MATCH(F1318,'1.職能辭典'!$C:$C,0))),OR(INDEX('1.職能辭典'!$K:$K,MATCH(F1318,'1.職能辭典'!$C:$C,0))="全部",SUMPRODUCT(ISNUMBER(SEARCH({"經營","管理","財務","企劃","營運","技術","數據","美術","測試","客服"},INDEX('3.員工名單'!$I:$I,MATCH(A1318,'3.員工名單'!$A:$A,0))))*ISNUMBER(SEARCH({"經營","管理","財務","企劃","營運","技術","數據","美術","測試","客服"},INDEX('1.職能辭典'!$K:$K,MATCH(F1318,'1.職能辭典'!$C:$C,0)))))&gt;0)),INDEX('2.職務職能需求'!$B$2:$F$28,MATCH(F1318,'2.職務職能需求'!$A$2:$A$28,0),MATCH(D1318,'2.職務職能需求'!$B$1:$F$1,0)),0),""))</f>
        <v/>
      </c>
      <c r="H1318" s="94" t="n"/>
      <c r="I1318" s="94" t="n"/>
      <c r="J1318" s="120">
        <f>IF(OR(G1318="",I1318="",G1318=0),"",I1318-G1318)</f>
        <v/>
      </c>
      <c r="K1318" s="120">
        <f>IF(G1318="","",IF(G1318=0,"不適用",IF(I1318="","待評核",IF(I1318&gt;=G1318,IF(I1318&gt;G1318,"超越","達標"),"待發展"))))</f>
        <v/>
      </c>
      <c r="L1318" s="91" t="n"/>
      <c r="M1318" s="91" t="n"/>
      <c r="N1318" s="88" t="n"/>
    </row>
    <row r="1319" ht="15.75" customHeight="1" s="64">
      <c r="A1319" s="88" t="n"/>
      <c r="B1319" s="120">
        <f t="array" ref="B1319:B1319">IF(A1319="","",IFERROR(INDEX('3.員工名單'!$B:$B,MATCH(A1319,'3.員工名單'!$A:$A,0)),"查無此員工"))</f>
        <v/>
      </c>
      <c r="C1319" s="120">
        <f t="array" ref="C1319:C1319">IF(A1319="","",IFERROR(INDEX('3.員工名單'!$C:$C,MATCH(A1319,'3.員工名單'!$A:$A,0)),""))</f>
        <v/>
      </c>
      <c r="D1319" s="120">
        <f t="array" ref="D1319:D1319">IF(A1319="","",IFERROR(INDEX('3.員工名單'!$D:$D,MATCH(A1319,'3.員工名單'!$A:$A,0)),""))</f>
        <v/>
      </c>
      <c r="E1319" s="120">
        <f t="array" ref="E1319:E1319">IF(F1319="","",IFERROR(INDEX('1.職能辭典'!$A:$A,MATCH(F1319,'1.職能辭典'!$C:$C,0)),""))</f>
        <v/>
      </c>
      <c r="F1319" s="94" t="n"/>
      <c r="G1319" s="120">
        <f t="array" ref="G1319:G1319">IF(OR(D1319="",F1319=""),"",IFERROR(IF(AND(OR(INDEX('1.職能辭典'!$J:$J,MATCH(F1319,'1.職能辭典'!$C:$C,0))="全部",INDEX('3.員工名單'!$H:$H,MATCH(A1319,'3.員工名單'!$A:$A,0))="兩款共用",INDEX('3.員工名單'!$H:$H,MATCH(A1319,'3.員工名單'!$A:$A,0))=INDEX('1.職能辭典'!$J:$J,MATCH(F1319,'1.職能辭典'!$C:$C,0))),OR(INDEX('1.職能辭典'!$K:$K,MATCH(F1319,'1.職能辭典'!$C:$C,0))="全部",SUMPRODUCT(ISNUMBER(SEARCH({"經營","管理","財務","企劃","營運","技術","數據","美術","測試","客服"},INDEX('3.員工名單'!$I:$I,MATCH(A1319,'3.員工名單'!$A:$A,0))))*ISNUMBER(SEARCH({"經營","管理","財務","企劃","營運","技術","數據","美術","測試","客服"},INDEX('1.職能辭典'!$K:$K,MATCH(F1319,'1.職能辭典'!$C:$C,0)))))&gt;0)),INDEX('2.職務職能需求'!$B$2:$F$28,MATCH(F1319,'2.職務職能需求'!$A$2:$A$28,0),MATCH(D1319,'2.職務職能需求'!$B$1:$F$1,0)),0),""))</f>
        <v/>
      </c>
      <c r="H1319" s="94" t="n"/>
      <c r="I1319" s="94" t="n"/>
      <c r="J1319" s="120">
        <f>IF(OR(G1319="",I1319="",G1319=0),"",I1319-G1319)</f>
        <v/>
      </c>
      <c r="K1319" s="120">
        <f>IF(G1319="","",IF(G1319=0,"不適用",IF(I1319="","待評核",IF(I1319&gt;=G1319,IF(I1319&gt;G1319,"超越","達標"),"待發展"))))</f>
        <v/>
      </c>
      <c r="L1319" s="91" t="n"/>
      <c r="M1319" s="91" t="n"/>
      <c r="N1319" s="88" t="n"/>
    </row>
    <row r="1320" ht="15.75" customHeight="1" s="64">
      <c r="A1320" s="88" t="n"/>
      <c r="B1320" s="120">
        <f t="array" ref="B1320:B1320">IF(A1320="","",IFERROR(INDEX('3.員工名單'!$B:$B,MATCH(A1320,'3.員工名單'!$A:$A,0)),"查無此員工"))</f>
        <v/>
      </c>
      <c r="C1320" s="120">
        <f t="array" ref="C1320:C1320">IF(A1320="","",IFERROR(INDEX('3.員工名單'!$C:$C,MATCH(A1320,'3.員工名單'!$A:$A,0)),""))</f>
        <v/>
      </c>
      <c r="D1320" s="120">
        <f t="array" ref="D1320:D1320">IF(A1320="","",IFERROR(INDEX('3.員工名單'!$D:$D,MATCH(A1320,'3.員工名單'!$A:$A,0)),""))</f>
        <v/>
      </c>
      <c r="E1320" s="120">
        <f t="array" ref="E1320:E1320">IF(F1320="","",IFERROR(INDEX('1.職能辭典'!$A:$A,MATCH(F1320,'1.職能辭典'!$C:$C,0)),""))</f>
        <v/>
      </c>
      <c r="F1320" s="94" t="n"/>
      <c r="G1320" s="120">
        <f t="array" ref="G1320:G1320">IF(OR(D1320="",F1320=""),"",IFERROR(IF(AND(OR(INDEX('1.職能辭典'!$J:$J,MATCH(F1320,'1.職能辭典'!$C:$C,0))="全部",INDEX('3.員工名單'!$H:$H,MATCH(A1320,'3.員工名單'!$A:$A,0))="兩款共用",INDEX('3.員工名單'!$H:$H,MATCH(A1320,'3.員工名單'!$A:$A,0))=INDEX('1.職能辭典'!$J:$J,MATCH(F1320,'1.職能辭典'!$C:$C,0))),OR(INDEX('1.職能辭典'!$K:$K,MATCH(F1320,'1.職能辭典'!$C:$C,0))="全部",SUMPRODUCT(ISNUMBER(SEARCH({"經營","管理","財務","企劃","營運","技術","數據","美術","測試","客服"},INDEX('3.員工名單'!$I:$I,MATCH(A1320,'3.員工名單'!$A:$A,0))))*ISNUMBER(SEARCH({"經營","管理","財務","企劃","營運","技術","數據","美術","測試","客服"},INDEX('1.職能辭典'!$K:$K,MATCH(F1320,'1.職能辭典'!$C:$C,0)))))&gt;0)),INDEX('2.職務職能需求'!$B$2:$F$28,MATCH(F1320,'2.職務職能需求'!$A$2:$A$28,0),MATCH(D1320,'2.職務職能需求'!$B$1:$F$1,0)),0),""))</f>
        <v/>
      </c>
      <c r="H1320" s="94" t="n"/>
      <c r="I1320" s="94" t="n"/>
      <c r="J1320" s="120">
        <f>IF(OR(G1320="",I1320="",G1320=0),"",I1320-G1320)</f>
        <v/>
      </c>
      <c r="K1320" s="120">
        <f>IF(G1320="","",IF(G1320=0,"不適用",IF(I1320="","待評核",IF(I1320&gt;=G1320,IF(I1320&gt;G1320,"超越","達標"),"待發展"))))</f>
        <v/>
      </c>
      <c r="L1320" s="91" t="n"/>
      <c r="M1320" s="91" t="n"/>
      <c r="N1320" s="88" t="n"/>
    </row>
    <row r="1321" ht="15.75" customHeight="1" s="64">
      <c r="A1321" s="88" t="n"/>
      <c r="B1321" s="120">
        <f t="array" ref="B1321:B1321">IF(A1321="","",IFERROR(INDEX('3.員工名單'!$B:$B,MATCH(A1321,'3.員工名單'!$A:$A,0)),"查無此員工"))</f>
        <v/>
      </c>
      <c r="C1321" s="120">
        <f t="array" ref="C1321:C1321">IF(A1321="","",IFERROR(INDEX('3.員工名單'!$C:$C,MATCH(A1321,'3.員工名單'!$A:$A,0)),""))</f>
        <v/>
      </c>
      <c r="D1321" s="120">
        <f t="array" ref="D1321:D1321">IF(A1321="","",IFERROR(INDEX('3.員工名單'!$D:$D,MATCH(A1321,'3.員工名單'!$A:$A,0)),""))</f>
        <v/>
      </c>
      <c r="E1321" s="120">
        <f t="array" ref="E1321:E1321">IF(F1321="","",IFERROR(INDEX('1.職能辭典'!$A:$A,MATCH(F1321,'1.職能辭典'!$C:$C,0)),""))</f>
        <v/>
      </c>
      <c r="F1321" s="94" t="n"/>
      <c r="G1321" s="120">
        <f t="array" ref="G1321:G1321">IF(OR(D1321="",F1321=""),"",IFERROR(IF(AND(OR(INDEX('1.職能辭典'!$J:$J,MATCH(F1321,'1.職能辭典'!$C:$C,0))="全部",INDEX('3.員工名單'!$H:$H,MATCH(A1321,'3.員工名單'!$A:$A,0))="兩款共用",INDEX('3.員工名單'!$H:$H,MATCH(A1321,'3.員工名單'!$A:$A,0))=INDEX('1.職能辭典'!$J:$J,MATCH(F1321,'1.職能辭典'!$C:$C,0))),OR(INDEX('1.職能辭典'!$K:$K,MATCH(F1321,'1.職能辭典'!$C:$C,0))="全部",SUMPRODUCT(ISNUMBER(SEARCH({"經營","管理","財務","企劃","營運","技術","數據","美術","測試","客服"},INDEX('3.員工名單'!$I:$I,MATCH(A1321,'3.員工名單'!$A:$A,0))))*ISNUMBER(SEARCH({"經營","管理","財務","企劃","營運","技術","數據","美術","測試","客服"},INDEX('1.職能辭典'!$K:$K,MATCH(F1321,'1.職能辭典'!$C:$C,0)))))&gt;0)),INDEX('2.職務職能需求'!$B$2:$F$28,MATCH(F1321,'2.職務職能需求'!$A$2:$A$28,0),MATCH(D1321,'2.職務職能需求'!$B$1:$F$1,0)),0),""))</f>
        <v/>
      </c>
      <c r="H1321" s="94" t="n"/>
      <c r="I1321" s="94" t="n"/>
      <c r="J1321" s="120">
        <f>IF(OR(G1321="",I1321="",G1321=0),"",I1321-G1321)</f>
        <v/>
      </c>
      <c r="K1321" s="120">
        <f>IF(G1321="","",IF(G1321=0,"不適用",IF(I1321="","待評核",IF(I1321&gt;=G1321,IF(I1321&gt;G1321,"超越","達標"),"待發展"))))</f>
        <v/>
      </c>
      <c r="L1321" s="91" t="n"/>
      <c r="M1321" s="91" t="n"/>
      <c r="N1321" s="88" t="n"/>
    </row>
    <row r="1322" ht="15.75" customHeight="1" s="64">
      <c r="A1322" s="88" t="n"/>
      <c r="B1322" s="120">
        <f t="array" ref="B1322:B1322">IF(A1322="","",IFERROR(INDEX('3.員工名單'!$B:$B,MATCH(A1322,'3.員工名單'!$A:$A,0)),"查無此員工"))</f>
        <v/>
      </c>
      <c r="C1322" s="120">
        <f t="array" ref="C1322:C1322">IF(A1322="","",IFERROR(INDEX('3.員工名單'!$C:$C,MATCH(A1322,'3.員工名單'!$A:$A,0)),""))</f>
        <v/>
      </c>
      <c r="D1322" s="120">
        <f t="array" ref="D1322:D1322">IF(A1322="","",IFERROR(INDEX('3.員工名單'!$D:$D,MATCH(A1322,'3.員工名單'!$A:$A,0)),""))</f>
        <v/>
      </c>
      <c r="E1322" s="120">
        <f t="array" ref="E1322:E1322">IF(F1322="","",IFERROR(INDEX('1.職能辭典'!$A:$A,MATCH(F1322,'1.職能辭典'!$C:$C,0)),""))</f>
        <v/>
      </c>
      <c r="F1322" s="94" t="n"/>
      <c r="G1322" s="120">
        <f t="array" ref="G1322:G1322">IF(OR(D1322="",F1322=""),"",IFERROR(IF(AND(OR(INDEX('1.職能辭典'!$J:$J,MATCH(F1322,'1.職能辭典'!$C:$C,0))="全部",INDEX('3.員工名單'!$H:$H,MATCH(A1322,'3.員工名單'!$A:$A,0))="兩款共用",INDEX('3.員工名單'!$H:$H,MATCH(A1322,'3.員工名單'!$A:$A,0))=INDEX('1.職能辭典'!$J:$J,MATCH(F1322,'1.職能辭典'!$C:$C,0))),OR(INDEX('1.職能辭典'!$K:$K,MATCH(F1322,'1.職能辭典'!$C:$C,0))="全部",SUMPRODUCT(ISNUMBER(SEARCH({"經營","管理","財務","企劃","營運","技術","數據","美術","測試","客服"},INDEX('3.員工名單'!$I:$I,MATCH(A1322,'3.員工名單'!$A:$A,0))))*ISNUMBER(SEARCH({"經營","管理","財務","企劃","營運","技術","數據","美術","測試","客服"},INDEX('1.職能辭典'!$K:$K,MATCH(F1322,'1.職能辭典'!$C:$C,0)))))&gt;0)),INDEX('2.職務職能需求'!$B$2:$F$28,MATCH(F1322,'2.職務職能需求'!$A$2:$A$28,0),MATCH(D1322,'2.職務職能需求'!$B$1:$F$1,0)),0),""))</f>
        <v/>
      </c>
      <c r="H1322" s="94" t="n"/>
      <c r="I1322" s="94" t="n"/>
      <c r="J1322" s="120">
        <f>IF(OR(G1322="",I1322="",G1322=0),"",I1322-G1322)</f>
        <v/>
      </c>
      <c r="K1322" s="120">
        <f>IF(G1322="","",IF(G1322=0,"不適用",IF(I1322="","待評核",IF(I1322&gt;=G1322,IF(I1322&gt;G1322,"超越","達標"),"待發展"))))</f>
        <v/>
      </c>
      <c r="L1322" s="91" t="n"/>
      <c r="M1322" s="91" t="n"/>
      <c r="N1322" s="88" t="n"/>
    </row>
    <row r="1323" ht="15.75" customHeight="1" s="64">
      <c r="A1323" s="88" t="n"/>
      <c r="B1323" s="120">
        <f t="array" ref="B1323:B1323">IF(A1323="","",IFERROR(INDEX('3.員工名單'!$B:$B,MATCH(A1323,'3.員工名單'!$A:$A,0)),"查無此員工"))</f>
        <v/>
      </c>
      <c r="C1323" s="120">
        <f t="array" ref="C1323:C1323">IF(A1323="","",IFERROR(INDEX('3.員工名單'!$C:$C,MATCH(A1323,'3.員工名單'!$A:$A,0)),""))</f>
        <v/>
      </c>
      <c r="D1323" s="120">
        <f t="array" ref="D1323:D1323">IF(A1323="","",IFERROR(INDEX('3.員工名單'!$D:$D,MATCH(A1323,'3.員工名單'!$A:$A,0)),""))</f>
        <v/>
      </c>
      <c r="E1323" s="120">
        <f t="array" ref="E1323:E1323">IF(F1323="","",IFERROR(INDEX('1.職能辭典'!$A:$A,MATCH(F1323,'1.職能辭典'!$C:$C,0)),""))</f>
        <v/>
      </c>
      <c r="F1323" s="94" t="n"/>
      <c r="G1323" s="120">
        <f t="array" ref="G1323:G1323">IF(OR(D1323="",F1323=""),"",IFERROR(IF(AND(OR(INDEX('1.職能辭典'!$J:$J,MATCH(F1323,'1.職能辭典'!$C:$C,0))="全部",INDEX('3.員工名單'!$H:$H,MATCH(A1323,'3.員工名單'!$A:$A,0))="兩款共用",INDEX('3.員工名單'!$H:$H,MATCH(A1323,'3.員工名單'!$A:$A,0))=INDEX('1.職能辭典'!$J:$J,MATCH(F1323,'1.職能辭典'!$C:$C,0))),OR(INDEX('1.職能辭典'!$K:$K,MATCH(F1323,'1.職能辭典'!$C:$C,0))="全部",SUMPRODUCT(ISNUMBER(SEARCH({"經營","管理","財務","企劃","營運","技術","數據","美術","測試","客服"},INDEX('3.員工名單'!$I:$I,MATCH(A1323,'3.員工名單'!$A:$A,0))))*ISNUMBER(SEARCH({"經營","管理","財務","企劃","營運","技術","數據","美術","測試","客服"},INDEX('1.職能辭典'!$K:$K,MATCH(F1323,'1.職能辭典'!$C:$C,0)))))&gt;0)),INDEX('2.職務職能需求'!$B$2:$F$28,MATCH(F1323,'2.職務職能需求'!$A$2:$A$28,0),MATCH(D1323,'2.職務職能需求'!$B$1:$F$1,0)),0),""))</f>
        <v/>
      </c>
      <c r="H1323" s="94" t="n"/>
      <c r="I1323" s="94" t="n"/>
      <c r="J1323" s="120">
        <f>IF(OR(G1323="",I1323="",G1323=0),"",I1323-G1323)</f>
        <v/>
      </c>
      <c r="K1323" s="120">
        <f>IF(G1323="","",IF(G1323=0,"不適用",IF(I1323="","待評核",IF(I1323&gt;=G1323,IF(I1323&gt;G1323,"超越","達標"),"待發展"))))</f>
        <v/>
      </c>
      <c r="L1323" s="91" t="n"/>
      <c r="M1323" s="91" t="n"/>
      <c r="N1323" s="88" t="n"/>
    </row>
    <row r="1324" ht="15.75" customHeight="1" s="64">
      <c r="A1324" s="88" t="n"/>
      <c r="B1324" s="120">
        <f t="array" ref="B1324:B1324">IF(A1324="","",IFERROR(INDEX('3.員工名單'!$B:$B,MATCH(A1324,'3.員工名單'!$A:$A,0)),"查無此員工"))</f>
        <v/>
      </c>
      <c r="C1324" s="120">
        <f t="array" ref="C1324:C1324">IF(A1324="","",IFERROR(INDEX('3.員工名單'!$C:$C,MATCH(A1324,'3.員工名單'!$A:$A,0)),""))</f>
        <v/>
      </c>
      <c r="D1324" s="120">
        <f t="array" ref="D1324:D1324">IF(A1324="","",IFERROR(INDEX('3.員工名單'!$D:$D,MATCH(A1324,'3.員工名單'!$A:$A,0)),""))</f>
        <v/>
      </c>
      <c r="E1324" s="120">
        <f t="array" ref="E1324:E1324">IF(F1324="","",IFERROR(INDEX('1.職能辭典'!$A:$A,MATCH(F1324,'1.職能辭典'!$C:$C,0)),""))</f>
        <v/>
      </c>
      <c r="F1324" s="94" t="n"/>
      <c r="G1324" s="120">
        <f t="array" ref="G1324:G1324">IF(OR(D1324="",F1324=""),"",IFERROR(IF(AND(OR(INDEX('1.職能辭典'!$J:$J,MATCH(F1324,'1.職能辭典'!$C:$C,0))="全部",INDEX('3.員工名單'!$H:$H,MATCH(A1324,'3.員工名單'!$A:$A,0))="兩款共用",INDEX('3.員工名單'!$H:$H,MATCH(A1324,'3.員工名單'!$A:$A,0))=INDEX('1.職能辭典'!$J:$J,MATCH(F1324,'1.職能辭典'!$C:$C,0))),OR(INDEX('1.職能辭典'!$K:$K,MATCH(F1324,'1.職能辭典'!$C:$C,0))="全部",SUMPRODUCT(ISNUMBER(SEARCH({"經營","管理","財務","企劃","營運","技術","數據","美術","測試","客服"},INDEX('3.員工名單'!$I:$I,MATCH(A1324,'3.員工名單'!$A:$A,0))))*ISNUMBER(SEARCH({"經營","管理","財務","企劃","營運","技術","數據","美術","測試","客服"},INDEX('1.職能辭典'!$K:$K,MATCH(F1324,'1.職能辭典'!$C:$C,0)))))&gt;0)),INDEX('2.職務職能需求'!$B$2:$F$28,MATCH(F1324,'2.職務職能需求'!$A$2:$A$28,0),MATCH(D1324,'2.職務職能需求'!$B$1:$F$1,0)),0),""))</f>
        <v/>
      </c>
      <c r="H1324" s="94" t="n"/>
      <c r="I1324" s="94" t="n"/>
      <c r="J1324" s="120">
        <f>IF(OR(G1324="",I1324="",G1324=0),"",I1324-G1324)</f>
        <v/>
      </c>
      <c r="K1324" s="120">
        <f>IF(G1324="","",IF(G1324=0,"不適用",IF(I1324="","待評核",IF(I1324&gt;=G1324,IF(I1324&gt;G1324,"超越","達標"),"待發展"))))</f>
        <v/>
      </c>
      <c r="L1324" s="91" t="n"/>
      <c r="M1324" s="91" t="n"/>
      <c r="N1324" s="88" t="n"/>
    </row>
    <row r="1325" ht="15.75" customHeight="1" s="64">
      <c r="A1325" s="88" t="n"/>
      <c r="B1325" s="120">
        <f t="array" ref="B1325:B1325">IF(A1325="","",IFERROR(INDEX('3.員工名單'!$B:$B,MATCH(A1325,'3.員工名單'!$A:$A,0)),"查無此員工"))</f>
        <v/>
      </c>
      <c r="C1325" s="120">
        <f t="array" ref="C1325:C1325">IF(A1325="","",IFERROR(INDEX('3.員工名單'!$C:$C,MATCH(A1325,'3.員工名單'!$A:$A,0)),""))</f>
        <v/>
      </c>
      <c r="D1325" s="120">
        <f t="array" ref="D1325:D1325">IF(A1325="","",IFERROR(INDEX('3.員工名單'!$D:$D,MATCH(A1325,'3.員工名單'!$A:$A,0)),""))</f>
        <v/>
      </c>
      <c r="E1325" s="120">
        <f t="array" ref="E1325:E1325">IF(F1325="","",IFERROR(INDEX('1.職能辭典'!$A:$A,MATCH(F1325,'1.職能辭典'!$C:$C,0)),""))</f>
        <v/>
      </c>
      <c r="F1325" s="94" t="n"/>
      <c r="G1325" s="120">
        <f t="array" ref="G1325:G1325">IF(OR(D1325="",F1325=""),"",IFERROR(IF(AND(OR(INDEX('1.職能辭典'!$J:$J,MATCH(F1325,'1.職能辭典'!$C:$C,0))="全部",INDEX('3.員工名單'!$H:$H,MATCH(A1325,'3.員工名單'!$A:$A,0))="兩款共用",INDEX('3.員工名單'!$H:$H,MATCH(A1325,'3.員工名單'!$A:$A,0))=INDEX('1.職能辭典'!$J:$J,MATCH(F1325,'1.職能辭典'!$C:$C,0))),OR(INDEX('1.職能辭典'!$K:$K,MATCH(F1325,'1.職能辭典'!$C:$C,0))="全部",SUMPRODUCT(ISNUMBER(SEARCH({"經營","管理","財務","企劃","營運","技術","數據","美術","測試","客服"},INDEX('3.員工名單'!$I:$I,MATCH(A1325,'3.員工名單'!$A:$A,0))))*ISNUMBER(SEARCH({"經營","管理","財務","企劃","營運","技術","數據","美術","測試","客服"},INDEX('1.職能辭典'!$K:$K,MATCH(F1325,'1.職能辭典'!$C:$C,0)))))&gt;0)),INDEX('2.職務職能需求'!$B$2:$F$28,MATCH(F1325,'2.職務職能需求'!$A$2:$A$28,0),MATCH(D1325,'2.職務職能需求'!$B$1:$F$1,0)),0),""))</f>
        <v/>
      </c>
      <c r="H1325" s="94" t="n"/>
      <c r="I1325" s="94" t="n"/>
      <c r="J1325" s="120">
        <f>IF(OR(G1325="",I1325="",G1325=0),"",I1325-G1325)</f>
        <v/>
      </c>
      <c r="K1325" s="120">
        <f>IF(G1325="","",IF(G1325=0,"不適用",IF(I1325="","待評核",IF(I1325&gt;=G1325,IF(I1325&gt;G1325,"超越","達標"),"待發展"))))</f>
        <v/>
      </c>
      <c r="L1325" s="91" t="n"/>
      <c r="M1325" s="91" t="n"/>
      <c r="N1325" s="88" t="n"/>
    </row>
    <row r="1326" ht="15.75" customHeight="1" s="64">
      <c r="A1326" s="88" t="n"/>
      <c r="B1326" s="120">
        <f t="array" ref="B1326:B1326">IF(A1326="","",IFERROR(INDEX('3.員工名單'!$B:$B,MATCH(A1326,'3.員工名單'!$A:$A,0)),"查無此員工"))</f>
        <v/>
      </c>
      <c r="C1326" s="120">
        <f t="array" ref="C1326:C1326">IF(A1326="","",IFERROR(INDEX('3.員工名單'!$C:$C,MATCH(A1326,'3.員工名單'!$A:$A,0)),""))</f>
        <v/>
      </c>
      <c r="D1326" s="120">
        <f t="array" ref="D1326:D1326">IF(A1326="","",IFERROR(INDEX('3.員工名單'!$D:$D,MATCH(A1326,'3.員工名單'!$A:$A,0)),""))</f>
        <v/>
      </c>
      <c r="E1326" s="120">
        <f t="array" ref="E1326:E1326">IF(F1326="","",IFERROR(INDEX('1.職能辭典'!$A:$A,MATCH(F1326,'1.職能辭典'!$C:$C,0)),""))</f>
        <v/>
      </c>
      <c r="F1326" s="94" t="n"/>
      <c r="G1326" s="120">
        <f t="array" ref="G1326:G1326">IF(OR(D1326="",F1326=""),"",IFERROR(IF(AND(OR(INDEX('1.職能辭典'!$J:$J,MATCH(F1326,'1.職能辭典'!$C:$C,0))="全部",INDEX('3.員工名單'!$H:$H,MATCH(A1326,'3.員工名單'!$A:$A,0))="兩款共用",INDEX('3.員工名單'!$H:$H,MATCH(A1326,'3.員工名單'!$A:$A,0))=INDEX('1.職能辭典'!$J:$J,MATCH(F1326,'1.職能辭典'!$C:$C,0))),OR(INDEX('1.職能辭典'!$K:$K,MATCH(F1326,'1.職能辭典'!$C:$C,0))="全部",SUMPRODUCT(ISNUMBER(SEARCH({"經營","管理","財務","企劃","營運","技術","數據","美術","測試","客服"},INDEX('3.員工名單'!$I:$I,MATCH(A1326,'3.員工名單'!$A:$A,0))))*ISNUMBER(SEARCH({"經營","管理","財務","企劃","營運","技術","數據","美術","測試","客服"},INDEX('1.職能辭典'!$K:$K,MATCH(F1326,'1.職能辭典'!$C:$C,0)))))&gt;0)),INDEX('2.職務職能需求'!$B$2:$F$28,MATCH(F1326,'2.職務職能需求'!$A$2:$A$28,0),MATCH(D1326,'2.職務職能需求'!$B$1:$F$1,0)),0),""))</f>
        <v/>
      </c>
      <c r="H1326" s="94" t="n"/>
      <c r="I1326" s="94" t="n"/>
      <c r="J1326" s="120">
        <f>IF(OR(G1326="",I1326="",G1326=0),"",I1326-G1326)</f>
        <v/>
      </c>
      <c r="K1326" s="120">
        <f>IF(G1326="","",IF(G1326=0,"不適用",IF(I1326="","待評核",IF(I1326&gt;=G1326,IF(I1326&gt;G1326,"超越","達標"),"待發展"))))</f>
        <v/>
      </c>
      <c r="L1326" s="91" t="n"/>
      <c r="M1326" s="91" t="n"/>
      <c r="N1326" s="88" t="n"/>
    </row>
    <row r="1327" ht="15.75" customHeight="1" s="64">
      <c r="A1327" s="88" t="n"/>
      <c r="B1327" s="120">
        <f t="array" ref="B1327:B1327">IF(A1327="","",IFERROR(INDEX('3.員工名單'!$B:$B,MATCH(A1327,'3.員工名單'!$A:$A,0)),"查無此員工"))</f>
        <v/>
      </c>
      <c r="C1327" s="120">
        <f t="array" ref="C1327:C1327">IF(A1327="","",IFERROR(INDEX('3.員工名單'!$C:$C,MATCH(A1327,'3.員工名單'!$A:$A,0)),""))</f>
        <v/>
      </c>
      <c r="D1327" s="120">
        <f t="array" ref="D1327:D1327">IF(A1327="","",IFERROR(INDEX('3.員工名單'!$D:$D,MATCH(A1327,'3.員工名單'!$A:$A,0)),""))</f>
        <v/>
      </c>
      <c r="E1327" s="120">
        <f t="array" ref="E1327:E1327">IF(F1327="","",IFERROR(INDEX('1.職能辭典'!$A:$A,MATCH(F1327,'1.職能辭典'!$C:$C,0)),""))</f>
        <v/>
      </c>
      <c r="F1327" s="94" t="n"/>
      <c r="G1327" s="120">
        <f t="array" ref="G1327:G1327">IF(OR(D1327="",F1327=""),"",IFERROR(IF(AND(OR(INDEX('1.職能辭典'!$J:$J,MATCH(F1327,'1.職能辭典'!$C:$C,0))="全部",INDEX('3.員工名單'!$H:$H,MATCH(A1327,'3.員工名單'!$A:$A,0))="兩款共用",INDEX('3.員工名單'!$H:$H,MATCH(A1327,'3.員工名單'!$A:$A,0))=INDEX('1.職能辭典'!$J:$J,MATCH(F1327,'1.職能辭典'!$C:$C,0))),OR(INDEX('1.職能辭典'!$K:$K,MATCH(F1327,'1.職能辭典'!$C:$C,0))="全部",SUMPRODUCT(ISNUMBER(SEARCH({"經營","管理","財務","企劃","營運","技術","數據","美術","測試","客服"},INDEX('3.員工名單'!$I:$I,MATCH(A1327,'3.員工名單'!$A:$A,0))))*ISNUMBER(SEARCH({"經營","管理","財務","企劃","營運","技術","數據","美術","測試","客服"},INDEX('1.職能辭典'!$K:$K,MATCH(F1327,'1.職能辭典'!$C:$C,0)))))&gt;0)),INDEX('2.職務職能需求'!$B$2:$F$28,MATCH(F1327,'2.職務職能需求'!$A$2:$A$28,0),MATCH(D1327,'2.職務職能需求'!$B$1:$F$1,0)),0),""))</f>
        <v/>
      </c>
      <c r="H1327" s="94" t="n"/>
      <c r="I1327" s="94" t="n"/>
      <c r="J1327" s="120">
        <f>IF(OR(G1327="",I1327="",G1327=0),"",I1327-G1327)</f>
        <v/>
      </c>
      <c r="K1327" s="120">
        <f>IF(G1327="","",IF(G1327=0,"不適用",IF(I1327="","待評核",IF(I1327&gt;=G1327,IF(I1327&gt;G1327,"超越","達標"),"待發展"))))</f>
        <v/>
      </c>
      <c r="L1327" s="91" t="n"/>
      <c r="M1327" s="91" t="n"/>
      <c r="N1327" s="88" t="n"/>
    </row>
    <row r="1328" ht="15.75" customHeight="1" s="64">
      <c r="A1328" s="88" t="n"/>
      <c r="B1328" s="120">
        <f t="array" ref="B1328:B1328">IF(A1328="","",IFERROR(INDEX('3.員工名單'!$B:$B,MATCH(A1328,'3.員工名單'!$A:$A,0)),"查無此員工"))</f>
        <v/>
      </c>
      <c r="C1328" s="120">
        <f t="array" ref="C1328:C1328">IF(A1328="","",IFERROR(INDEX('3.員工名單'!$C:$C,MATCH(A1328,'3.員工名單'!$A:$A,0)),""))</f>
        <v/>
      </c>
      <c r="D1328" s="120">
        <f t="array" ref="D1328:D1328">IF(A1328="","",IFERROR(INDEX('3.員工名單'!$D:$D,MATCH(A1328,'3.員工名單'!$A:$A,0)),""))</f>
        <v/>
      </c>
      <c r="E1328" s="120">
        <f t="array" ref="E1328:E1328">IF(F1328="","",IFERROR(INDEX('1.職能辭典'!$A:$A,MATCH(F1328,'1.職能辭典'!$C:$C,0)),""))</f>
        <v/>
      </c>
      <c r="F1328" s="94" t="n"/>
      <c r="G1328" s="120">
        <f t="array" ref="G1328:G1328">IF(OR(D1328="",F1328=""),"",IFERROR(IF(AND(OR(INDEX('1.職能辭典'!$J:$J,MATCH(F1328,'1.職能辭典'!$C:$C,0))="全部",INDEX('3.員工名單'!$H:$H,MATCH(A1328,'3.員工名單'!$A:$A,0))="兩款共用",INDEX('3.員工名單'!$H:$H,MATCH(A1328,'3.員工名單'!$A:$A,0))=INDEX('1.職能辭典'!$J:$J,MATCH(F1328,'1.職能辭典'!$C:$C,0))),OR(INDEX('1.職能辭典'!$K:$K,MATCH(F1328,'1.職能辭典'!$C:$C,0))="全部",SUMPRODUCT(ISNUMBER(SEARCH({"經營","管理","財務","企劃","營運","技術","數據","美術","測試","客服"},INDEX('3.員工名單'!$I:$I,MATCH(A1328,'3.員工名單'!$A:$A,0))))*ISNUMBER(SEARCH({"經營","管理","財務","企劃","營運","技術","數據","美術","測試","客服"},INDEX('1.職能辭典'!$K:$K,MATCH(F1328,'1.職能辭典'!$C:$C,0)))))&gt;0)),INDEX('2.職務職能需求'!$B$2:$F$28,MATCH(F1328,'2.職務職能需求'!$A$2:$A$28,0),MATCH(D1328,'2.職務職能需求'!$B$1:$F$1,0)),0),""))</f>
        <v/>
      </c>
      <c r="H1328" s="94" t="n"/>
      <c r="I1328" s="94" t="n"/>
      <c r="J1328" s="120">
        <f>IF(OR(G1328="",I1328="",G1328=0),"",I1328-G1328)</f>
        <v/>
      </c>
      <c r="K1328" s="120">
        <f>IF(G1328="","",IF(G1328=0,"不適用",IF(I1328="","待評核",IF(I1328&gt;=G1328,IF(I1328&gt;G1328,"超越","達標"),"待發展"))))</f>
        <v/>
      </c>
      <c r="L1328" s="91" t="n"/>
      <c r="M1328" s="91" t="n"/>
      <c r="N1328" s="88" t="n"/>
    </row>
    <row r="1329" ht="15.75" customHeight="1" s="64">
      <c r="A1329" s="88" t="n"/>
      <c r="B1329" s="120">
        <f t="array" ref="B1329:B1329">IF(A1329="","",IFERROR(INDEX('3.員工名單'!$B:$B,MATCH(A1329,'3.員工名單'!$A:$A,0)),"查無此員工"))</f>
        <v/>
      </c>
      <c r="C1329" s="120">
        <f t="array" ref="C1329:C1329">IF(A1329="","",IFERROR(INDEX('3.員工名單'!$C:$C,MATCH(A1329,'3.員工名單'!$A:$A,0)),""))</f>
        <v/>
      </c>
      <c r="D1329" s="120">
        <f t="array" ref="D1329:D1329">IF(A1329="","",IFERROR(INDEX('3.員工名單'!$D:$D,MATCH(A1329,'3.員工名單'!$A:$A,0)),""))</f>
        <v/>
      </c>
      <c r="E1329" s="120">
        <f t="array" ref="E1329:E1329">IF(F1329="","",IFERROR(INDEX('1.職能辭典'!$A:$A,MATCH(F1329,'1.職能辭典'!$C:$C,0)),""))</f>
        <v/>
      </c>
      <c r="F1329" s="94" t="n"/>
      <c r="G1329" s="120">
        <f t="array" ref="G1329:G1329">IF(OR(D1329="",F1329=""),"",IFERROR(IF(AND(OR(INDEX('1.職能辭典'!$J:$J,MATCH(F1329,'1.職能辭典'!$C:$C,0))="全部",INDEX('3.員工名單'!$H:$H,MATCH(A1329,'3.員工名單'!$A:$A,0))="兩款共用",INDEX('3.員工名單'!$H:$H,MATCH(A1329,'3.員工名單'!$A:$A,0))=INDEX('1.職能辭典'!$J:$J,MATCH(F1329,'1.職能辭典'!$C:$C,0))),OR(INDEX('1.職能辭典'!$K:$K,MATCH(F1329,'1.職能辭典'!$C:$C,0))="全部",SUMPRODUCT(ISNUMBER(SEARCH({"經營","管理","財務","企劃","營運","技術","數據","美術","測試","客服"},INDEX('3.員工名單'!$I:$I,MATCH(A1329,'3.員工名單'!$A:$A,0))))*ISNUMBER(SEARCH({"經營","管理","財務","企劃","營運","技術","數據","美術","測試","客服"},INDEX('1.職能辭典'!$K:$K,MATCH(F1329,'1.職能辭典'!$C:$C,0)))))&gt;0)),INDEX('2.職務職能需求'!$B$2:$F$28,MATCH(F1329,'2.職務職能需求'!$A$2:$A$28,0),MATCH(D1329,'2.職務職能需求'!$B$1:$F$1,0)),0),""))</f>
        <v/>
      </c>
      <c r="H1329" s="94" t="n"/>
      <c r="I1329" s="94" t="n"/>
      <c r="J1329" s="120">
        <f>IF(OR(G1329="",I1329="",G1329=0),"",I1329-G1329)</f>
        <v/>
      </c>
      <c r="K1329" s="120">
        <f>IF(G1329="","",IF(G1329=0,"不適用",IF(I1329="","待評核",IF(I1329&gt;=G1329,IF(I1329&gt;G1329,"超越","達標"),"待發展"))))</f>
        <v/>
      </c>
      <c r="L1329" s="91" t="n"/>
      <c r="M1329" s="91" t="n"/>
      <c r="N1329" s="88" t="n"/>
    </row>
    <row r="1330" ht="15.75" customHeight="1" s="64">
      <c r="A1330" s="88" t="n"/>
      <c r="B1330" s="120">
        <f t="array" ref="B1330:B1330">IF(A1330="","",IFERROR(INDEX('3.員工名單'!$B:$B,MATCH(A1330,'3.員工名單'!$A:$A,0)),"查無此員工"))</f>
        <v/>
      </c>
      <c r="C1330" s="120">
        <f t="array" ref="C1330:C1330">IF(A1330="","",IFERROR(INDEX('3.員工名單'!$C:$C,MATCH(A1330,'3.員工名單'!$A:$A,0)),""))</f>
        <v/>
      </c>
      <c r="D1330" s="120">
        <f t="array" ref="D1330:D1330">IF(A1330="","",IFERROR(INDEX('3.員工名單'!$D:$D,MATCH(A1330,'3.員工名單'!$A:$A,0)),""))</f>
        <v/>
      </c>
      <c r="E1330" s="120">
        <f t="array" ref="E1330:E1330">IF(F1330="","",IFERROR(INDEX('1.職能辭典'!$A:$A,MATCH(F1330,'1.職能辭典'!$C:$C,0)),""))</f>
        <v/>
      </c>
      <c r="F1330" s="94" t="n"/>
      <c r="G1330" s="120">
        <f t="array" ref="G1330:G1330">IF(OR(D1330="",F1330=""),"",IFERROR(IF(AND(OR(INDEX('1.職能辭典'!$J:$J,MATCH(F1330,'1.職能辭典'!$C:$C,0))="全部",INDEX('3.員工名單'!$H:$H,MATCH(A1330,'3.員工名單'!$A:$A,0))="兩款共用",INDEX('3.員工名單'!$H:$H,MATCH(A1330,'3.員工名單'!$A:$A,0))=INDEX('1.職能辭典'!$J:$J,MATCH(F1330,'1.職能辭典'!$C:$C,0))),OR(INDEX('1.職能辭典'!$K:$K,MATCH(F1330,'1.職能辭典'!$C:$C,0))="全部",SUMPRODUCT(ISNUMBER(SEARCH({"經營","管理","財務","企劃","營運","技術","數據","美術","測試","客服"},INDEX('3.員工名單'!$I:$I,MATCH(A1330,'3.員工名單'!$A:$A,0))))*ISNUMBER(SEARCH({"經營","管理","財務","企劃","營運","技術","數據","美術","測試","客服"},INDEX('1.職能辭典'!$K:$K,MATCH(F1330,'1.職能辭典'!$C:$C,0)))))&gt;0)),INDEX('2.職務職能需求'!$B$2:$F$28,MATCH(F1330,'2.職務職能需求'!$A$2:$A$28,0),MATCH(D1330,'2.職務職能需求'!$B$1:$F$1,0)),0),""))</f>
        <v/>
      </c>
      <c r="H1330" s="94" t="n"/>
      <c r="I1330" s="94" t="n"/>
      <c r="J1330" s="120">
        <f>IF(OR(G1330="",I1330="",G1330=0),"",I1330-G1330)</f>
        <v/>
      </c>
      <c r="K1330" s="120">
        <f>IF(G1330="","",IF(G1330=0,"不適用",IF(I1330="","待評核",IF(I1330&gt;=G1330,IF(I1330&gt;G1330,"超越","達標"),"待發展"))))</f>
        <v/>
      </c>
      <c r="L1330" s="91" t="n"/>
      <c r="M1330" s="91" t="n"/>
      <c r="N1330" s="88" t="n"/>
    </row>
    <row r="1331" ht="15.75" customHeight="1" s="64">
      <c r="A1331" s="88" t="n"/>
      <c r="B1331" s="120">
        <f t="array" ref="B1331:B1331">IF(A1331="","",IFERROR(INDEX('3.員工名單'!$B:$B,MATCH(A1331,'3.員工名單'!$A:$A,0)),"查無此員工"))</f>
        <v/>
      </c>
      <c r="C1331" s="120">
        <f t="array" ref="C1331:C1331">IF(A1331="","",IFERROR(INDEX('3.員工名單'!$C:$C,MATCH(A1331,'3.員工名單'!$A:$A,0)),""))</f>
        <v/>
      </c>
      <c r="D1331" s="120">
        <f t="array" ref="D1331:D1331">IF(A1331="","",IFERROR(INDEX('3.員工名單'!$D:$D,MATCH(A1331,'3.員工名單'!$A:$A,0)),""))</f>
        <v/>
      </c>
      <c r="E1331" s="120">
        <f t="array" ref="E1331:E1331">IF(F1331="","",IFERROR(INDEX('1.職能辭典'!$A:$A,MATCH(F1331,'1.職能辭典'!$C:$C,0)),""))</f>
        <v/>
      </c>
      <c r="F1331" s="94" t="n"/>
      <c r="G1331" s="120">
        <f t="array" ref="G1331:G1331">IF(OR(D1331="",F1331=""),"",IFERROR(IF(AND(OR(INDEX('1.職能辭典'!$J:$J,MATCH(F1331,'1.職能辭典'!$C:$C,0))="全部",INDEX('3.員工名單'!$H:$H,MATCH(A1331,'3.員工名單'!$A:$A,0))="兩款共用",INDEX('3.員工名單'!$H:$H,MATCH(A1331,'3.員工名單'!$A:$A,0))=INDEX('1.職能辭典'!$J:$J,MATCH(F1331,'1.職能辭典'!$C:$C,0))),OR(INDEX('1.職能辭典'!$K:$K,MATCH(F1331,'1.職能辭典'!$C:$C,0))="全部",SUMPRODUCT(ISNUMBER(SEARCH({"經營","管理","財務","企劃","營運","技術","數據","美術","測試","客服"},INDEX('3.員工名單'!$I:$I,MATCH(A1331,'3.員工名單'!$A:$A,0))))*ISNUMBER(SEARCH({"經營","管理","財務","企劃","營運","技術","數據","美術","測試","客服"},INDEX('1.職能辭典'!$K:$K,MATCH(F1331,'1.職能辭典'!$C:$C,0)))))&gt;0)),INDEX('2.職務職能需求'!$B$2:$F$28,MATCH(F1331,'2.職務職能需求'!$A$2:$A$28,0),MATCH(D1331,'2.職務職能需求'!$B$1:$F$1,0)),0),""))</f>
        <v/>
      </c>
      <c r="H1331" s="94" t="n"/>
      <c r="I1331" s="94" t="n"/>
      <c r="J1331" s="120">
        <f>IF(OR(G1331="",I1331="",G1331=0),"",I1331-G1331)</f>
        <v/>
      </c>
      <c r="K1331" s="120">
        <f>IF(G1331="","",IF(G1331=0,"不適用",IF(I1331="","待評核",IF(I1331&gt;=G1331,IF(I1331&gt;G1331,"超越","達標"),"待發展"))))</f>
        <v/>
      </c>
      <c r="L1331" s="91" t="n"/>
      <c r="M1331" s="91" t="n"/>
      <c r="N1331" s="88" t="n"/>
    </row>
    <row r="1332" ht="15.75" customHeight="1" s="64">
      <c r="A1332" s="88" t="n"/>
      <c r="B1332" s="120">
        <f t="array" ref="B1332:B1332">IF(A1332="","",IFERROR(INDEX('3.員工名單'!$B:$B,MATCH(A1332,'3.員工名單'!$A:$A,0)),"查無此員工"))</f>
        <v/>
      </c>
      <c r="C1332" s="120">
        <f t="array" ref="C1332:C1332">IF(A1332="","",IFERROR(INDEX('3.員工名單'!$C:$C,MATCH(A1332,'3.員工名單'!$A:$A,0)),""))</f>
        <v/>
      </c>
      <c r="D1332" s="120">
        <f t="array" ref="D1332:D1332">IF(A1332="","",IFERROR(INDEX('3.員工名單'!$D:$D,MATCH(A1332,'3.員工名單'!$A:$A,0)),""))</f>
        <v/>
      </c>
      <c r="E1332" s="120">
        <f t="array" ref="E1332:E1332">IF(F1332="","",IFERROR(INDEX('1.職能辭典'!$A:$A,MATCH(F1332,'1.職能辭典'!$C:$C,0)),""))</f>
        <v/>
      </c>
      <c r="F1332" s="94" t="n"/>
      <c r="G1332" s="120">
        <f t="array" ref="G1332:G1332">IF(OR(D1332="",F1332=""),"",IFERROR(IF(AND(OR(INDEX('1.職能辭典'!$J:$J,MATCH(F1332,'1.職能辭典'!$C:$C,0))="全部",INDEX('3.員工名單'!$H:$H,MATCH(A1332,'3.員工名單'!$A:$A,0))="兩款共用",INDEX('3.員工名單'!$H:$H,MATCH(A1332,'3.員工名單'!$A:$A,0))=INDEX('1.職能辭典'!$J:$J,MATCH(F1332,'1.職能辭典'!$C:$C,0))),OR(INDEX('1.職能辭典'!$K:$K,MATCH(F1332,'1.職能辭典'!$C:$C,0))="全部",SUMPRODUCT(ISNUMBER(SEARCH({"經營","管理","財務","企劃","營運","技術","數據","美術","測試","客服"},INDEX('3.員工名單'!$I:$I,MATCH(A1332,'3.員工名單'!$A:$A,0))))*ISNUMBER(SEARCH({"經營","管理","財務","企劃","營運","技術","數據","美術","測試","客服"},INDEX('1.職能辭典'!$K:$K,MATCH(F1332,'1.職能辭典'!$C:$C,0)))))&gt;0)),INDEX('2.職務職能需求'!$B$2:$F$28,MATCH(F1332,'2.職務職能需求'!$A$2:$A$28,0),MATCH(D1332,'2.職務職能需求'!$B$1:$F$1,0)),0),""))</f>
        <v/>
      </c>
      <c r="H1332" s="94" t="n"/>
      <c r="I1332" s="94" t="n"/>
      <c r="J1332" s="120">
        <f>IF(OR(G1332="",I1332="",G1332=0),"",I1332-G1332)</f>
        <v/>
      </c>
      <c r="K1332" s="120">
        <f>IF(G1332="","",IF(G1332=0,"不適用",IF(I1332="","待評核",IF(I1332&gt;=G1332,IF(I1332&gt;G1332,"超越","達標"),"待發展"))))</f>
        <v/>
      </c>
      <c r="L1332" s="91" t="n"/>
      <c r="M1332" s="91" t="n"/>
      <c r="N1332" s="88" t="n"/>
    </row>
    <row r="1333" ht="15.75" customHeight="1" s="64">
      <c r="A1333" s="88" t="n"/>
      <c r="B1333" s="120">
        <f t="array" ref="B1333:B1333">IF(A1333="","",IFERROR(INDEX('3.員工名單'!$B:$B,MATCH(A1333,'3.員工名單'!$A:$A,0)),"查無此員工"))</f>
        <v/>
      </c>
      <c r="C1333" s="120">
        <f t="array" ref="C1333:C1333">IF(A1333="","",IFERROR(INDEX('3.員工名單'!$C:$C,MATCH(A1333,'3.員工名單'!$A:$A,0)),""))</f>
        <v/>
      </c>
      <c r="D1333" s="120">
        <f t="array" ref="D1333:D1333">IF(A1333="","",IFERROR(INDEX('3.員工名單'!$D:$D,MATCH(A1333,'3.員工名單'!$A:$A,0)),""))</f>
        <v/>
      </c>
      <c r="E1333" s="120">
        <f t="array" ref="E1333:E1333">IF(F1333="","",IFERROR(INDEX('1.職能辭典'!$A:$A,MATCH(F1333,'1.職能辭典'!$C:$C,0)),""))</f>
        <v/>
      </c>
      <c r="F1333" s="94" t="n"/>
      <c r="G1333" s="120">
        <f t="array" ref="G1333:G1333">IF(OR(D1333="",F1333=""),"",IFERROR(IF(AND(OR(INDEX('1.職能辭典'!$J:$J,MATCH(F1333,'1.職能辭典'!$C:$C,0))="全部",INDEX('3.員工名單'!$H:$H,MATCH(A1333,'3.員工名單'!$A:$A,0))="兩款共用",INDEX('3.員工名單'!$H:$H,MATCH(A1333,'3.員工名單'!$A:$A,0))=INDEX('1.職能辭典'!$J:$J,MATCH(F1333,'1.職能辭典'!$C:$C,0))),OR(INDEX('1.職能辭典'!$K:$K,MATCH(F1333,'1.職能辭典'!$C:$C,0))="全部",SUMPRODUCT(ISNUMBER(SEARCH({"經營","管理","財務","企劃","營運","技術","數據","美術","測試","客服"},INDEX('3.員工名單'!$I:$I,MATCH(A1333,'3.員工名單'!$A:$A,0))))*ISNUMBER(SEARCH({"經營","管理","財務","企劃","營運","技術","數據","美術","測試","客服"},INDEX('1.職能辭典'!$K:$K,MATCH(F1333,'1.職能辭典'!$C:$C,0)))))&gt;0)),INDEX('2.職務職能需求'!$B$2:$F$28,MATCH(F1333,'2.職務職能需求'!$A$2:$A$28,0),MATCH(D1333,'2.職務職能需求'!$B$1:$F$1,0)),0),""))</f>
        <v/>
      </c>
      <c r="H1333" s="94" t="n"/>
      <c r="I1333" s="94" t="n"/>
      <c r="J1333" s="120">
        <f>IF(OR(G1333="",I1333="",G1333=0),"",I1333-G1333)</f>
        <v/>
      </c>
      <c r="K1333" s="120">
        <f>IF(G1333="","",IF(G1333=0,"不適用",IF(I1333="","待評核",IF(I1333&gt;=G1333,IF(I1333&gt;G1333,"超越","達標"),"待發展"))))</f>
        <v/>
      </c>
      <c r="L1333" s="91" t="n"/>
      <c r="M1333" s="91" t="n"/>
      <c r="N1333" s="88" t="n"/>
    </row>
    <row r="1334" ht="15.75" customHeight="1" s="64">
      <c r="A1334" s="88" t="n"/>
      <c r="B1334" s="120">
        <f t="array" ref="B1334:B1334">IF(A1334="","",IFERROR(INDEX('3.員工名單'!$B:$B,MATCH(A1334,'3.員工名單'!$A:$A,0)),"查無此員工"))</f>
        <v/>
      </c>
      <c r="C1334" s="120">
        <f t="array" ref="C1334:C1334">IF(A1334="","",IFERROR(INDEX('3.員工名單'!$C:$C,MATCH(A1334,'3.員工名單'!$A:$A,0)),""))</f>
        <v/>
      </c>
      <c r="D1334" s="120">
        <f t="array" ref="D1334:D1334">IF(A1334="","",IFERROR(INDEX('3.員工名單'!$D:$D,MATCH(A1334,'3.員工名單'!$A:$A,0)),""))</f>
        <v/>
      </c>
      <c r="E1334" s="120">
        <f t="array" ref="E1334:E1334">IF(F1334="","",IFERROR(INDEX('1.職能辭典'!$A:$A,MATCH(F1334,'1.職能辭典'!$C:$C,0)),""))</f>
        <v/>
      </c>
      <c r="F1334" s="94" t="n"/>
      <c r="G1334" s="120">
        <f t="array" ref="G1334:G1334">IF(OR(D1334="",F1334=""),"",IFERROR(IF(AND(OR(INDEX('1.職能辭典'!$J:$J,MATCH(F1334,'1.職能辭典'!$C:$C,0))="全部",INDEX('3.員工名單'!$H:$H,MATCH(A1334,'3.員工名單'!$A:$A,0))="兩款共用",INDEX('3.員工名單'!$H:$H,MATCH(A1334,'3.員工名單'!$A:$A,0))=INDEX('1.職能辭典'!$J:$J,MATCH(F1334,'1.職能辭典'!$C:$C,0))),OR(INDEX('1.職能辭典'!$K:$K,MATCH(F1334,'1.職能辭典'!$C:$C,0))="全部",SUMPRODUCT(ISNUMBER(SEARCH({"經營","管理","財務","企劃","營運","技術","數據","美術","測試","客服"},INDEX('3.員工名單'!$I:$I,MATCH(A1334,'3.員工名單'!$A:$A,0))))*ISNUMBER(SEARCH({"經營","管理","財務","企劃","營運","技術","數據","美術","測試","客服"},INDEX('1.職能辭典'!$K:$K,MATCH(F1334,'1.職能辭典'!$C:$C,0)))))&gt;0)),INDEX('2.職務職能需求'!$B$2:$F$28,MATCH(F1334,'2.職務職能需求'!$A$2:$A$28,0),MATCH(D1334,'2.職務職能需求'!$B$1:$F$1,0)),0),""))</f>
        <v/>
      </c>
      <c r="H1334" s="94" t="n"/>
      <c r="I1334" s="94" t="n"/>
      <c r="J1334" s="120">
        <f>IF(OR(G1334="",I1334="",G1334=0),"",I1334-G1334)</f>
        <v/>
      </c>
      <c r="K1334" s="120">
        <f>IF(G1334="","",IF(G1334=0,"不適用",IF(I1334="","待評核",IF(I1334&gt;=G1334,IF(I1334&gt;G1334,"超越","達標"),"待發展"))))</f>
        <v/>
      </c>
      <c r="L1334" s="91" t="n"/>
      <c r="M1334" s="91" t="n"/>
      <c r="N1334" s="88" t="n"/>
    </row>
    <row r="1335" ht="15.75" customHeight="1" s="64">
      <c r="A1335" s="88" t="n"/>
      <c r="B1335" s="120">
        <f t="array" ref="B1335:B1335">IF(A1335="","",IFERROR(INDEX('3.員工名單'!$B:$B,MATCH(A1335,'3.員工名單'!$A:$A,0)),"查無此員工"))</f>
        <v/>
      </c>
      <c r="C1335" s="120">
        <f t="array" ref="C1335:C1335">IF(A1335="","",IFERROR(INDEX('3.員工名單'!$C:$C,MATCH(A1335,'3.員工名單'!$A:$A,0)),""))</f>
        <v/>
      </c>
      <c r="D1335" s="120">
        <f t="array" ref="D1335:D1335">IF(A1335="","",IFERROR(INDEX('3.員工名單'!$D:$D,MATCH(A1335,'3.員工名單'!$A:$A,0)),""))</f>
        <v/>
      </c>
      <c r="E1335" s="120">
        <f t="array" ref="E1335:E1335">IF(F1335="","",IFERROR(INDEX('1.職能辭典'!$A:$A,MATCH(F1335,'1.職能辭典'!$C:$C,0)),""))</f>
        <v/>
      </c>
      <c r="F1335" s="94" t="n"/>
      <c r="G1335" s="120">
        <f t="array" ref="G1335:G1335">IF(OR(D1335="",F1335=""),"",IFERROR(IF(AND(OR(INDEX('1.職能辭典'!$J:$J,MATCH(F1335,'1.職能辭典'!$C:$C,0))="全部",INDEX('3.員工名單'!$H:$H,MATCH(A1335,'3.員工名單'!$A:$A,0))="兩款共用",INDEX('3.員工名單'!$H:$H,MATCH(A1335,'3.員工名單'!$A:$A,0))=INDEX('1.職能辭典'!$J:$J,MATCH(F1335,'1.職能辭典'!$C:$C,0))),OR(INDEX('1.職能辭典'!$K:$K,MATCH(F1335,'1.職能辭典'!$C:$C,0))="全部",SUMPRODUCT(ISNUMBER(SEARCH({"經營","管理","財務","企劃","營運","技術","數據","美術","測試","客服"},INDEX('3.員工名單'!$I:$I,MATCH(A1335,'3.員工名單'!$A:$A,0))))*ISNUMBER(SEARCH({"經營","管理","財務","企劃","營運","技術","數據","美術","測試","客服"},INDEX('1.職能辭典'!$K:$K,MATCH(F1335,'1.職能辭典'!$C:$C,0)))))&gt;0)),INDEX('2.職務職能需求'!$B$2:$F$28,MATCH(F1335,'2.職務職能需求'!$A$2:$A$28,0),MATCH(D1335,'2.職務職能需求'!$B$1:$F$1,0)),0),""))</f>
        <v/>
      </c>
      <c r="H1335" s="94" t="n"/>
      <c r="I1335" s="94" t="n"/>
      <c r="J1335" s="120">
        <f>IF(OR(G1335="",I1335="",G1335=0),"",I1335-G1335)</f>
        <v/>
      </c>
      <c r="K1335" s="120">
        <f>IF(G1335="","",IF(G1335=0,"不適用",IF(I1335="","待評核",IF(I1335&gt;=G1335,IF(I1335&gt;G1335,"超越","達標"),"待發展"))))</f>
        <v/>
      </c>
      <c r="L1335" s="91" t="n"/>
      <c r="M1335" s="91" t="n"/>
      <c r="N1335" s="88" t="n"/>
    </row>
    <row r="1336" ht="15.75" customHeight="1" s="64">
      <c r="A1336" s="88" t="n"/>
      <c r="B1336" s="120">
        <f t="array" ref="B1336:B1336">IF(A1336="","",IFERROR(INDEX('3.員工名單'!$B:$B,MATCH(A1336,'3.員工名單'!$A:$A,0)),"查無此員工"))</f>
        <v/>
      </c>
      <c r="C1336" s="120">
        <f t="array" ref="C1336:C1336">IF(A1336="","",IFERROR(INDEX('3.員工名單'!$C:$C,MATCH(A1336,'3.員工名單'!$A:$A,0)),""))</f>
        <v/>
      </c>
      <c r="D1336" s="120">
        <f t="array" ref="D1336:D1336">IF(A1336="","",IFERROR(INDEX('3.員工名單'!$D:$D,MATCH(A1336,'3.員工名單'!$A:$A,0)),""))</f>
        <v/>
      </c>
      <c r="E1336" s="120">
        <f t="array" ref="E1336:E1336">IF(F1336="","",IFERROR(INDEX('1.職能辭典'!$A:$A,MATCH(F1336,'1.職能辭典'!$C:$C,0)),""))</f>
        <v/>
      </c>
      <c r="F1336" s="94" t="n"/>
      <c r="G1336" s="120">
        <f t="array" ref="G1336:G1336">IF(OR(D1336="",F1336=""),"",IFERROR(IF(AND(OR(INDEX('1.職能辭典'!$J:$J,MATCH(F1336,'1.職能辭典'!$C:$C,0))="全部",INDEX('3.員工名單'!$H:$H,MATCH(A1336,'3.員工名單'!$A:$A,0))="兩款共用",INDEX('3.員工名單'!$H:$H,MATCH(A1336,'3.員工名單'!$A:$A,0))=INDEX('1.職能辭典'!$J:$J,MATCH(F1336,'1.職能辭典'!$C:$C,0))),OR(INDEX('1.職能辭典'!$K:$K,MATCH(F1336,'1.職能辭典'!$C:$C,0))="全部",SUMPRODUCT(ISNUMBER(SEARCH({"經營","管理","財務","企劃","營運","技術","數據","美術","測試","客服"},INDEX('3.員工名單'!$I:$I,MATCH(A1336,'3.員工名單'!$A:$A,0))))*ISNUMBER(SEARCH({"經營","管理","財務","企劃","營運","技術","數據","美術","測試","客服"},INDEX('1.職能辭典'!$K:$K,MATCH(F1336,'1.職能辭典'!$C:$C,0)))))&gt;0)),INDEX('2.職務職能需求'!$B$2:$F$28,MATCH(F1336,'2.職務職能需求'!$A$2:$A$28,0),MATCH(D1336,'2.職務職能需求'!$B$1:$F$1,0)),0),""))</f>
        <v/>
      </c>
      <c r="H1336" s="94" t="n"/>
      <c r="I1336" s="94" t="n"/>
      <c r="J1336" s="120">
        <f>IF(OR(G1336="",I1336="",G1336=0),"",I1336-G1336)</f>
        <v/>
      </c>
      <c r="K1336" s="120">
        <f>IF(G1336="","",IF(G1336=0,"不適用",IF(I1336="","待評核",IF(I1336&gt;=G1336,IF(I1336&gt;G1336,"超越","達標"),"待發展"))))</f>
        <v/>
      </c>
      <c r="L1336" s="91" t="n"/>
      <c r="M1336" s="91" t="n"/>
      <c r="N1336" s="88" t="n"/>
    </row>
    <row r="1337" ht="15.75" customHeight="1" s="64">
      <c r="A1337" s="88" t="n"/>
      <c r="B1337" s="120">
        <f t="array" ref="B1337:B1337">IF(A1337="","",IFERROR(INDEX('3.員工名單'!$B:$B,MATCH(A1337,'3.員工名單'!$A:$A,0)),"查無此員工"))</f>
        <v/>
      </c>
      <c r="C1337" s="120">
        <f t="array" ref="C1337:C1337">IF(A1337="","",IFERROR(INDEX('3.員工名單'!$C:$C,MATCH(A1337,'3.員工名單'!$A:$A,0)),""))</f>
        <v/>
      </c>
      <c r="D1337" s="120">
        <f t="array" ref="D1337:D1337">IF(A1337="","",IFERROR(INDEX('3.員工名單'!$D:$D,MATCH(A1337,'3.員工名單'!$A:$A,0)),""))</f>
        <v/>
      </c>
      <c r="E1337" s="120">
        <f t="array" ref="E1337:E1337">IF(F1337="","",IFERROR(INDEX('1.職能辭典'!$A:$A,MATCH(F1337,'1.職能辭典'!$C:$C,0)),""))</f>
        <v/>
      </c>
      <c r="F1337" s="94" t="n"/>
      <c r="G1337" s="120">
        <f t="array" ref="G1337:G1337">IF(OR(D1337="",F1337=""),"",IFERROR(IF(AND(OR(INDEX('1.職能辭典'!$J:$J,MATCH(F1337,'1.職能辭典'!$C:$C,0))="全部",INDEX('3.員工名單'!$H:$H,MATCH(A1337,'3.員工名單'!$A:$A,0))="兩款共用",INDEX('3.員工名單'!$H:$H,MATCH(A1337,'3.員工名單'!$A:$A,0))=INDEX('1.職能辭典'!$J:$J,MATCH(F1337,'1.職能辭典'!$C:$C,0))),OR(INDEX('1.職能辭典'!$K:$K,MATCH(F1337,'1.職能辭典'!$C:$C,0))="全部",SUMPRODUCT(ISNUMBER(SEARCH({"經營","管理","財務","企劃","營運","技術","數據","美術","測試","客服"},INDEX('3.員工名單'!$I:$I,MATCH(A1337,'3.員工名單'!$A:$A,0))))*ISNUMBER(SEARCH({"經營","管理","財務","企劃","營運","技術","數據","美術","測試","客服"},INDEX('1.職能辭典'!$K:$K,MATCH(F1337,'1.職能辭典'!$C:$C,0)))))&gt;0)),INDEX('2.職務職能需求'!$B$2:$F$28,MATCH(F1337,'2.職務職能需求'!$A$2:$A$28,0),MATCH(D1337,'2.職務職能需求'!$B$1:$F$1,0)),0),""))</f>
        <v/>
      </c>
      <c r="H1337" s="94" t="n"/>
      <c r="I1337" s="94" t="n"/>
      <c r="J1337" s="120">
        <f>IF(OR(G1337="",I1337="",G1337=0),"",I1337-G1337)</f>
        <v/>
      </c>
      <c r="K1337" s="120">
        <f>IF(G1337="","",IF(G1337=0,"不適用",IF(I1337="","待評核",IF(I1337&gt;=G1337,IF(I1337&gt;G1337,"超越","達標"),"待發展"))))</f>
        <v/>
      </c>
      <c r="L1337" s="91" t="n"/>
      <c r="M1337" s="91" t="n"/>
      <c r="N1337" s="88" t="n"/>
    </row>
    <row r="1338" ht="15.75" customHeight="1" s="64">
      <c r="A1338" s="88" t="n"/>
      <c r="B1338" s="120">
        <f t="array" ref="B1338:B1338">IF(A1338="","",IFERROR(INDEX('3.員工名單'!$B:$B,MATCH(A1338,'3.員工名單'!$A:$A,0)),"查無此員工"))</f>
        <v/>
      </c>
      <c r="C1338" s="120">
        <f t="array" ref="C1338:C1338">IF(A1338="","",IFERROR(INDEX('3.員工名單'!$C:$C,MATCH(A1338,'3.員工名單'!$A:$A,0)),""))</f>
        <v/>
      </c>
      <c r="D1338" s="120">
        <f t="array" ref="D1338:D1338">IF(A1338="","",IFERROR(INDEX('3.員工名單'!$D:$D,MATCH(A1338,'3.員工名單'!$A:$A,0)),""))</f>
        <v/>
      </c>
      <c r="E1338" s="120">
        <f t="array" ref="E1338:E1338">IF(F1338="","",IFERROR(INDEX('1.職能辭典'!$A:$A,MATCH(F1338,'1.職能辭典'!$C:$C,0)),""))</f>
        <v/>
      </c>
      <c r="F1338" s="94" t="n"/>
      <c r="G1338" s="120">
        <f t="array" ref="G1338:G1338">IF(OR(D1338="",F1338=""),"",IFERROR(IF(AND(OR(INDEX('1.職能辭典'!$J:$J,MATCH(F1338,'1.職能辭典'!$C:$C,0))="全部",INDEX('3.員工名單'!$H:$H,MATCH(A1338,'3.員工名單'!$A:$A,0))="兩款共用",INDEX('3.員工名單'!$H:$H,MATCH(A1338,'3.員工名單'!$A:$A,0))=INDEX('1.職能辭典'!$J:$J,MATCH(F1338,'1.職能辭典'!$C:$C,0))),OR(INDEX('1.職能辭典'!$K:$K,MATCH(F1338,'1.職能辭典'!$C:$C,0))="全部",SUMPRODUCT(ISNUMBER(SEARCH({"經營","管理","財務","企劃","營運","技術","數據","美術","測試","客服"},INDEX('3.員工名單'!$I:$I,MATCH(A1338,'3.員工名單'!$A:$A,0))))*ISNUMBER(SEARCH({"經營","管理","財務","企劃","營運","技術","數據","美術","測試","客服"},INDEX('1.職能辭典'!$K:$K,MATCH(F1338,'1.職能辭典'!$C:$C,0)))))&gt;0)),INDEX('2.職務職能需求'!$B$2:$F$28,MATCH(F1338,'2.職務職能需求'!$A$2:$A$28,0),MATCH(D1338,'2.職務職能需求'!$B$1:$F$1,0)),0),""))</f>
        <v/>
      </c>
      <c r="H1338" s="94" t="n"/>
      <c r="I1338" s="94" t="n"/>
      <c r="J1338" s="120">
        <f>IF(OR(G1338="",I1338="",G1338=0),"",I1338-G1338)</f>
        <v/>
      </c>
      <c r="K1338" s="120">
        <f>IF(G1338="","",IF(G1338=0,"不適用",IF(I1338="","待評核",IF(I1338&gt;=G1338,IF(I1338&gt;G1338,"超越","達標"),"待發展"))))</f>
        <v/>
      </c>
      <c r="L1338" s="91" t="n"/>
      <c r="M1338" s="91" t="n"/>
      <c r="N1338" s="88" t="n"/>
    </row>
    <row r="1339" ht="15.75" customHeight="1" s="64">
      <c r="A1339" s="88" t="n"/>
      <c r="B1339" s="120">
        <f t="array" ref="B1339:B1339">IF(A1339="","",IFERROR(INDEX('3.員工名單'!$B:$B,MATCH(A1339,'3.員工名單'!$A:$A,0)),"查無此員工"))</f>
        <v/>
      </c>
      <c r="C1339" s="120">
        <f t="array" ref="C1339:C1339">IF(A1339="","",IFERROR(INDEX('3.員工名單'!$C:$C,MATCH(A1339,'3.員工名單'!$A:$A,0)),""))</f>
        <v/>
      </c>
      <c r="D1339" s="120">
        <f t="array" ref="D1339:D1339">IF(A1339="","",IFERROR(INDEX('3.員工名單'!$D:$D,MATCH(A1339,'3.員工名單'!$A:$A,0)),""))</f>
        <v/>
      </c>
      <c r="E1339" s="120">
        <f t="array" ref="E1339:E1339">IF(F1339="","",IFERROR(INDEX('1.職能辭典'!$A:$A,MATCH(F1339,'1.職能辭典'!$C:$C,0)),""))</f>
        <v/>
      </c>
      <c r="F1339" s="94" t="n"/>
      <c r="G1339" s="120">
        <f t="array" ref="G1339:G1339">IF(OR(D1339="",F1339=""),"",IFERROR(IF(AND(OR(INDEX('1.職能辭典'!$J:$J,MATCH(F1339,'1.職能辭典'!$C:$C,0))="全部",INDEX('3.員工名單'!$H:$H,MATCH(A1339,'3.員工名單'!$A:$A,0))="兩款共用",INDEX('3.員工名單'!$H:$H,MATCH(A1339,'3.員工名單'!$A:$A,0))=INDEX('1.職能辭典'!$J:$J,MATCH(F1339,'1.職能辭典'!$C:$C,0))),OR(INDEX('1.職能辭典'!$K:$K,MATCH(F1339,'1.職能辭典'!$C:$C,0))="全部",SUMPRODUCT(ISNUMBER(SEARCH({"經營","管理","財務","企劃","營運","技術","數據","美術","測試","客服"},INDEX('3.員工名單'!$I:$I,MATCH(A1339,'3.員工名單'!$A:$A,0))))*ISNUMBER(SEARCH({"經營","管理","財務","企劃","營運","技術","數據","美術","測試","客服"},INDEX('1.職能辭典'!$K:$K,MATCH(F1339,'1.職能辭典'!$C:$C,0)))))&gt;0)),INDEX('2.職務職能需求'!$B$2:$F$28,MATCH(F1339,'2.職務職能需求'!$A$2:$A$28,0),MATCH(D1339,'2.職務職能需求'!$B$1:$F$1,0)),0),""))</f>
        <v/>
      </c>
      <c r="H1339" s="94" t="n"/>
      <c r="I1339" s="94" t="n"/>
      <c r="J1339" s="120">
        <f>IF(OR(G1339="",I1339="",G1339=0),"",I1339-G1339)</f>
        <v/>
      </c>
      <c r="K1339" s="120">
        <f>IF(G1339="","",IF(G1339=0,"不適用",IF(I1339="","待評核",IF(I1339&gt;=G1339,IF(I1339&gt;G1339,"超越","達標"),"待發展"))))</f>
        <v/>
      </c>
      <c r="L1339" s="91" t="n"/>
      <c r="M1339" s="91" t="n"/>
      <c r="N1339" s="88" t="n"/>
    </row>
    <row r="1340" ht="15.75" customHeight="1" s="64">
      <c r="A1340" s="88" t="n"/>
      <c r="B1340" s="120">
        <f t="array" ref="B1340:B1340">IF(A1340="","",IFERROR(INDEX('3.員工名單'!$B:$B,MATCH(A1340,'3.員工名單'!$A:$A,0)),"查無此員工"))</f>
        <v/>
      </c>
      <c r="C1340" s="120">
        <f t="array" ref="C1340:C1340">IF(A1340="","",IFERROR(INDEX('3.員工名單'!$C:$C,MATCH(A1340,'3.員工名單'!$A:$A,0)),""))</f>
        <v/>
      </c>
      <c r="D1340" s="120">
        <f t="array" ref="D1340:D1340">IF(A1340="","",IFERROR(INDEX('3.員工名單'!$D:$D,MATCH(A1340,'3.員工名單'!$A:$A,0)),""))</f>
        <v/>
      </c>
      <c r="E1340" s="120">
        <f t="array" ref="E1340:E1340">IF(F1340="","",IFERROR(INDEX('1.職能辭典'!$A:$A,MATCH(F1340,'1.職能辭典'!$C:$C,0)),""))</f>
        <v/>
      </c>
      <c r="F1340" s="94" t="n"/>
      <c r="G1340" s="120">
        <f t="array" ref="G1340:G1340">IF(OR(D1340="",F1340=""),"",IFERROR(IF(AND(OR(INDEX('1.職能辭典'!$J:$J,MATCH(F1340,'1.職能辭典'!$C:$C,0))="全部",INDEX('3.員工名單'!$H:$H,MATCH(A1340,'3.員工名單'!$A:$A,0))="兩款共用",INDEX('3.員工名單'!$H:$H,MATCH(A1340,'3.員工名單'!$A:$A,0))=INDEX('1.職能辭典'!$J:$J,MATCH(F1340,'1.職能辭典'!$C:$C,0))),OR(INDEX('1.職能辭典'!$K:$K,MATCH(F1340,'1.職能辭典'!$C:$C,0))="全部",SUMPRODUCT(ISNUMBER(SEARCH({"經營","管理","財務","企劃","營運","技術","數據","美術","測試","客服"},INDEX('3.員工名單'!$I:$I,MATCH(A1340,'3.員工名單'!$A:$A,0))))*ISNUMBER(SEARCH({"經營","管理","財務","企劃","營運","技術","數據","美術","測試","客服"},INDEX('1.職能辭典'!$K:$K,MATCH(F1340,'1.職能辭典'!$C:$C,0)))))&gt;0)),INDEX('2.職務職能需求'!$B$2:$F$28,MATCH(F1340,'2.職務職能需求'!$A$2:$A$28,0),MATCH(D1340,'2.職務職能需求'!$B$1:$F$1,0)),0),""))</f>
        <v/>
      </c>
      <c r="H1340" s="94" t="n"/>
      <c r="I1340" s="94" t="n"/>
      <c r="J1340" s="120">
        <f>IF(OR(G1340="",I1340="",G1340=0),"",I1340-G1340)</f>
        <v/>
      </c>
      <c r="K1340" s="120">
        <f>IF(G1340="","",IF(G1340=0,"不適用",IF(I1340="","待評核",IF(I1340&gt;=G1340,IF(I1340&gt;G1340,"超越","達標"),"待發展"))))</f>
        <v/>
      </c>
      <c r="L1340" s="91" t="n"/>
      <c r="M1340" s="91" t="n"/>
      <c r="N1340" s="88" t="n"/>
    </row>
    <row r="1341" ht="15.75" customHeight="1" s="64">
      <c r="A1341" s="88" t="n"/>
      <c r="B1341" s="120">
        <f t="array" ref="B1341:B1341">IF(A1341="","",IFERROR(INDEX('3.員工名單'!$B:$B,MATCH(A1341,'3.員工名單'!$A:$A,0)),"查無此員工"))</f>
        <v/>
      </c>
      <c r="C1341" s="120">
        <f t="array" ref="C1341:C1341">IF(A1341="","",IFERROR(INDEX('3.員工名單'!$C:$C,MATCH(A1341,'3.員工名單'!$A:$A,0)),""))</f>
        <v/>
      </c>
      <c r="D1341" s="120">
        <f t="array" ref="D1341:D1341">IF(A1341="","",IFERROR(INDEX('3.員工名單'!$D:$D,MATCH(A1341,'3.員工名單'!$A:$A,0)),""))</f>
        <v/>
      </c>
      <c r="E1341" s="120">
        <f t="array" ref="E1341:E1341">IF(F1341="","",IFERROR(INDEX('1.職能辭典'!$A:$A,MATCH(F1341,'1.職能辭典'!$C:$C,0)),""))</f>
        <v/>
      </c>
      <c r="F1341" s="94" t="n"/>
      <c r="G1341" s="120">
        <f t="array" ref="G1341:G1341">IF(OR(D1341="",F1341=""),"",IFERROR(IF(AND(OR(INDEX('1.職能辭典'!$J:$J,MATCH(F1341,'1.職能辭典'!$C:$C,0))="全部",INDEX('3.員工名單'!$H:$H,MATCH(A1341,'3.員工名單'!$A:$A,0))="兩款共用",INDEX('3.員工名單'!$H:$H,MATCH(A1341,'3.員工名單'!$A:$A,0))=INDEX('1.職能辭典'!$J:$J,MATCH(F1341,'1.職能辭典'!$C:$C,0))),OR(INDEX('1.職能辭典'!$K:$K,MATCH(F1341,'1.職能辭典'!$C:$C,0))="全部",SUMPRODUCT(ISNUMBER(SEARCH({"經營","管理","財務","企劃","營運","技術","數據","美術","測試","客服"},INDEX('3.員工名單'!$I:$I,MATCH(A1341,'3.員工名單'!$A:$A,0))))*ISNUMBER(SEARCH({"經營","管理","財務","企劃","營運","技術","數據","美術","測試","客服"},INDEX('1.職能辭典'!$K:$K,MATCH(F1341,'1.職能辭典'!$C:$C,0)))))&gt;0)),INDEX('2.職務職能需求'!$B$2:$F$28,MATCH(F1341,'2.職務職能需求'!$A$2:$A$28,0),MATCH(D1341,'2.職務職能需求'!$B$1:$F$1,0)),0),""))</f>
        <v/>
      </c>
      <c r="H1341" s="94" t="n"/>
      <c r="I1341" s="94" t="n"/>
      <c r="J1341" s="120">
        <f>IF(OR(G1341="",I1341="",G1341=0),"",I1341-G1341)</f>
        <v/>
      </c>
      <c r="K1341" s="120">
        <f>IF(G1341="","",IF(G1341=0,"不適用",IF(I1341="","待評核",IF(I1341&gt;=G1341,IF(I1341&gt;G1341,"超越","達標"),"待發展"))))</f>
        <v/>
      </c>
      <c r="L1341" s="91" t="n"/>
      <c r="M1341" s="91" t="n"/>
      <c r="N1341" s="88" t="n"/>
    </row>
    <row r="1342" ht="15.75" customHeight="1" s="64">
      <c r="A1342" s="88" t="n"/>
      <c r="B1342" s="120">
        <f t="array" ref="B1342:B1342">IF(A1342="","",IFERROR(INDEX('3.員工名單'!$B:$B,MATCH(A1342,'3.員工名單'!$A:$A,0)),"查無此員工"))</f>
        <v/>
      </c>
      <c r="C1342" s="120">
        <f t="array" ref="C1342:C1342">IF(A1342="","",IFERROR(INDEX('3.員工名單'!$C:$C,MATCH(A1342,'3.員工名單'!$A:$A,0)),""))</f>
        <v/>
      </c>
      <c r="D1342" s="120">
        <f t="array" ref="D1342:D1342">IF(A1342="","",IFERROR(INDEX('3.員工名單'!$D:$D,MATCH(A1342,'3.員工名單'!$A:$A,0)),""))</f>
        <v/>
      </c>
      <c r="E1342" s="120">
        <f t="array" ref="E1342:E1342">IF(F1342="","",IFERROR(INDEX('1.職能辭典'!$A:$A,MATCH(F1342,'1.職能辭典'!$C:$C,0)),""))</f>
        <v/>
      </c>
      <c r="F1342" s="94" t="n"/>
      <c r="G1342" s="120">
        <f t="array" ref="G1342:G1342">IF(OR(D1342="",F1342=""),"",IFERROR(IF(AND(OR(INDEX('1.職能辭典'!$J:$J,MATCH(F1342,'1.職能辭典'!$C:$C,0))="全部",INDEX('3.員工名單'!$H:$H,MATCH(A1342,'3.員工名單'!$A:$A,0))="兩款共用",INDEX('3.員工名單'!$H:$H,MATCH(A1342,'3.員工名單'!$A:$A,0))=INDEX('1.職能辭典'!$J:$J,MATCH(F1342,'1.職能辭典'!$C:$C,0))),OR(INDEX('1.職能辭典'!$K:$K,MATCH(F1342,'1.職能辭典'!$C:$C,0))="全部",SUMPRODUCT(ISNUMBER(SEARCH({"經營","管理","財務","企劃","營運","技術","數據","美術","測試","客服"},INDEX('3.員工名單'!$I:$I,MATCH(A1342,'3.員工名單'!$A:$A,0))))*ISNUMBER(SEARCH({"經營","管理","財務","企劃","營運","技術","數據","美術","測試","客服"},INDEX('1.職能辭典'!$K:$K,MATCH(F1342,'1.職能辭典'!$C:$C,0)))))&gt;0)),INDEX('2.職務職能需求'!$B$2:$F$28,MATCH(F1342,'2.職務職能需求'!$A$2:$A$28,0),MATCH(D1342,'2.職務職能需求'!$B$1:$F$1,0)),0),""))</f>
        <v/>
      </c>
      <c r="H1342" s="94" t="n"/>
      <c r="I1342" s="94" t="n"/>
      <c r="J1342" s="120">
        <f>IF(OR(G1342="",I1342="",G1342=0),"",I1342-G1342)</f>
        <v/>
      </c>
      <c r="K1342" s="120">
        <f>IF(G1342="","",IF(G1342=0,"不適用",IF(I1342="","待評核",IF(I1342&gt;=G1342,IF(I1342&gt;G1342,"超越","達標"),"待發展"))))</f>
        <v/>
      </c>
      <c r="L1342" s="91" t="n"/>
      <c r="M1342" s="91" t="n"/>
      <c r="N1342" s="88" t="n"/>
    </row>
    <row r="1343" ht="15.75" customHeight="1" s="64">
      <c r="A1343" s="88" t="n"/>
      <c r="B1343" s="120">
        <f t="array" ref="B1343:B1343">IF(A1343="","",IFERROR(INDEX('3.員工名單'!$B:$B,MATCH(A1343,'3.員工名單'!$A:$A,0)),"查無此員工"))</f>
        <v/>
      </c>
      <c r="C1343" s="120">
        <f t="array" ref="C1343:C1343">IF(A1343="","",IFERROR(INDEX('3.員工名單'!$C:$C,MATCH(A1343,'3.員工名單'!$A:$A,0)),""))</f>
        <v/>
      </c>
      <c r="D1343" s="120">
        <f t="array" ref="D1343:D1343">IF(A1343="","",IFERROR(INDEX('3.員工名單'!$D:$D,MATCH(A1343,'3.員工名單'!$A:$A,0)),""))</f>
        <v/>
      </c>
      <c r="E1343" s="120">
        <f t="array" ref="E1343:E1343">IF(F1343="","",IFERROR(INDEX('1.職能辭典'!$A:$A,MATCH(F1343,'1.職能辭典'!$C:$C,0)),""))</f>
        <v/>
      </c>
      <c r="F1343" s="94" t="n"/>
      <c r="G1343" s="120">
        <f t="array" ref="G1343:G1343">IF(OR(D1343="",F1343=""),"",IFERROR(IF(AND(OR(INDEX('1.職能辭典'!$J:$J,MATCH(F1343,'1.職能辭典'!$C:$C,0))="全部",INDEX('3.員工名單'!$H:$H,MATCH(A1343,'3.員工名單'!$A:$A,0))="兩款共用",INDEX('3.員工名單'!$H:$H,MATCH(A1343,'3.員工名單'!$A:$A,0))=INDEX('1.職能辭典'!$J:$J,MATCH(F1343,'1.職能辭典'!$C:$C,0))),OR(INDEX('1.職能辭典'!$K:$K,MATCH(F1343,'1.職能辭典'!$C:$C,0))="全部",SUMPRODUCT(ISNUMBER(SEARCH({"經營","管理","財務","企劃","營運","技術","數據","美術","測試","客服"},INDEX('3.員工名單'!$I:$I,MATCH(A1343,'3.員工名單'!$A:$A,0))))*ISNUMBER(SEARCH({"經營","管理","財務","企劃","營運","技術","數據","美術","測試","客服"},INDEX('1.職能辭典'!$K:$K,MATCH(F1343,'1.職能辭典'!$C:$C,0)))))&gt;0)),INDEX('2.職務職能需求'!$B$2:$F$28,MATCH(F1343,'2.職務職能需求'!$A$2:$A$28,0),MATCH(D1343,'2.職務職能需求'!$B$1:$F$1,0)),0),""))</f>
        <v/>
      </c>
      <c r="H1343" s="94" t="n"/>
      <c r="I1343" s="94" t="n"/>
      <c r="J1343" s="120">
        <f>IF(OR(G1343="",I1343="",G1343=0),"",I1343-G1343)</f>
        <v/>
      </c>
      <c r="K1343" s="120">
        <f>IF(G1343="","",IF(G1343=0,"不適用",IF(I1343="","待評核",IF(I1343&gt;=G1343,IF(I1343&gt;G1343,"超越","達標"),"待發展"))))</f>
        <v/>
      </c>
      <c r="L1343" s="91" t="n"/>
      <c r="M1343" s="91" t="n"/>
      <c r="N1343" s="88" t="n"/>
    </row>
    <row r="1344" ht="15.75" customHeight="1" s="64">
      <c r="A1344" s="88" t="n"/>
      <c r="B1344" s="120">
        <f t="array" ref="B1344:B1344">IF(A1344="","",IFERROR(INDEX('3.員工名單'!$B:$B,MATCH(A1344,'3.員工名單'!$A:$A,0)),"查無此員工"))</f>
        <v/>
      </c>
      <c r="C1344" s="120">
        <f t="array" ref="C1344:C1344">IF(A1344="","",IFERROR(INDEX('3.員工名單'!$C:$C,MATCH(A1344,'3.員工名單'!$A:$A,0)),""))</f>
        <v/>
      </c>
      <c r="D1344" s="120">
        <f t="array" ref="D1344:D1344">IF(A1344="","",IFERROR(INDEX('3.員工名單'!$D:$D,MATCH(A1344,'3.員工名單'!$A:$A,0)),""))</f>
        <v/>
      </c>
      <c r="E1344" s="120">
        <f t="array" ref="E1344:E1344">IF(F1344="","",IFERROR(INDEX('1.職能辭典'!$A:$A,MATCH(F1344,'1.職能辭典'!$C:$C,0)),""))</f>
        <v/>
      </c>
      <c r="F1344" s="94" t="n"/>
      <c r="G1344" s="120">
        <f t="array" ref="G1344:G1344">IF(OR(D1344="",F1344=""),"",IFERROR(IF(AND(OR(INDEX('1.職能辭典'!$J:$J,MATCH(F1344,'1.職能辭典'!$C:$C,0))="全部",INDEX('3.員工名單'!$H:$H,MATCH(A1344,'3.員工名單'!$A:$A,0))="兩款共用",INDEX('3.員工名單'!$H:$H,MATCH(A1344,'3.員工名單'!$A:$A,0))=INDEX('1.職能辭典'!$J:$J,MATCH(F1344,'1.職能辭典'!$C:$C,0))),OR(INDEX('1.職能辭典'!$K:$K,MATCH(F1344,'1.職能辭典'!$C:$C,0))="全部",SUMPRODUCT(ISNUMBER(SEARCH({"經營","管理","財務","企劃","營運","技術","數據","美術","測試","客服"},INDEX('3.員工名單'!$I:$I,MATCH(A1344,'3.員工名單'!$A:$A,0))))*ISNUMBER(SEARCH({"經營","管理","財務","企劃","營運","技術","數據","美術","測試","客服"},INDEX('1.職能辭典'!$K:$K,MATCH(F1344,'1.職能辭典'!$C:$C,0)))))&gt;0)),INDEX('2.職務職能需求'!$B$2:$F$28,MATCH(F1344,'2.職務職能需求'!$A$2:$A$28,0),MATCH(D1344,'2.職務職能需求'!$B$1:$F$1,0)),0),""))</f>
        <v/>
      </c>
      <c r="H1344" s="94" t="n"/>
      <c r="I1344" s="94" t="n"/>
      <c r="J1344" s="120">
        <f>IF(OR(G1344="",I1344="",G1344=0),"",I1344-G1344)</f>
        <v/>
      </c>
      <c r="K1344" s="120">
        <f>IF(G1344="","",IF(G1344=0,"不適用",IF(I1344="","待評核",IF(I1344&gt;=G1344,IF(I1344&gt;G1344,"超越","達標"),"待發展"))))</f>
        <v/>
      </c>
      <c r="L1344" s="91" t="n"/>
      <c r="M1344" s="91" t="n"/>
      <c r="N1344" s="88" t="n"/>
    </row>
    <row r="1345" ht="15.75" customHeight="1" s="64">
      <c r="A1345" s="88" t="n"/>
      <c r="B1345" s="120">
        <f t="array" ref="B1345:B1345">IF(A1345="","",IFERROR(INDEX('3.員工名單'!$B:$B,MATCH(A1345,'3.員工名單'!$A:$A,0)),"查無此員工"))</f>
        <v/>
      </c>
      <c r="C1345" s="120">
        <f t="array" ref="C1345:C1345">IF(A1345="","",IFERROR(INDEX('3.員工名單'!$C:$C,MATCH(A1345,'3.員工名單'!$A:$A,0)),""))</f>
        <v/>
      </c>
      <c r="D1345" s="120">
        <f t="array" ref="D1345:D1345">IF(A1345="","",IFERROR(INDEX('3.員工名單'!$D:$D,MATCH(A1345,'3.員工名單'!$A:$A,0)),""))</f>
        <v/>
      </c>
      <c r="E1345" s="120">
        <f t="array" ref="E1345:E1345">IF(F1345="","",IFERROR(INDEX('1.職能辭典'!$A:$A,MATCH(F1345,'1.職能辭典'!$C:$C,0)),""))</f>
        <v/>
      </c>
      <c r="F1345" s="94" t="n"/>
      <c r="G1345" s="120">
        <f t="array" ref="G1345:G1345">IF(OR(D1345="",F1345=""),"",IFERROR(IF(AND(OR(INDEX('1.職能辭典'!$J:$J,MATCH(F1345,'1.職能辭典'!$C:$C,0))="全部",INDEX('3.員工名單'!$H:$H,MATCH(A1345,'3.員工名單'!$A:$A,0))="兩款共用",INDEX('3.員工名單'!$H:$H,MATCH(A1345,'3.員工名單'!$A:$A,0))=INDEX('1.職能辭典'!$J:$J,MATCH(F1345,'1.職能辭典'!$C:$C,0))),OR(INDEX('1.職能辭典'!$K:$K,MATCH(F1345,'1.職能辭典'!$C:$C,0))="全部",SUMPRODUCT(ISNUMBER(SEARCH({"經營","管理","財務","企劃","營運","技術","數據","美術","測試","客服"},INDEX('3.員工名單'!$I:$I,MATCH(A1345,'3.員工名單'!$A:$A,0))))*ISNUMBER(SEARCH({"經營","管理","財務","企劃","營運","技術","數據","美術","測試","客服"},INDEX('1.職能辭典'!$K:$K,MATCH(F1345,'1.職能辭典'!$C:$C,0)))))&gt;0)),INDEX('2.職務職能需求'!$B$2:$F$28,MATCH(F1345,'2.職務職能需求'!$A$2:$A$28,0),MATCH(D1345,'2.職務職能需求'!$B$1:$F$1,0)),0),""))</f>
        <v/>
      </c>
      <c r="H1345" s="94" t="n"/>
      <c r="I1345" s="94" t="n"/>
      <c r="J1345" s="120">
        <f>IF(OR(G1345="",I1345="",G1345=0),"",I1345-G1345)</f>
        <v/>
      </c>
      <c r="K1345" s="120">
        <f>IF(G1345="","",IF(G1345=0,"不適用",IF(I1345="","待評核",IF(I1345&gt;=G1345,IF(I1345&gt;G1345,"超越","達標"),"待發展"))))</f>
        <v/>
      </c>
      <c r="L1345" s="91" t="n"/>
      <c r="M1345" s="91" t="n"/>
      <c r="N1345" s="88" t="n"/>
    </row>
    <row r="1346" ht="15.75" customHeight="1" s="64">
      <c r="A1346" s="88" t="n"/>
      <c r="B1346" s="120">
        <f t="array" ref="B1346:B1346">IF(A1346="","",IFERROR(INDEX('3.員工名單'!$B:$B,MATCH(A1346,'3.員工名單'!$A:$A,0)),"查無此員工"))</f>
        <v/>
      </c>
      <c r="C1346" s="120">
        <f t="array" ref="C1346:C1346">IF(A1346="","",IFERROR(INDEX('3.員工名單'!$C:$C,MATCH(A1346,'3.員工名單'!$A:$A,0)),""))</f>
        <v/>
      </c>
      <c r="D1346" s="120">
        <f t="array" ref="D1346:D1346">IF(A1346="","",IFERROR(INDEX('3.員工名單'!$D:$D,MATCH(A1346,'3.員工名單'!$A:$A,0)),""))</f>
        <v/>
      </c>
      <c r="E1346" s="120">
        <f t="array" ref="E1346:E1346">IF(F1346="","",IFERROR(INDEX('1.職能辭典'!$A:$A,MATCH(F1346,'1.職能辭典'!$C:$C,0)),""))</f>
        <v/>
      </c>
      <c r="F1346" s="94" t="n"/>
      <c r="G1346" s="120">
        <f t="array" ref="G1346:G1346">IF(OR(D1346="",F1346=""),"",IFERROR(IF(AND(OR(INDEX('1.職能辭典'!$J:$J,MATCH(F1346,'1.職能辭典'!$C:$C,0))="全部",INDEX('3.員工名單'!$H:$H,MATCH(A1346,'3.員工名單'!$A:$A,0))="兩款共用",INDEX('3.員工名單'!$H:$H,MATCH(A1346,'3.員工名單'!$A:$A,0))=INDEX('1.職能辭典'!$J:$J,MATCH(F1346,'1.職能辭典'!$C:$C,0))),OR(INDEX('1.職能辭典'!$K:$K,MATCH(F1346,'1.職能辭典'!$C:$C,0))="全部",SUMPRODUCT(ISNUMBER(SEARCH({"經營","管理","財務","企劃","營運","技術","數據","美術","測試","客服"},INDEX('3.員工名單'!$I:$I,MATCH(A1346,'3.員工名單'!$A:$A,0))))*ISNUMBER(SEARCH({"經營","管理","財務","企劃","營運","技術","數據","美術","測試","客服"},INDEX('1.職能辭典'!$K:$K,MATCH(F1346,'1.職能辭典'!$C:$C,0)))))&gt;0)),INDEX('2.職務職能需求'!$B$2:$F$28,MATCH(F1346,'2.職務職能需求'!$A$2:$A$28,0),MATCH(D1346,'2.職務職能需求'!$B$1:$F$1,0)),0),""))</f>
        <v/>
      </c>
      <c r="H1346" s="94" t="n"/>
      <c r="I1346" s="94" t="n"/>
      <c r="J1346" s="120">
        <f>IF(OR(G1346="",I1346="",G1346=0),"",I1346-G1346)</f>
        <v/>
      </c>
      <c r="K1346" s="120">
        <f>IF(G1346="","",IF(G1346=0,"不適用",IF(I1346="","待評核",IF(I1346&gt;=G1346,IF(I1346&gt;G1346,"超越","達標"),"待發展"))))</f>
        <v/>
      </c>
      <c r="L1346" s="91" t="n"/>
      <c r="M1346" s="91" t="n"/>
      <c r="N1346" s="88" t="n"/>
    </row>
    <row r="1347" ht="15.75" customHeight="1" s="64">
      <c r="A1347" s="88" t="n"/>
      <c r="B1347" s="120">
        <f t="array" ref="B1347:B1347">IF(A1347="","",IFERROR(INDEX('3.員工名單'!$B:$B,MATCH(A1347,'3.員工名單'!$A:$A,0)),"查無此員工"))</f>
        <v/>
      </c>
      <c r="C1347" s="120">
        <f t="array" ref="C1347:C1347">IF(A1347="","",IFERROR(INDEX('3.員工名單'!$C:$C,MATCH(A1347,'3.員工名單'!$A:$A,0)),""))</f>
        <v/>
      </c>
      <c r="D1347" s="120">
        <f t="array" ref="D1347:D1347">IF(A1347="","",IFERROR(INDEX('3.員工名單'!$D:$D,MATCH(A1347,'3.員工名單'!$A:$A,0)),""))</f>
        <v/>
      </c>
      <c r="E1347" s="120">
        <f t="array" ref="E1347:E1347">IF(F1347="","",IFERROR(INDEX('1.職能辭典'!$A:$A,MATCH(F1347,'1.職能辭典'!$C:$C,0)),""))</f>
        <v/>
      </c>
      <c r="F1347" s="94" t="n"/>
      <c r="G1347" s="120">
        <f t="array" ref="G1347:G1347">IF(OR(D1347="",F1347=""),"",IFERROR(IF(AND(OR(INDEX('1.職能辭典'!$J:$J,MATCH(F1347,'1.職能辭典'!$C:$C,0))="全部",INDEX('3.員工名單'!$H:$H,MATCH(A1347,'3.員工名單'!$A:$A,0))="兩款共用",INDEX('3.員工名單'!$H:$H,MATCH(A1347,'3.員工名單'!$A:$A,0))=INDEX('1.職能辭典'!$J:$J,MATCH(F1347,'1.職能辭典'!$C:$C,0))),OR(INDEX('1.職能辭典'!$K:$K,MATCH(F1347,'1.職能辭典'!$C:$C,0))="全部",SUMPRODUCT(ISNUMBER(SEARCH({"經營","管理","財務","企劃","營運","技術","數據","美術","測試","客服"},INDEX('3.員工名單'!$I:$I,MATCH(A1347,'3.員工名單'!$A:$A,0))))*ISNUMBER(SEARCH({"經營","管理","財務","企劃","營運","技術","數據","美術","測試","客服"},INDEX('1.職能辭典'!$K:$K,MATCH(F1347,'1.職能辭典'!$C:$C,0)))))&gt;0)),INDEX('2.職務職能需求'!$B$2:$F$28,MATCH(F1347,'2.職務職能需求'!$A$2:$A$28,0),MATCH(D1347,'2.職務職能需求'!$B$1:$F$1,0)),0),""))</f>
        <v/>
      </c>
      <c r="H1347" s="94" t="n"/>
      <c r="I1347" s="94" t="n"/>
      <c r="J1347" s="120">
        <f>IF(OR(G1347="",I1347="",G1347=0),"",I1347-G1347)</f>
        <v/>
      </c>
      <c r="K1347" s="120">
        <f>IF(G1347="","",IF(G1347=0,"不適用",IF(I1347="","待評核",IF(I1347&gt;=G1347,IF(I1347&gt;G1347,"超越","達標"),"待發展"))))</f>
        <v/>
      </c>
      <c r="L1347" s="91" t="n"/>
      <c r="M1347" s="91" t="n"/>
      <c r="N1347" s="88" t="n"/>
    </row>
    <row r="1348" ht="15.75" customHeight="1" s="64">
      <c r="A1348" s="88" t="n"/>
      <c r="B1348" s="120">
        <f t="array" ref="B1348:B1348">IF(A1348="","",IFERROR(INDEX('3.員工名單'!$B:$B,MATCH(A1348,'3.員工名單'!$A:$A,0)),"查無此員工"))</f>
        <v/>
      </c>
      <c r="C1348" s="120">
        <f t="array" ref="C1348:C1348">IF(A1348="","",IFERROR(INDEX('3.員工名單'!$C:$C,MATCH(A1348,'3.員工名單'!$A:$A,0)),""))</f>
        <v/>
      </c>
      <c r="D1348" s="120">
        <f t="array" ref="D1348:D1348">IF(A1348="","",IFERROR(INDEX('3.員工名單'!$D:$D,MATCH(A1348,'3.員工名單'!$A:$A,0)),""))</f>
        <v/>
      </c>
      <c r="E1348" s="120">
        <f t="array" ref="E1348:E1348">IF(F1348="","",IFERROR(INDEX('1.職能辭典'!$A:$A,MATCH(F1348,'1.職能辭典'!$C:$C,0)),""))</f>
        <v/>
      </c>
      <c r="F1348" s="94" t="n"/>
      <c r="G1348" s="120">
        <f t="array" ref="G1348:G1348">IF(OR(D1348="",F1348=""),"",IFERROR(IF(AND(OR(INDEX('1.職能辭典'!$J:$J,MATCH(F1348,'1.職能辭典'!$C:$C,0))="全部",INDEX('3.員工名單'!$H:$H,MATCH(A1348,'3.員工名單'!$A:$A,0))="兩款共用",INDEX('3.員工名單'!$H:$H,MATCH(A1348,'3.員工名單'!$A:$A,0))=INDEX('1.職能辭典'!$J:$J,MATCH(F1348,'1.職能辭典'!$C:$C,0))),OR(INDEX('1.職能辭典'!$K:$K,MATCH(F1348,'1.職能辭典'!$C:$C,0))="全部",SUMPRODUCT(ISNUMBER(SEARCH({"經營","管理","財務","企劃","營運","技術","數據","美術","測試","客服"},INDEX('3.員工名單'!$I:$I,MATCH(A1348,'3.員工名單'!$A:$A,0))))*ISNUMBER(SEARCH({"經營","管理","財務","企劃","營運","技術","數據","美術","測試","客服"},INDEX('1.職能辭典'!$K:$K,MATCH(F1348,'1.職能辭典'!$C:$C,0)))))&gt;0)),INDEX('2.職務職能需求'!$B$2:$F$28,MATCH(F1348,'2.職務職能需求'!$A$2:$A$28,0),MATCH(D1348,'2.職務職能需求'!$B$1:$F$1,0)),0),""))</f>
        <v/>
      </c>
      <c r="H1348" s="94" t="n"/>
      <c r="I1348" s="94" t="n"/>
      <c r="J1348" s="120">
        <f>IF(OR(G1348="",I1348="",G1348=0),"",I1348-G1348)</f>
        <v/>
      </c>
      <c r="K1348" s="120">
        <f>IF(G1348="","",IF(G1348=0,"不適用",IF(I1348="","待評核",IF(I1348&gt;=G1348,IF(I1348&gt;G1348,"超越","達標"),"待發展"))))</f>
        <v/>
      </c>
      <c r="L1348" s="91" t="n"/>
      <c r="M1348" s="91" t="n"/>
      <c r="N1348" s="88" t="n"/>
    </row>
    <row r="1349" ht="15.75" customHeight="1" s="64">
      <c r="A1349" s="88" t="n"/>
      <c r="B1349" s="120">
        <f t="array" ref="B1349:B1349">IF(A1349="","",IFERROR(INDEX('3.員工名單'!$B:$B,MATCH(A1349,'3.員工名單'!$A:$A,0)),"查無此員工"))</f>
        <v/>
      </c>
      <c r="C1349" s="120">
        <f t="array" ref="C1349:C1349">IF(A1349="","",IFERROR(INDEX('3.員工名單'!$C:$C,MATCH(A1349,'3.員工名單'!$A:$A,0)),""))</f>
        <v/>
      </c>
      <c r="D1349" s="120">
        <f t="array" ref="D1349:D1349">IF(A1349="","",IFERROR(INDEX('3.員工名單'!$D:$D,MATCH(A1349,'3.員工名單'!$A:$A,0)),""))</f>
        <v/>
      </c>
      <c r="E1349" s="120">
        <f t="array" ref="E1349:E1349">IF(F1349="","",IFERROR(INDEX('1.職能辭典'!$A:$A,MATCH(F1349,'1.職能辭典'!$C:$C,0)),""))</f>
        <v/>
      </c>
      <c r="F1349" s="94" t="n"/>
      <c r="G1349" s="120">
        <f t="array" ref="G1349:G1349">IF(OR(D1349="",F1349=""),"",IFERROR(IF(AND(OR(INDEX('1.職能辭典'!$J:$J,MATCH(F1349,'1.職能辭典'!$C:$C,0))="全部",INDEX('3.員工名單'!$H:$H,MATCH(A1349,'3.員工名單'!$A:$A,0))="兩款共用",INDEX('3.員工名單'!$H:$H,MATCH(A1349,'3.員工名單'!$A:$A,0))=INDEX('1.職能辭典'!$J:$J,MATCH(F1349,'1.職能辭典'!$C:$C,0))),OR(INDEX('1.職能辭典'!$K:$K,MATCH(F1349,'1.職能辭典'!$C:$C,0))="全部",SUMPRODUCT(ISNUMBER(SEARCH({"經營","管理","財務","企劃","營運","技術","數據","美術","測試","客服"},INDEX('3.員工名單'!$I:$I,MATCH(A1349,'3.員工名單'!$A:$A,0))))*ISNUMBER(SEARCH({"經營","管理","財務","企劃","營運","技術","數據","美術","測試","客服"},INDEX('1.職能辭典'!$K:$K,MATCH(F1349,'1.職能辭典'!$C:$C,0)))))&gt;0)),INDEX('2.職務職能需求'!$B$2:$F$28,MATCH(F1349,'2.職務職能需求'!$A$2:$A$28,0),MATCH(D1349,'2.職務職能需求'!$B$1:$F$1,0)),0),""))</f>
        <v/>
      </c>
      <c r="H1349" s="94" t="n"/>
      <c r="I1349" s="94" t="n"/>
      <c r="J1349" s="120">
        <f>IF(OR(G1349="",I1349="",G1349=0),"",I1349-G1349)</f>
        <v/>
      </c>
      <c r="K1349" s="120">
        <f>IF(G1349="","",IF(G1349=0,"不適用",IF(I1349="","待評核",IF(I1349&gt;=G1349,IF(I1349&gt;G1349,"超越","達標"),"待發展"))))</f>
        <v/>
      </c>
      <c r="L1349" s="91" t="n"/>
      <c r="M1349" s="91" t="n"/>
      <c r="N1349" s="88" t="n"/>
    </row>
    <row r="1350" ht="15.75" customHeight="1" s="64">
      <c r="A1350" s="88" t="n"/>
      <c r="B1350" s="120">
        <f t="array" ref="B1350:B1350">IF(A1350="","",IFERROR(INDEX('3.員工名單'!$B:$B,MATCH(A1350,'3.員工名單'!$A:$A,0)),"查無此員工"))</f>
        <v/>
      </c>
      <c r="C1350" s="120">
        <f t="array" ref="C1350:C1350">IF(A1350="","",IFERROR(INDEX('3.員工名單'!$C:$C,MATCH(A1350,'3.員工名單'!$A:$A,0)),""))</f>
        <v/>
      </c>
      <c r="D1350" s="120">
        <f t="array" ref="D1350:D1350">IF(A1350="","",IFERROR(INDEX('3.員工名單'!$D:$D,MATCH(A1350,'3.員工名單'!$A:$A,0)),""))</f>
        <v/>
      </c>
      <c r="E1350" s="120">
        <f t="array" ref="E1350:E1350">IF(F1350="","",IFERROR(INDEX('1.職能辭典'!$A:$A,MATCH(F1350,'1.職能辭典'!$C:$C,0)),""))</f>
        <v/>
      </c>
      <c r="F1350" s="94" t="n"/>
      <c r="G1350" s="120">
        <f t="array" ref="G1350:G1350">IF(OR(D1350="",F1350=""),"",IFERROR(IF(AND(OR(INDEX('1.職能辭典'!$J:$J,MATCH(F1350,'1.職能辭典'!$C:$C,0))="全部",INDEX('3.員工名單'!$H:$H,MATCH(A1350,'3.員工名單'!$A:$A,0))="兩款共用",INDEX('3.員工名單'!$H:$H,MATCH(A1350,'3.員工名單'!$A:$A,0))=INDEX('1.職能辭典'!$J:$J,MATCH(F1350,'1.職能辭典'!$C:$C,0))),OR(INDEX('1.職能辭典'!$K:$K,MATCH(F1350,'1.職能辭典'!$C:$C,0))="全部",SUMPRODUCT(ISNUMBER(SEARCH({"經營","管理","財務","企劃","營運","技術","數據","美術","測試","客服"},INDEX('3.員工名單'!$I:$I,MATCH(A1350,'3.員工名單'!$A:$A,0))))*ISNUMBER(SEARCH({"經營","管理","財務","企劃","營運","技術","數據","美術","測試","客服"},INDEX('1.職能辭典'!$K:$K,MATCH(F1350,'1.職能辭典'!$C:$C,0)))))&gt;0)),INDEX('2.職務職能需求'!$B$2:$F$28,MATCH(F1350,'2.職務職能需求'!$A$2:$A$28,0),MATCH(D1350,'2.職務職能需求'!$B$1:$F$1,0)),0),""))</f>
        <v/>
      </c>
      <c r="H1350" s="94" t="n"/>
      <c r="I1350" s="94" t="n"/>
      <c r="J1350" s="120">
        <f>IF(OR(G1350="",I1350="",G1350=0),"",I1350-G1350)</f>
        <v/>
      </c>
      <c r="K1350" s="120">
        <f>IF(G1350="","",IF(G1350=0,"不適用",IF(I1350="","待評核",IF(I1350&gt;=G1350,IF(I1350&gt;G1350,"超越","達標"),"待發展"))))</f>
        <v/>
      </c>
      <c r="L1350" s="91" t="n"/>
      <c r="M1350" s="91" t="n"/>
      <c r="N1350" s="88" t="n"/>
    </row>
    <row r="1351" ht="15.75" customHeight="1" s="64">
      <c r="A1351" s="88" t="n"/>
      <c r="B1351" s="120">
        <f t="array" ref="B1351:B1351">IF(A1351="","",IFERROR(INDEX('3.員工名單'!$B:$B,MATCH(A1351,'3.員工名單'!$A:$A,0)),"查無此員工"))</f>
        <v/>
      </c>
      <c r="C1351" s="120">
        <f t="array" ref="C1351:C1351">IF(A1351="","",IFERROR(INDEX('3.員工名單'!$C:$C,MATCH(A1351,'3.員工名單'!$A:$A,0)),""))</f>
        <v/>
      </c>
      <c r="D1351" s="120">
        <f t="array" ref="D1351:D1351">IF(A1351="","",IFERROR(INDEX('3.員工名單'!$D:$D,MATCH(A1351,'3.員工名單'!$A:$A,0)),""))</f>
        <v/>
      </c>
      <c r="E1351" s="120">
        <f t="array" ref="E1351:E1351">IF(F1351="","",IFERROR(INDEX('1.職能辭典'!$A:$A,MATCH(F1351,'1.職能辭典'!$C:$C,0)),""))</f>
        <v/>
      </c>
      <c r="F1351" s="94" t="n"/>
      <c r="G1351" s="120">
        <f t="array" ref="G1351:G1351">IF(OR(D1351="",F1351=""),"",IFERROR(IF(AND(OR(INDEX('1.職能辭典'!$J:$J,MATCH(F1351,'1.職能辭典'!$C:$C,0))="全部",INDEX('3.員工名單'!$H:$H,MATCH(A1351,'3.員工名單'!$A:$A,0))="兩款共用",INDEX('3.員工名單'!$H:$H,MATCH(A1351,'3.員工名單'!$A:$A,0))=INDEX('1.職能辭典'!$J:$J,MATCH(F1351,'1.職能辭典'!$C:$C,0))),OR(INDEX('1.職能辭典'!$K:$K,MATCH(F1351,'1.職能辭典'!$C:$C,0))="全部",SUMPRODUCT(ISNUMBER(SEARCH({"經營","管理","財務","企劃","營運","技術","數據","美術","測試","客服"},INDEX('3.員工名單'!$I:$I,MATCH(A1351,'3.員工名單'!$A:$A,0))))*ISNUMBER(SEARCH({"經營","管理","財務","企劃","營運","技術","數據","美術","測試","客服"},INDEX('1.職能辭典'!$K:$K,MATCH(F1351,'1.職能辭典'!$C:$C,0)))))&gt;0)),INDEX('2.職務職能需求'!$B$2:$F$28,MATCH(F1351,'2.職務職能需求'!$A$2:$A$28,0),MATCH(D1351,'2.職務職能需求'!$B$1:$F$1,0)),0),""))</f>
        <v/>
      </c>
      <c r="H1351" s="94" t="n"/>
      <c r="I1351" s="94" t="n"/>
      <c r="J1351" s="120">
        <f>IF(OR(G1351="",I1351="",G1351=0),"",I1351-G1351)</f>
        <v/>
      </c>
      <c r="K1351" s="120">
        <f>IF(G1351="","",IF(G1351=0,"不適用",IF(I1351="","待評核",IF(I1351&gt;=G1351,IF(I1351&gt;G1351,"超越","達標"),"待發展"))))</f>
        <v/>
      </c>
      <c r="L1351" s="91" t="n"/>
      <c r="M1351" s="91" t="n"/>
      <c r="N1351" s="88" t="n"/>
    </row>
    <row r="1352" ht="15.75" customHeight="1" s="64">
      <c r="A1352" s="88" t="n"/>
      <c r="B1352" s="120">
        <f t="array" ref="B1352:B1352">IF(A1352="","",IFERROR(INDEX('3.員工名單'!$B:$B,MATCH(A1352,'3.員工名單'!$A:$A,0)),"查無此員工"))</f>
        <v/>
      </c>
      <c r="C1352" s="120">
        <f t="array" ref="C1352:C1352">IF(A1352="","",IFERROR(INDEX('3.員工名單'!$C:$C,MATCH(A1352,'3.員工名單'!$A:$A,0)),""))</f>
        <v/>
      </c>
      <c r="D1352" s="120">
        <f t="array" ref="D1352:D1352">IF(A1352="","",IFERROR(INDEX('3.員工名單'!$D:$D,MATCH(A1352,'3.員工名單'!$A:$A,0)),""))</f>
        <v/>
      </c>
      <c r="E1352" s="120">
        <f t="array" ref="E1352:E1352">IF(F1352="","",IFERROR(INDEX('1.職能辭典'!$A:$A,MATCH(F1352,'1.職能辭典'!$C:$C,0)),""))</f>
        <v/>
      </c>
      <c r="F1352" s="94" t="n"/>
      <c r="G1352" s="120">
        <f t="array" ref="G1352:G1352">IF(OR(D1352="",F1352=""),"",IFERROR(IF(AND(OR(INDEX('1.職能辭典'!$J:$J,MATCH(F1352,'1.職能辭典'!$C:$C,0))="全部",INDEX('3.員工名單'!$H:$H,MATCH(A1352,'3.員工名單'!$A:$A,0))="兩款共用",INDEX('3.員工名單'!$H:$H,MATCH(A1352,'3.員工名單'!$A:$A,0))=INDEX('1.職能辭典'!$J:$J,MATCH(F1352,'1.職能辭典'!$C:$C,0))),OR(INDEX('1.職能辭典'!$K:$K,MATCH(F1352,'1.職能辭典'!$C:$C,0))="全部",SUMPRODUCT(ISNUMBER(SEARCH({"經營","管理","財務","企劃","營運","技術","數據","美術","測試","客服"},INDEX('3.員工名單'!$I:$I,MATCH(A1352,'3.員工名單'!$A:$A,0))))*ISNUMBER(SEARCH({"經營","管理","財務","企劃","營運","技術","數據","美術","測試","客服"},INDEX('1.職能辭典'!$K:$K,MATCH(F1352,'1.職能辭典'!$C:$C,0)))))&gt;0)),INDEX('2.職務職能需求'!$B$2:$F$28,MATCH(F1352,'2.職務職能需求'!$A$2:$A$28,0),MATCH(D1352,'2.職務職能需求'!$B$1:$F$1,0)),0),""))</f>
        <v/>
      </c>
      <c r="H1352" s="94" t="n"/>
      <c r="I1352" s="94" t="n"/>
      <c r="J1352" s="120">
        <f>IF(OR(G1352="",I1352="",G1352=0),"",I1352-G1352)</f>
        <v/>
      </c>
      <c r="K1352" s="120">
        <f>IF(G1352="","",IF(G1352=0,"不適用",IF(I1352="","待評核",IF(I1352&gt;=G1352,IF(I1352&gt;G1352,"超越","達標"),"待發展"))))</f>
        <v/>
      </c>
      <c r="L1352" s="91" t="n"/>
      <c r="M1352" s="91" t="n"/>
      <c r="N1352" s="88" t="n"/>
    </row>
    <row r="1353" ht="15.75" customHeight="1" s="64">
      <c r="A1353" s="88" t="n"/>
      <c r="B1353" s="120">
        <f t="array" ref="B1353:B1353">IF(A1353="","",IFERROR(INDEX('3.員工名單'!$B:$B,MATCH(A1353,'3.員工名單'!$A:$A,0)),"查無此員工"))</f>
        <v/>
      </c>
      <c r="C1353" s="120">
        <f t="array" ref="C1353:C1353">IF(A1353="","",IFERROR(INDEX('3.員工名單'!$C:$C,MATCH(A1353,'3.員工名單'!$A:$A,0)),""))</f>
        <v/>
      </c>
      <c r="D1353" s="120">
        <f t="array" ref="D1353:D1353">IF(A1353="","",IFERROR(INDEX('3.員工名單'!$D:$D,MATCH(A1353,'3.員工名單'!$A:$A,0)),""))</f>
        <v/>
      </c>
      <c r="E1353" s="120">
        <f t="array" ref="E1353:E1353">IF(F1353="","",IFERROR(INDEX('1.職能辭典'!$A:$A,MATCH(F1353,'1.職能辭典'!$C:$C,0)),""))</f>
        <v/>
      </c>
      <c r="F1353" s="94" t="n"/>
      <c r="G1353" s="120">
        <f t="array" ref="G1353:G1353">IF(OR(D1353="",F1353=""),"",IFERROR(IF(AND(OR(INDEX('1.職能辭典'!$J:$J,MATCH(F1353,'1.職能辭典'!$C:$C,0))="全部",INDEX('3.員工名單'!$H:$H,MATCH(A1353,'3.員工名單'!$A:$A,0))="兩款共用",INDEX('3.員工名單'!$H:$H,MATCH(A1353,'3.員工名單'!$A:$A,0))=INDEX('1.職能辭典'!$J:$J,MATCH(F1353,'1.職能辭典'!$C:$C,0))),OR(INDEX('1.職能辭典'!$K:$K,MATCH(F1353,'1.職能辭典'!$C:$C,0))="全部",SUMPRODUCT(ISNUMBER(SEARCH({"經營","管理","財務","企劃","營運","技術","數據","美術","測試","客服"},INDEX('3.員工名單'!$I:$I,MATCH(A1353,'3.員工名單'!$A:$A,0))))*ISNUMBER(SEARCH({"經營","管理","財務","企劃","營運","技術","數據","美術","測試","客服"},INDEX('1.職能辭典'!$K:$K,MATCH(F1353,'1.職能辭典'!$C:$C,0)))))&gt;0)),INDEX('2.職務職能需求'!$B$2:$F$28,MATCH(F1353,'2.職務職能需求'!$A$2:$A$28,0),MATCH(D1353,'2.職務職能需求'!$B$1:$F$1,0)),0),""))</f>
        <v/>
      </c>
      <c r="H1353" s="94" t="n"/>
      <c r="I1353" s="94" t="n"/>
      <c r="J1353" s="120">
        <f>IF(OR(G1353="",I1353="",G1353=0),"",I1353-G1353)</f>
        <v/>
      </c>
      <c r="K1353" s="120">
        <f>IF(G1353="","",IF(G1353=0,"不適用",IF(I1353="","待評核",IF(I1353&gt;=G1353,IF(I1353&gt;G1353,"超越","達標"),"待發展"))))</f>
        <v/>
      </c>
      <c r="L1353" s="91" t="n"/>
      <c r="M1353" s="91" t="n"/>
      <c r="N1353" s="88" t="n"/>
    </row>
    <row r="1354" ht="15.75" customHeight="1" s="64">
      <c r="A1354" s="88" t="n"/>
      <c r="B1354" s="120">
        <f t="array" ref="B1354:B1354">IF(A1354="","",IFERROR(INDEX('3.員工名單'!$B:$B,MATCH(A1354,'3.員工名單'!$A:$A,0)),"查無此員工"))</f>
        <v/>
      </c>
      <c r="C1354" s="120">
        <f t="array" ref="C1354:C1354">IF(A1354="","",IFERROR(INDEX('3.員工名單'!$C:$C,MATCH(A1354,'3.員工名單'!$A:$A,0)),""))</f>
        <v/>
      </c>
      <c r="D1354" s="120">
        <f t="array" ref="D1354:D1354">IF(A1354="","",IFERROR(INDEX('3.員工名單'!$D:$D,MATCH(A1354,'3.員工名單'!$A:$A,0)),""))</f>
        <v/>
      </c>
      <c r="E1354" s="120">
        <f t="array" ref="E1354:E1354">IF(F1354="","",IFERROR(INDEX('1.職能辭典'!$A:$A,MATCH(F1354,'1.職能辭典'!$C:$C,0)),""))</f>
        <v/>
      </c>
      <c r="F1354" s="94" t="n"/>
      <c r="G1354" s="120">
        <f t="array" ref="G1354:G1354">IF(OR(D1354="",F1354=""),"",IFERROR(IF(AND(OR(INDEX('1.職能辭典'!$J:$J,MATCH(F1354,'1.職能辭典'!$C:$C,0))="全部",INDEX('3.員工名單'!$H:$H,MATCH(A1354,'3.員工名單'!$A:$A,0))="兩款共用",INDEX('3.員工名單'!$H:$H,MATCH(A1354,'3.員工名單'!$A:$A,0))=INDEX('1.職能辭典'!$J:$J,MATCH(F1354,'1.職能辭典'!$C:$C,0))),OR(INDEX('1.職能辭典'!$K:$K,MATCH(F1354,'1.職能辭典'!$C:$C,0))="全部",SUMPRODUCT(ISNUMBER(SEARCH({"經營","管理","財務","企劃","營運","技術","數據","美術","測試","客服"},INDEX('3.員工名單'!$I:$I,MATCH(A1354,'3.員工名單'!$A:$A,0))))*ISNUMBER(SEARCH({"經營","管理","財務","企劃","營運","技術","數據","美術","測試","客服"},INDEX('1.職能辭典'!$K:$K,MATCH(F1354,'1.職能辭典'!$C:$C,0)))))&gt;0)),INDEX('2.職務職能需求'!$B$2:$F$28,MATCH(F1354,'2.職務職能需求'!$A$2:$A$28,0),MATCH(D1354,'2.職務職能需求'!$B$1:$F$1,0)),0),""))</f>
        <v/>
      </c>
      <c r="H1354" s="94" t="n"/>
      <c r="I1354" s="94" t="n"/>
      <c r="J1354" s="120">
        <f>IF(OR(G1354="",I1354="",G1354=0),"",I1354-G1354)</f>
        <v/>
      </c>
      <c r="K1354" s="120">
        <f>IF(G1354="","",IF(G1354=0,"不適用",IF(I1354="","待評核",IF(I1354&gt;=G1354,IF(I1354&gt;G1354,"超越","達標"),"待發展"))))</f>
        <v/>
      </c>
      <c r="L1354" s="91" t="n"/>
      <c r="M1354" s="91" t="n"/>
      <c r="N1354" s="88" t="n"/>
    </row>
    <row r="1355" ht="15.75" customHeight="1" s="64">
      <c r="A1355" s="88" t="n"/>
      <c r="B1355" s="120">
        <f t="array" ref="B1355:B1355">IF(A1355="","",IFERROR(INDEX('3.員工名單'!$B:$B,MATCH(A1355,'3.員工名單'!$A:$A,0)),"查無此員工"))</f>
        <v/>
      </c>
      <c r="C1355" s="120">
        <f t="array" ref="C1355:C1355">IF(A1355="","",IFERROR(INDEX('3.員工名單'!$C:$C,MATCH(A1355,'3.員工名單'!$A:$A,0)),""))</f>
        <v/>
      </c>
      <c r="D1355" s="120">
        <f t="array" ref="D1355:D1355">IF(A1355="","",IFERROR(INDEX('3.員工名單'!$D:$D,MATCH(A1355,'3.員工名單'!$A:$A,0)),""))</f>
        <v/>
      </c>
      <c r="E1355" s="120">
        <f t="array" ref="E1355:E1355">IF(F1355="","",IFERROR(INDEX('1.職能辭典'!$A:$A,MATCH(F1355,'1.職能辭典'!$C:$C,0)),""))</f>
        <v/>
      </c>
      <c r="F1355" s="94" t="n"/>
      <c r="G1355" s="120">
        <f t="array" ref="G1355:G1355">IF(OR(D1355="",F1355=""),"",IFERROR(IF(AND(OR(INDEX('1.職能辭典'!$J:$J,MATCH(F1355,'1.職能辭典'!$C:$C,0))="全部",INDEX('3.員工名單'!$H:$H,MATCH(A1355,'3.員工名單'!$A:$A,0))="兩款共用",INDEX('3.員工名單'!$H:$H,MATCH(A1355,'3.員工名單'!$A:$A,0))=INDEX('1.職能辭典'!$J:$J,MATCH(F1355,'1.職能辭典'!$C:$C,0))),OR(INDEX('1.職能辭典'!$K:$K,MATCH(F1355,'1.職能辭典'!$C:$C,0))="全部",SUMPRODUCT(ISNUMBER(SEARCH({"經營","管理","財務","企劃","營運","技術","數據","美術","測試","客服"},INDEX('3.員工名單'!$I:$I,MATCH(A1355,'3.員工名單'!$A:$A,0))))*ISNUMBER(SEARCH({"經營","管理","財務","企劃","營運","技術","數據","美術","測試","客服"},INDEX('1.職能辭典'!$K:$K,MATCH(F1355,'1.職能辭典'!$C:$C,0)))))&gt;0)),INDEX('2.職務職能需求'!$B$2:$F$28,MATCH(F1355,'2.職務職能需求'!$A$2:$A$28,0),MATCH(D1355,'2.職務職能需求'!$B$1:$F$1,0)),0),""))</f>
        <v/>
      </c>
      <c r="H1355" s="94" t="n"/>
      <c r="I1355" s="94" t="n"/>
      <c r="J1355" s="120">
        <f>IF(OR(G1355="",I1355="",G1355=0),"",I1355-G1355)</f>
        <v/>
      </c>
      <c r="K1355" s="120">
        <f>IF(G1355="","",IF(G1355=0,"不適用",IF(I1355="","待評核",IF(I1355&gt;=G1355,IF(I1355&gt;G1355,"超越","達標"),"待發展"))))</f>
        <v/>
      </c>
      <c r="L1355" s="91" t="n"/>
      <c r="M1355" s="91" t="n"/>
      <c r="N1355" s="88" t="n"/>
    </row>
    <row r="1356" ht="15.75" customHeight="1" s="64">
      <c r="A1356" s="88" t="n"/>
      <c r="B1356" s="120">
        <f t="array" ref="B1356:B1356">IF(A1356="","",IFERROR(INDEX('3.員工名單'!$B:$B,MATCH(A1356,'3.員工名單'!$A:$A,0)),"查無此員工"))</f>
        <v/>
      </c>
      <c r="C1356" s="120">
        <f t="array" ref="C1356:C1356">IF(A1356="","",IFERROR(INDEX('3.員工名單'!$C:$C,MATCH(A1356,'3.員工名單'!$A:$A,0)),""))</f>
        <v/>
      </c>
      <c r="D1356" s="120">
        <f t="array" ref="D1356:D1356">IF(A1356="","",IFERROR(INDEX('3.員工名單'!$D:$D,MATCH(A1356,'3.員工名單'!$A:$A,0)),""))</f>
        <v/>
      </c>
      <c r="E1356" s="120">
        <f t="array" ref="E1356:E1356">IF(F1356="","",IFERROR(INDEX('1.職能辭典'!$A:$A,MATCH(F1356,'1.職能辭典'!$C:$C,0)),""))</f>
        <v/>
      </c>
      <c r="F1356" s="94" t="n"/>
      <c r="G1356" s="120">
        <f t="array" ref="G1356:G1356">IF(OR(D1356="",F1356=""),"",IFERROR(IF(AND(OR(INDEX('1.職能辭典'!$J:$J,MATCH(F1356,'1.職能辭典'!$C:$C,0))="全部",INDEX('3.員工名單'!$H:$H,MATCH(A1356,'3.員工名單'!$A:$A,0))="兩款共用",INDEX('3.員工名單'!$H:$H,MATCH(A1356,'3.員工名單'!$A:$A,0))=INDEX('1.職能辭典'!$J:$J,MATCH(F1356,'1.職能辭典'!$C:$C,0))),OR(INDEX('1.職能辭典'!$K:$K,MATCH(F1356,'1.職能辭典'!$C:$C,0))="全部",SUMPRODUCT(ISNUMBER(SEARCH({"經營","管理","財務","企劃","營運","技術","數據","美術","測試","客服"},INDEX('3.員工名單'!$I:$I,MATCH(A1356,'3.員工名單'!$A:$A,0))))*ISNUMBER(SEARCH({"經營","管理","財務","企劃","營運","技術","數據","美術","測試","客服"},INDEX('1.職能辭典'!$K:$K,MATCH(F1356,'1.職能辭典'!$C:$C,0)))))&gt;0)),INDEX('2.職務職能需求'!$B$2:$F$28,MATCH(F1356,'2.職務職能需求'!$A$2:$A$28,0),MATCH(D1356,'2.職務職能需求'!$B$1:$F$1,0)),0),""))</f>
        <v/>
      </c>
      <c r="H1356" s="94" t="n"/>
      <c r="I1356" s="94" t="n"/>
      <c r="J1356" s="120">
        <f>IF(OR(G1356="",I1356="",G1356=0),"",I1356-G1356)</f>
        <v/>
      </c>
      <c r="K1356" s="120">
        <f>IF(G1356="","",IF(G1356=0,"不適用",IF(I1356="","待評核",IF(I1356&gt;=G1356,IF(I1356&gt;G1356,"超越","達標"),"待發展"))))</f>
        <v/>
      </c>
      <c r="L1356" s="91" t="n"/>
      <c r="M1356" s="91" t="n"/>
      <c r="N1356" s="88" t="n"/>
    </row>
    <row r="1357" ht="15.75" customHeight="1" s="64">
      <c r="A1357" s="88" t="n"/>
      <c r="B1357" s="120">
        <f t="array" ref="B1357:B1357">IF(A1357="","",IFERROR(INDEX('3.員工名單'!$B:$B,MATCH(A1357,'3.員工名單'!$A:$A,0)),"查無此員工"))</f>
        <v/>
      </c>
      <c r="C1357" s="120">
        <f t="array" ref="C1357:C1357">IF(A1357="","",IFERROR(INDEX('3.員工名單'!$C:$C,MATCH(A1357,'3.員工名單'!$A:$A,0)),""))</f>
        <v/>
      </c>
      <c r="D1357" s="120">
        <f t="array" ref="D1357:D1357">IF(A1357="","",IFERROR(INDEX('3.員工名單'!$D:$D,MATCH(A1357,'3.員工名單'!$A:$A,0)),""))</f>
        <v/>
      </c>
      <c r="E1357" s="120">
        <f t="array" ref="E1357:E1357">IF(F1357="","",IFERROR(INDEX('1.職能辭典'!$A:$A,MATCH(F1357,'1.職能辭典'!$C:$C,0)),""))</f>
        <v/>
      </c>
      <c r="F1357" s="94" t="n"/>
      <c r="G1357" s="120">
        <f t="array" ref="G1357:G1357">IF(OR(D1357="",F1357=""),"",IFERROR(IF(AND(OR(INDEX('1.職能辭典'!$J:$J,MATCH(F1357,'1.職能辭典'!$C:$C,0))="全部",INDEX('3.員工名單'!$H:$H,MATCH(A1357,'3.員工名單'!$A:$A,0))="兩款共用",INDEX('3.員工名單'!$H:$H,MATCH(A1357,'3.員工名單'!$A:$A,0))=INDEX('1.職能辭典'!$J:$J,MATCH(F1357,'1.職能辭典'!$C:$C,0))),OR(INDEX('1.職能辭典'!$K:$K,MATCH(F1357,'1.職能辭典'!$C:$C,0))="全部",SUMPRODUCT(ISNUMBER(SEARCH({"經營","管理","財務","企劃","營運","技術","數據","美術","測試","客服"},INDEX('3.員工名單'!$I:$I,MATCH(A1357,'3.員工名單'!$A:$A,0))))*ISNUMBER(SEARCH({"經營","管理","財務","企劃","營運","技術","數據","美術","測試","客服"},INDEX('1.職能辭典'!$K:$K,MATCH(F1357,'1.職能辭典'!$C:$C,0)))))&gt;0)),INDEX('2.職務職能需求'!$B$2:$F$28,MATCH(F1357,'2.職務職能需求'!$A$2:$A$28,0),MATCH(D1357,'2.職務職能需求'!$B$1:$F$1,0)),0),""))</f>
        <v/>
      </c>
      <c r="H1357" s="94" t="n"/>
      <c r="I1357" s="94" t="n"/>
      <c r="J1357" s="120">
        <f>IF(OR(G1357="",I1357="",G1357=0),"",I1357-G1357)</f>
        <v/>
      </c>
      <c r="K1357" s="120">
        <f>IF(G1357="","",IF(G1357=0,"不適用",IF(I1357="","待評核",IF(I1357&gt;=G1357,IF(I1357&gt;G1357,"超越","達標"),"待發展"))))</f>
        <v/>
      </c>
      <c r="L1357" s="91" t="n"/>
      <c r="M1357" s="91" t="n"/>
      <c r="N1357" s="88" t="n"/>
    </row>
    <row r="1358" ht="15.75" customHeight="1" s="64">
      <c r="A1358" s="88" t="n"/>
      <c r="B1358" s="120">
        <f t="array" ref="B1358:B1358">IF(A1358="","",IFERROR(INDEX('3.員工名單'!$B:$B,MATCH(A1358,'3.員工名單'!$A:$A,0)),"查無此員工"))</f>
        <v/>
      </c>
      <c r="C1358" s="120">
        <f t="array" ref="C1358:C1358">IF(A1358="","",IFERROR(INDEX('3.員工名單'!$C:$C,MATCH(A1358,'3.員工名單'!$A:$A,0)),""))</f>
        <v/>
      </c>
      <c r="D1358" s="120">
        <f t="array" ref="D1358:D1358">IF(A1358="","",IFERROR(INDEX('3.員工名單'!$D:$D,MATCH(A1358,'3.員工名單'!$A:$A,0)),""))</f>
        <v/>
      </c>
      <c r="E1358" s="120">
        <f t="array" ref="E1358:E1358">IF(F1358="","",IFERROR(INDEX('1.職能辭典'!$A:$A,MATCH(F1358,'1.職能辭典'!$C:$C,0)),""))</f>
        <v/>
      </c>
      <c r="F1358" s="94" t="n"/>
      <c r="G1358" s="120">
        <f t="array" ref="G1358:G1358">IF(OR(D1358="",F1358=""),"",IFERROR(IF(AND(OR(INDEX('1.職能辭典'!$J:$J,MATCH(F1358,'1.職能辭典'!$C:$C,0))="全部",INDEX('3.員工名單'!$H:$H,MATCH(A1358,'3.員工名單'!$A:$A,0))="兩款共用",INDEX('3.員工名單'!$H:$H,MATCH(A1358,'3.員工名單'!$A:$A,0))=INDEX('1.職能辭典'!$J:$J,MATCH(F1358,'1.職能辭典'!$C:$C,0))),OR(INDEX('1.職能辭典'!$K:$K,MATCH(F1358,'1.職能辭典'!$C:$C,0))="全部",SUMPRODUCT(ISNUMBER(SEARCH({"經營","管理","財務","企劃","營運","技術","數據","美術","測試","客服"},INDEX('3.員工名單'!$I:$I,MATCH(A1358,'3.員工名單'!$A:$A,0))))*ISNUMBER(SEARCH({"經營","管理","財務","企劃","營運","技術","數據","美術","測試","客服"},INDEX('1.職能辭典'!$K:$K,MATCH(F1358,'1.職能辭典'!$C:$C,0)))))&gt;0)),INDEX('2.職務職能需求'!$B$2:$F$28,MATCH(F1358,'2.職務職能需求'!$A$2:$A$28,0),MATCH(D1358,'2.職務職能需求'!$B$1:$F$1,0)),0),""))</f>
        <v/>
      </c>
      <c r="H1358" s="94" t="n"/>
      <c r="I1358" s="94" t="n"/>
      <c r="J1358" s="120">
        <f>IF(OR(G1358="",I1358="",G1358=0),"",I1358-G1358)</f>
        <v/>
      </c>
      <c r="K1358" s="120">
        <f>IF(G1358="","",IF(G1358=0,"不適用",IF(I1358="","待評核",IF(I1358&gt;=G1358,IF(I1358&gt;G1358,"超越","達標"),"待發展"))))</f>
        <v/>
      </c>
      <c r="L1358" s="91" t="n"/>
      <c r="M1358" s="91" t="n"/>
      <c r="N1358" s="88" t="n"/>
    </row>
    <row r="1359" ht="15.75" customHeight="1" s="64">
      <c r="A1359" s="88" t="n"/>
      <c r="B1359" s="120">
        <f t="array" ref="B1359:B1359">IF(A1359="","",IFERROR(INDEX('3.員工名單'!$B:$B,MATCH(A1359,'3.員工名單'!$A:$A,0)),"查無此員工"))</f>
        <v/>
      </c>
      <c r="C1359" s="120">
        <f t="array" ref="C1359:C1359">IF(A1359="","",IFERROR(INDEX('3.員工名單'!$C:$C,MATCH(A1359,'3.員工名單'!$A:$A,0)),""))</f>
        <v/>
      </c>
      <c r="D1359" s="120">
        <f t="array" ref="D1359:D1359">IF(A1359="","",IFERROR(INDEX('3.員工名單'!$D:$D,MATCH(A1359,'3.員工名單'!$A:$A,0)),""))</f>
        <v/>
      </c>
      <c r="E1359" s="120">
        <f t="array" ref="E1359:E1359">IF(F1359="","",IFERROR(INDEX('1.職能辭典'!$A:$A,MATCH(F1359,'1.職能辭典'!$C:$C,0)),""))</f>
        <v/>
      </c>
      <c r="F1359" s="94" t="n"/>
      <c r="G1359" s="120">
        <f t="array" ref="G1359:G1359">IF(OR(D1359="",F1359=""),"",IFERROR(IF(AND(OR(INDEX('1.職能辭典'!$J:$J,MATCH(F1359,'1.職能辭典'!$C:$C,0))="全部",INDEX('3.員工名單'!$H:$H,MATCH(A1359,'3.員工名單'!$A:$A,0))="兩款共用",INDEX('3.員工名單'!$H:$H,MATCH(A1359,'3.員工名單'!$A:$A,0))=INDEX('1.職能辭典'!$J:$J,MATCH(F1359,'1.職能辭典'!$C:$C,0))),OR(INDEX('1.職能辭典'!$K:$K,MATCH(F1359,'1.職能辭典'!$C:$C,0))="全部",SUMPRODUCT(ISNUMBER(SEARCH({"經營","管理","財務","企劃","營運","技術","數據","美術","測試","客服"},INDEX('3.員工名單'!$I:$I,MATCH(A1359,'3.員工名單'!$A:$A,0))))*ISNUMBER(SEARCH({"經營","管理","財務","企劃","營運","技術","數據","美術","測試","客服"},INDEX('1.職能辭典'!$K:$K,MATCH(F1359,'1.職能辭典'!$C:$C,0)))))&gt;0)),INDEX('2.職務職能需求'!$B$2:$F$28,MATCH(F1359,'2.職務職能需求'!$A$2:$A$28,0),MATCH(D1359,'2.職務職能需求'!$B$1:$F$1,0)),0),""))</f>
        <v/>
      </c>
      <c r="H1359" s="94" t="n"/>
      <c r="I1359" s="94" t="n"/>
      <c r="J1359" s="120">
        <f>IF(OR(G1359="",I1359="",G1359=0),"",I1359-G1359)</f>
        <v/>
      </c>
      <c r="K1359" s="120">
        <f>IF(G1359="","",IF(G1359=0,"不適用",IF(I1359="","待評核",IF(I1359&gt;=G1359,IF(I1359&gt;G1359,"超越","達標"),"待發展"))))</f>
        <v/>
      </c>
      <c r="L1359" s="91" t="n"/>
      <c r="M1359" s="91" t="n"/>
      <c r="N1359" s="88" t="n"/>
    </row>
    <row r="1360" ht="15.75" customHeight="1" s="64">
      <c r="A1360" s="88" t="n"/>
      <c r="B1360" s="120">
        <f t="array" ref="B1360:B1360">IF(A1360="","",IFERROR(INDEX('3.員工名單'!$B:$B,MATCH(A1360,'3.員工名單'!$A:$A,0)),"查無此員工"))</f>
        <v/>
      </c>
      <c r="C1360" s="120">
        <f t="array" ref="C1360:C1360">IF(A1360="","",IFERROR(INDEX('3.員工名單'!$C:$C,MATCH(A1360,'3.員工名單'!$A:$A,0)),""))</f>
        <v/>
      </c>
      <c r="D1360" s="120">
        <f t="array" ref="D1360:D1360">IF(A1360="","",IFERROR(INDEX('3.員工名單'!$D:$D,MATCH(A1360,'3.員工名單'!$A:$A,0)),""))</f>
        <v/>
      </c>
      <c r="E1360" s="120">
        <f t="array" ref="E1360:E1360">IF(F1360="","",IFERROR(INDEX('1.職能辭典'!$A:$A,MATCH(F1360,'1.職能辭典'!$C:$C,0)),""))</f>
        <v/>
      </c>
      <c r="F1360" s="94" t="n"/>
      <c r="G1360" s="120">
        <f t="array" ref="G1360:G1360">IF(OR(D1360="",F1360=""),"",IFERROR(IF(AND(OR(INDEX('1.職能辭典'!$J:$J,MATCH(F1360,'1.職能辭典'!$C:$C,0))="全部",INDEX('3.員工名單'!$H:$H,MATCH(A1360,'3.員工名單'!$A:$A,0))="兩款共用",INDEX('3.員工名單'!$H:$H,MATCH(A1360,'3.員工名單'!$A:$A,0))=INDEX('1.職能辭典'!$J:$J,MATCH(F1360,'1.職能辭典'!$C:$C,0))),OR(INDEX('1.職能辭典'!$K:$K,MATCH(F1360,'1.職能辭典'!$C:$C,0))="全部",SUMPRODUCT(ISNUMBER(SEARCH({"經營","管理","財務","企劃","營運","技術","數據","美術","測試","客服"},INDEX('3.員工名單'!$I:$I,MATCH(A1360,'3.員工名單'!$A:$A,0))))*ISNUMBER(SEARCH({"經營","管理","財務","企劃","營運","技術","數據","美術","測試","客服"},INDEX('1.職能辭典'!$K:$K,MATCH(F1360,'1.職能辭典'!$C:$C,0)))))&gt;0)),INDEX('2.職務職能需求'!$B$2:$F$28,MATCH(F1360,'2.職務職能需求'!$A$2:$A$28,0),MATCH(D1360,'2.職務職能需求'!$B$1:$F$1,0)),0),""))</f>
        <v/>
      </c>
      <c r="H1360" s="94" t="n"/>
      <c r="I1360" s="94" t="n"/>
      <c r="J1360" s="120">
        <f>IF(OR(G1360="",I1360="",G1360=0),"",I1360-G1360)</f>
        <v/>
      </c>
      <c r="K1360" s="120">
        <f>IF(G1360="","",IF(G1360=0,"不適用",IF(I1360="","待評核",IF(I1360&gt;=G1360,IF(I1360&gt;G1360,"超越","達標"),"待發展"))))</f>
        <v/>
      </c>
      <c r="L1360" s="91" t="n"/>
      <c r="M1360" s="91" t="n"/>
      <c r="N1360" s="88" t="n"/>
    </row>
    <row r="1361" ht="15.75" customHeight="1" s="64">
      <c r="A1361" s="88" t="n"/>
      <c r="B1361" s="120">
        <f t="array" ref="B1361:B1361">IF(A1361="","",IFERROR(INDEX('3.員工名單'!$B:$B,MATCH(A1361,'3.員工名單'!$A:$A,0)),"查無此員工"))</f>
        <v/>
      </c>
      <c r="C1361" s="120">
        <f t="array" ref="C1361:C1361">IF(A1361="","",IFERROR(INDEX('3.員工名單'!$C:$C,MATCH(A1361,'3.員工名單'!$A:$A,0)),""))</f>
        <v/>
      </c>
      <c r="D1361" s="120">
        <f t="array" ref="D1361:D1361">IF(A1361="","",IFERROR(INDEX('3.員工名單'!$D:$D,MATCH(A1361,'3.員工名單'!$A:$A,0)),""))</f>
        <v/>
      </c>
      <c r="E1361" s="120">
        <f t="array" ref="E1361:E1361">IF(F1361="","",IFERROR(INDEX('1.職能辭典'!$A:$A,MATCH(F1361,'1.職能辭典'!$C:$C,0)),""))</f>
        <v/>
      </c>
      <c r="F1361" s="94" t="n"/>
      <c r="G1361" s="120">
        <f t="array" ref="G1361:G1361">IF(OR(D1361="",F1361=""),"",IFERROR(IF(AND(OR(INDEX('1.職能辭典'!$J:$J,MATCH(F1361,'1.職能辭典'!$C:$C,0))="全部",INDEX('3.員工名單'!$H:$H,MATCH(A1361,'3.員工名單'!$A:$A,0))="兩款共用",INDEX('3.員工名單'!$H:$H,MATCH(A1361,'3.員工名單'!$A:$A,0))=INDEX('1.職能辭典'!$J:$J,MATCH(F1361,'1.職能辭典'!$C:$C,0))),OR(INDEX('1.職能辭典'!$K:$K,MATCH(F1361,'1.職能辭典'!$C:$C,0))="全部",SUMPRODUCT(ISNUMBER(SEARCH({"經營","管理","財務","企劃","營運","技術","數據","美術","測試","客服"},INDEX('3.員工名單'!$I:$I,MATCH(A1361,'3.員工名單'!$A:$A,0))))*ISNUMBER(SEARCH({"經營","管理","財務","企劃","營運","技術","數據","美術","測試","客服"},INDEX('1.職能辭典'!$K:$K,MATCH(F1361,'1.職能辭典'!$C:$C,0)))))&gt;0)),INDEX('2.職務職能需求'!$B$2:$F$28,MATCH(F1361,'2.職務職能需求'!$A$2:$A$28,0),MATCH(D1361,'2.職務職能需求'!$B$1:$F$1,0)),0),""))</f>
        <v/>
      </c>
      <c r="H1361" s="94" t="n"/>
      <c r="I1361" s="94" t="n"/>
      <c r="J1361" s="120">
        <f>IF(OR(G1361="",I1361="",G1361=0),"",I1361-G1361)</f>
        <v/>
      </c>
      <c r="K1361" s="120">
        <f>IF(G1361="","",IF(G1361=0,"不適用",IF(I1361="","待評核",IF(I1361&gt;=G1361,IF(I1361&gt;G1361,"超越","達標"),"待發展"))))</f>
        <v/>
      </c>
      <c r="L1361" s="91" t="n"/>
      <c r="M1361" s="91" t="n"/>
      <c r="N1361" s="88" t="n"/>
    </row>
    <row r="1362" ht="15.75" customHeight="1" s="64">
      <c r="A1362" s="88" t="n"/>
      <c r="B1362" s="120">
        <f t="array" ref="B1362:B1362">IF(A1362="","",IFERROR(INDEX('3.員工名單'!$B:$B,MATCH(A1362,'3.員工名單'!$A:$A,0)),"查無此員工"))</f>
        <v/>
      </c>
      <c r="C1362" s="120">
        <f t="array" ref="C1362:C1362">IF(A1362="","",IFERROR(INDEX('3.員工名單'!$C:$C,MATCH(A1362,'3.員工名單'!$A:$A,0)),""))</f>
        <v/>
      </c>
      <c r="D1362" s="120">
        <f t="array" ref="D1362:D1362">IF(A1362="","",IFERROR(INDEX('3.員工名單'!$D:$D,MATCH(A1362,'3.員工名單'!$A:$A,0)),""))</f>
        <v/>
      </c>
      <c r="E1362" s="120">
        <f t="array" ref="E1362:E1362">IF(F1362="","",IFERROR(INDEX('1.職能辭典'!$A:$A,MATCH(F1362,'1.職能辭典'!$C:$C,0)),""))</f>
        <v/>
      </c>
      <c r="F1362" s="94" t="n"/>
      <c r="G1362" s="120">
        <f t="array" ref="G1362:G1362">IF(OR(D1362="",F1362=""),"",IFERROR(IF(AND(OR(INDEX('1.職能辭典'!$J:$J,MATCH(F1362,'1.職能辭典'!$C:$C,0))="全部",INDEX('3.員工名單'!$H:$H,MATCH(A1362,'3.員工名單'!$A:$A,0))="兩款共用",INDEX('3.員工名單'!$H:$H,MATCH(A1362,'3.員工名單'!$A:$A,0))=INDEX('1.職能辭典'!$J:$J,MATCH(F1362,'1.職能辭典'!$C:$C,0))),OR(INDEX('1.職能辭典'!$K:$K,MATCH(F1362,'1.職能辭典'!$C:$C,0))="全部",SUMPRODUCT(ISNUMBER(SEARCH({"經營","管理","財務","企劃","營運","技術","數據","美術","測試","客服"},INDEX('3.員工名單'!$I:$I,MATCH(A1362,'3.員工名單'!$A:$A,0))))*ISNUMBER(SEARCH({"經營","管理","財務","企劃","營運","技術","數據","美術","測試","客服"},INDEX('1.職能辭典'!$K:$K,MATCH(F1362,'1.職能辭典'!$C:$C,0)))))&gt;0)),INDEX('2.職務職能需求'!$B$2:$F$28,MATCH(F1362,'2.職務職能需求'!$A$2:$A$28,0),MATCH(D1362,'2.職務職能需求'!$B$1:$F$1,0)),0),""))</f>
        <v/>
      </c>
      <c r="H1362" s="94" t="n"/>
      <c r="I1362" s="94" t="n"/>
      <c r="J1362" s="120">
        <f>IF(OR(G1362="",I1362="",G1362=0),"",I1362-G1362)</f>
        <v/>
      </c>
      <c r="K1362" s="120">
        <f>IF(G1362="","",IF(G1362=0,"不適用",IF(I1362="","待評核",IF(I1362&gt;=G1362,IF(I1362&gt;G1362,"超越","達標"),"待發展"))))</f>
        <v/>
      </c>
      <c r="L1362" s="91" t="n"/>
      <c r="M1362" s="91" t="n"/>
      <c r="N1362" s="88" t="n"/>
    </row>
    <row r="1363" ht="15.75" customHeight="1" s="64">
      <c r="A1363" s="88" t="n"/>
      <c r="B1363" s="120">
        <f t="array" ref="B1363:B1363">IF(A1363="","",IFERROR(INDEX('3.員工名單'!$B:$B,MATCH(A1363,'3.員工名單'!$A:$A,0)),"查無此員工"))</f>
        <v/>
      </c>
      <c r="C1363" s="120">
        <f t="array" ref="C1363:C1363">IF(A1363="","",IFERROR(INDEX('3.員工名單'!$C:$C,MATCH(A1363,'3.員工名單'!$A:$A,0)),""))</f>
        <v/>
      </c>
      <c r="D1363" s="120">
        <f t="array" ref="D1363:D1363">IF(A1363="","",IFERROR(INDEX('3.員工名單'!$D:$D,MATCH(A1363,'3.員工名單'!$A:$A,0)),""))</f>
        <v/>
      </c>
      <c r="E1363" s="120">
        <f t="array" ref="E1363:E1363">IF(F1363="","",IFERROR(INDEX('1.職能辭典'!$A:$A,MATCH(F1363,'1.職能辭典'!$C:$C,0)),""))</f>
        <v/>
      </c>
      <c r="F1363" s="94" t="n"/>
      <c r="G1363" s="120">
        <f t="array" ref="G1363:G1363">IF(OR(D1363="",F1363=""),"",IFERROR(IF(AND(OR(INDEX('1.職能辭典'!$J:$J,MATCH(F1363,'1.職能辭典'!$C:$C,0))="全部",INDEX('3.員工名單'!$H:$H,MATCH(A1363,'3.員工名單'!$A:$A,0))="兩款共用",INDEX('3.員工名單'!$H:$H,MATCH(A1363,'3.員工名單'!$A:$A,0))=INDEX('1.職能辭典'!$J:$J,MATCH(F1363,'1.職能辭典'!$C:$C,0))),OR(INDEX('1.職能辭典'!$K:$K,MATCH(F1363,'1.職能辭典'!$C:$C,0))="全部",SUMPRODUCT(ISNUMBER(SEARCH({"經營","管理","財務","企劃","營運","技術","數據","美術","測試","客服"},INDEX('3.員工名單'!$I:$I,MATCH(A1363,'3.員工名單'!$A:$A,0))))*ISNUMBER(SEARCH({"經營","管理","財務","企劃","營運","技術","數據","美術","測試","客服"},INDEX('1.職能辭典'!$K:$K,MATCH(F1363,'1.職能辭典'!$C:$C,0)))))&gt;0)),INDEX('2.職務職能需求'!$B$2:$F$28,MATCH(F1363,'2.職務職能需求'!$A$2:$A$28,0),MATCH(D1363,'2.職務職能需求'!$B$1:$F$1,0)),0),""))</f>
        <v/>
      </c>
      <c r="H1363" s="94" t="n"/>
      <c r="I1363" s="94" t="n"/>
      <c r="J1363" s="120">
        <f>IF(OR(G1363="",I1363="",G1363=0),"",I1363-G1363)</f>
        <v/>
      </c>
      <c r="K1363" s="120">
        <f>IF(G1363="","",IF(G1363=0,"不適用",IF(I1363="","待評核",IF(I1363&gt;=G1363,IF(I1363&gt;G1363,"超越","達標"),"待發展"))))</f>
        <v/>
      </c>
      <c r="L1363" s="91" t="n"/>
      <c r="M1363" s="91" t="n"/>
      <c r="N1363" s="88" t="n"/>
    </row>
    <row r="1364" ht="15.75" customHeight="1" s="64">
      <c r="A1364" s="88" t="n"/>
      <c r="B1364" s="120">
        <f t="array" ref="B1364:B1364">IF(A1364="","",IFERROR(INDEX('3.員工名單'!$B:$B,MATCH(A1364,'3.員工名單'!$A:$A,0)),"查無此員工"))</f>
        <v/>
      </c>
      <c r="C1364" s="120">
        <f t="array" ref="C1364:C1364">IF(A1364="","",IFERROR(INDEX('3.員工名單'!$C:$C,MATCH(A1364,'3.員工名單'!$A:$A,0)),""))</f>
        <v/>
      </c>
      <c r="D1364" s="120">
        <f t="array" ref="D1364:D1364">IF(A1364="","",IFERROR(INDEX('3.員工名單'!$D:$D,MATCH(A1364,'3.員工名單'!$A:$A,0)),""))</f>
        <v/>
      </c>
      <c r="E1364" s="120">
        <f t="array" ref="E1364:E1364">IF(F1364="","",IFERROR(INDEX('1.職能辭典'!$A:$A,MATCH(F1364,'1.職能辭典'!$C:$C,0)),""))</f>
        <v/>
      </c>
      <c r="F1364" s="94" t="n"/>
      <c r="G1364" s="120">
        <f t="array" ref="G1364:G1364">IF(OR(D1364="",F1364=""),"",IFERROR(IF(AND(OR(INDEX('1.職能辭典'!$J:$J,MATCH(F1364,'1.職能辭典'!$C:$C,0))="全部",INDEX('3.員工名單'!$H:$H,MATCH(A1364,'3.員工名單'!$A:$A,0))="兩款共用",INDEX('3.員工名單'!$H:$H,MATCH(A1364,'3.員工名單'!$A:$A,0))=INDEX('1.職能辭典'!$J:$J,MATCH(F1364,'1.職能辭典'!$C:$C,0))),OR(INDEX('1.職能辭典'!$K:$K,MATCH(F1364,'1.職能辭典'!$C:$C,0))="全部",SUMPRODUCT(ISNUMBER(SEARCH({"經營","管理","財務","企劃","營運","技術","數據","美術","測試","客服"},INDEX('3.員工名單'!$I:$I,MATCH(A1364,'3.員工名單'!$A:$A,0))))*ISNUMBER(SEARCH({"經營","管理","財務","企劃","營運","技術","數據","美術","測試","客服"},INDEX('1.職能辭典'!$K:$K,MATCH(F1364,'1.職能辭典'!$C:$C,0)))))&gt;0)),INDEX('2.職務職能需求'!$B$2:$F$28,MATCH(F1364,'2.職務職能需求'!$A$2:$A$28,0),MATCH(D1364,'2.職務職能需求'!$B$1:$F$1,0)),0),""))</f>
        <v/>
      </c>
      <c r="H1364" s="94" t="n"/>
      <c r="I1364" s="94" t="n"/>
      <c r="J1364" s="120">
        <f>IF(OR(G1364="",I1364="",G1364=0),"",I1364-G1364)</f>
        <v/>
      </c>
      <c r="K1364" s="120">
        <f>IF(G1364="","",IF(G1364=0,"不適用",IF(I1364="","待評核",IF(I1364&gt;=G1364,IF(I1364&gt;G1364,"超越","達標"),"待發展"))))</f>
        <v/>
      </c>
      <c r="L1364" s="91" t="n"/>
      <c r="M1364" s="91" t="n"/>
      <c r="N1364" s="88" t="n"/>
    </row>
    <row r="1365" ht="15.75" customHeight="1" s="64">
      <c r="A1365" s="88" t="n"/>
      <c r="B1365" s="120">
        <f t="array" ref="B1365:B1365">IF(A1365="","",IFERROR(INDEX('3.員工名單'!$B:$B,MATCH(A1365,'3.員工名單'!$A:$A,0)),"查無此員工"))</f>
        <v/>
      </c>
      <c r="C1365" s="120">
        <f t="array" ref="C1365:C1365">IF(A1365="","",IFERROR(INDEX('3.員工名單'!$C:$C,MATCH(A1365,'3.員工名單'!$A:$A,0)),""))</f>
        <v/>
      </c>
      <c r="D1365" s="120">
        <f t="array" ref="D1365:D1365">IF(A1365="","",IFERROR(INDEX('3.員工名單'!$D:$D,MATCH(A1365,'3.員工名單'!$A:$A,0)),""))</f>
        <v/>
      </c>
      <c r="E1365" s="120">
        <f t="array" ref="E1365:E1365">IF(F1365="","",IFERROR(INDEX('1.職能辭典'!$A:$A,MATCH(F1365,'1.職能辭典'!$C:$C,0)),""))</f>
        <v/>
      </c>
      <c r="F1365" s="94" t="n"/>
      <c r="G1365" s="120">
        <f t="array" ref="G1365:G1365">IF(OR(D1365="",F1365=""),"",IFERROR(IF(AND(OR(INDEX('1.職能辭典'!$J:$J,MATCH(F1365,'1.職能辭典'!$C:$C,0))="全部",INDEX('3.員工名單'!$H:$H,MATCH(A1365,'3.員工名單'!$A:$A,0))="兩款共用",INDEX('3.員工名單'!$H:$H,MATCH(A1365,'3.員工名單'!$A:$A,0))=INDEX('1.職能辭典'!$J:$J,MATCH(F1365,'1.職能辭典'!$C:$C,0))),OR(INDEX('1.職能辭典'!$K:$K,MATCH(F1365,'1.職能辭典'!$C:$C,0))="全部",SUMPRODUCT(ISNUMBER(SEARCH({"經營","管理","財務","企劃","營運","技術","數據","美術","測試","客服"},INDEX('3.員工名單'!$I:$I,MATCH(A1365,'3.員工名單'!$A:$A,0))))*ISNUMBER(SEARCH({"經營","管理","財務","企劃","營運","技術","數據","美術","測試","客服"},INDEX('1.職能辭典'!$K:$K,MATCH(F1365,'1.職能辭典'!$C:$C,0)))))&gt;0)),INDEX('2.職務職能需求'!$B$2:$F$28,MATCH(F1365,'2.職務職能需求'!$A$2:$A$28,0),MATCH(D1365,'2.職務職能需求'!$B$1:$F$1,0)),0),""))</f>
        <v/>
      </c>
      <c r="H1365" s="94" t="n"/>
      <c r="I1365" s="94" t="n"/>
      <c r="J1365" s="120">
        <f>IF(OR(G1365="",I1365="",G1365=0),"",I1365-G1365)</f>
        <v/>
      </c>
      <c r="K1365" s="120">
        <f>IF(G1365="","",IF(G1365=0,"不適用",IF(I1365="","待評核",IF(I1365&gt;=G1365,IF(I1365&gt;G1365,"超越","達標"),"待發展"))))</f>
        <v/>
      </c>
      <c r="L1365" s="91" t="n"/>
      <c r="M1365" s="91" t="n"/>
      <c r="N1365" s="88" t="n"/>
    </row>
    <row r="1366" ht="15.75" customHeight="1" s="64">
      <c r="A1366" s="88" t="n"/>
      <c r="B1366" s="120">
        <f t="array" ref="B1366:B1366">IF(A1366="","",IFERROR(INDEX('3.員工名單'!$B:$B,MATCH(A1366,'3.員工名單'!$A:$A,0)),"查無此員工"))</f>
        <v/>
      </c>
      <c r="C1366" s="120">
        <f t="array" ref="C1366:C1366">IF(A1366="","",IFERROR(INDEX('3.員工名單'!$C:$C,MATCH(A1366,'3.員工名單'!$A:$A,0)),""))</f>
        <v/>
      </c>
      <c r="D1366" s="120">
        <f t="array" ref="D1366:D1366">IF(A1366="","",IFERROR(INDEX('3.員工名單'!$D:$D,MATCH(A1366,'3.員工名單'!$A:$A,0)),""))</f>
        <v/>
      </c>
      <c r="E1366" s="120">
        <f t="array" ref="E1366:E1366">IF(F1366="","",IFERROR(INDEX('1.職能辭典'!$A:$A,MATCH(F1366,'1.職能辭典'!$C:$C,0)),""))</f>
        <v/>
      </c>
      <c r="F1366" s="94" t="n"/>
      <c r="G1366" s="120">
        <f t="array" ref="G1366:G1366">IF(OR(D1366="",F1366=""),"",IFERROR(IF(AND(OR(INDEX('1.職能辭典'!$J:$J,MATCH(F1366,'1.職能辭典'!$C:$C,0))="全部",INDEX('3.員工名單'!$H:$H,MATCH(A1366,'3.員工名單'!$A:$A,0))="兩款共用",INDEX('3.員工名單'!$H:$H,MATCH(A1366,'3.員工名單'!$A:$A,0))=INDEX('1.職能辭典'!$J:$J,MATCH(F1366,'1.職能辭典'!$C:$C,0))),OR(INDEX('1.職能辭典'!$K:$K,MATCH(F1366,'1.職能辭典'!$C:$C,0))="全部",SUMPRODUCT(ISNUMBER(SEARCH({"經營","管理","財務","企劃","營運","技術","數據","美術","測試","客服"},INDEX('3.員工名單'!$I:$I,MATCH(A1366,'3.員工名單'!$A:$A,0))))*ISNUMBER(SEARCH({"經營","管理","財務","企劃","營運","技術","數據","美術","測試","客服"},INDEX('1.職能辭典'!$K:$K,MATCH(F1366,'1.職能辭典'!$C:$C,0)))))&gt;0)),INDEX('2.職務職能需求'!$B$2:$F$28,MATCH(F1366,'2.職務職能需求'!$A$2:$A$28,0),MATCH(D1366,'2.職務職能需求'!$B$1:$F$1,0)),0),""))</f>
        <v/>
      </c>
      <c r="H1366" s="94" t="n"/>
      <c r="I1366" s="94" t="n"/>
      <c r="J1366" s="120">
        <f>IF(OR(G1366="",I1366="",G1366=0),"",I1366-G1366)</f>
        <v/>
      </c>
      <c r="K1366" s="120">
        <f>IF(G1366="","",IF(G1366=0,"不適用",IF(I1366="","待評核",IF(I1366&gt;=G1366,IF(I1366&gt;G1366,"超越","達標"),"待發展"))))</f>
        <v/>
      </c>
      <c r="L1366" s="91" t="n"/>
      <c r="M1366" s="91" t="n"/>
      <c r="N1366" s="88" t="n"/>
    </row>
    <row r="1367" ht="15.75" customHeight="1" s="64">
      <c r="A1367" s="88" t="n"/>
      <c r="B1367" s="120">
        <f t="array" ref="B1367:B1367">IF(A1367="","",IFERROR(INDEX('3.員工名單'!$B:$B,MATCH(A1367,'3.員工名單'!$A:$A,0)),"查無此員工"))</f>
        <v/>
      </c>
      <c r="C1367" s="120">
        <f t="array" ref="C1367:C1367">IF(A1367="","",IFERROR(INDEX('3.員工名單'!$C:$C,MATCH(A1367,'3.員工名單'!$A:$A,0)),""))</f>
        <v/>
      </c>
      <c r="D1367" s="120">
        <f t="array" ref="D1367:D1367">IF(A1367="","",IFERROR(INDEX('3.員工名單'!$D:$D,MATCH(A1367,'3.員工名單'!$A:$A,0)),""))</f>
        <v/>
      </c>
      <c r="E1367" s="120">
        <f t="array" ref="E1367:E1367">IF(F1367="","",IFERROR(INDEX('1.職能辭典'!$A:$A,MATCH(F1367,'1.職能辭典'!$C:$C,0)),""))</f>
        <v/>
      </c>
      <c r="F1367" s="94" t="n"/>
      <c r="G1367" s="120">
        <f t="array" ref="G1367:G1367">IF(OR(D1367="",F1367=""),"",IFERROR(IF(AND(OR(INDEX('1.職能辭典'!$J:$J,MATCH(F1367,'1.職能辭典'!$C:$C,0))="全部",INDEX('3.員工名單'!$H:$H,MATCH(A1367,'3.員工名單'!$A:$A,0))="兩款共用",INDEX('3.員工名單'!$H:$H,MATCH(A1367,'3.員工名單'!$A:$A,0))=INDEX('1.職能辭典'!$J:$J,MATCH(F1367,'1.職能辭典'!$C:$C,0))),OR(INDEX('1.職能辭典'!$K:$K,MATCH(F1367,'1.職能辭典'!$C:$C,0))="全部",SUMPRODUCT(ISNUMBER(SEARCH({"經營","管理","財務","企劃","營運","技術","數據","美術","測試","客服"},INDEX('3.員工名單'!$I:$I,MATCH(A1367,'3.員工名單'!$A:$A,0))))*ISNUMBER(SEARCH({"經營","管理","財務","企劃","營運","技術","數據","美術","測試","客服"},INDEX('1.職能辭典'!$K:$K,MATCH(F1367,'1.職能辭典'!$C:$C,0)))))&gt;0)),INDEX('2.職務職能需求'!$B$2:$F$28,MATCH(F1367,'2.職務職能需求'!$A$2:$A$28,0),MATCH(D1367,'2.職務職能需求'!$B$1:$F$1,0)),0),""))</f>
        <v/>
      </c>
      <c r="H1367" s="94" t="n"/>
      <c r="I1367" s="94" t="n"/>
      <c r="J1367" s="120">
        <f>IF(OR(G1367="",I1367="",G1367=0),"",I1367-G1367)</f>
        <v/>
      </c>
      <c r="K1367" s="120">
        <f>IF(G1367="","",IF(G1367=0,"不適用",IF(I1367="","待評核",IF(I1367&gt;=G1367,IF(I1367&gt;G1367,"超越","達標"),"待發展"))))</f>
        <v/>
      </c>
      <c r="L1367" s="91" t="n"/>
      <c r="M1367" s="91" t="n"/>
      <c r="N1367" s="88" t="n"/>
    </row>
    <row r="1368" ht="15.75" customHeight="1" s="64">
      <c r="A1368" s="88" t="n"/>
      <c r="B1368" s="120">
        <f t="array" ref="B1368:B1368">IF(A1368="","",IFERROR(INDEX('3.員工名單'!$B:$B,MATCH(A1368,'3.員工名單'!$A:$A,0)),"查無此員工"))</f>
        <v/>
      </c>
      <c r="C1368" s="120">
        <f t="array" ref="C1368:C1368">IF(A1368="","",IFERROR(INDEX('3.員工名單'!$C:$C,MATCH(A1368,'3.員工名單'!$A:$A,0)),""))</f>
        <v/>
      </c>
      <c r="D1368" s="120">
        <f t="array" ref="D1368:D1368">IF(A1368="","",IFERROR(INDEX('3.員工名單'!$D:$D,MATCH(A1368,'3.員工名單'!$A:$A,0)),""))</f>
        <v/>
      </c>
      <c r="E1368" s="120">
        <f t="array" ref="E1368:E1368">IF(F1368="","",IFERROR(INDEX('1.職能辭典'!$A:$A,MATCH(F1368,'1.職能辭典'!$C:$C,0)),""))</f>
        <v/>
      </c>
      <c r="F1368" s="94" t="n"/>
      <c r="G1368" s="120">
        <f t="array" ref="G1368:G1368">IF(OR(D1368="",F1368=""),"",IFERROR(IF(AND(OR(INDEX('1.職能辭典'!$J:$J,MATCH(F1368,'1.職能辭典'!$C:$C,0))="全部",INDEX('3.員工名單'!$H:$H,MATCH(A1368,'3.員工名單'!$A:$A,0))="兩款共用",INDEX('3.員工名單'!$H:$H,MATCH(A1368,'3.員工名單'!$A:$A,0))=INDEX('1.職能辭典'!$J:$J,MATCH(F1368,'1.職能辭典'!$C:$C,0))),OR(INDEX('1.職能辭典'!$K:$K,MATCH(F1368,'1.職能辭典'!$C:$C,0))="全部",SUMPRODUCT(ISNUMBER(SEARCH({"經營","管理","財務","企劃","營運","技術","數據","美術","測試","客服"},INDEX('3.員工名單'!$I:$I,MATCH(A1368,'3.員工名單'!$A:$A,0))))*ISNUMBER(SEARCH({"經營","管理","財務","企劃","營運","技術","數據","美術","測試","客服"},INDEX('1.職能辭典'!$K:$K,MATCH(F1368,'1.職能辭典'!$C:$C,0)))))&gt;0)),INDEX('2.職務職能需求'!$B$2:$F$28,MATCH(F1368,'2.職務職能需求'!$A$2:$A$28,0),MATCH(D1368,'2.職務職能需求'!$B$1:$F$1,0)),0),""))</f>
        <v/>
      </c>
      <c r="H1368" s="94" t="n"/>
      <c r="I1368" s="94" t="n"/>
      <c r="J1368" s="120">
        <f>IF(OR(G1368="",I1368="",G1368=0),"",I1368-G1368)</f>
        <v/>
      </c>
      <c r="K1368" s="120">
        <f>IF(G1368="","",IF(G1368=0,"不適用",IF(I1368="","待評核",IF(I1368&gt;=G1368,IF(I1368&gt;G1368,"超越","達標"),"待發展"))))</f>
        <v/>
      </c>
      <c r="L1368" s="91" t="n"/>
      <c r="M1368" s="91" t="n"/>
      <c r="N1368" s="88" t="n"/>
    </row>
    <row r="1369" ht="15.75" customHeight="1" s="64">
      <c r="A1369" s="88" t="n"/>
      <c r="B1369" s="120">
        <f t="array" ref="B1369:B1369">IF(A1369="","",IFERROR(INDEX('3.員工名單'!$B:$B,MATCH(A1369,'3.員工名單'!$A:$A,0)),"查無此員工"))</f>
        <v/>
      </c>
      <c r="C1369" s="120">
        <f t="array" ref="C1369:C1369">IF(A1369="","",IFERROR(INDEX('3.員工名單'!$C:$C,MATCH(A1369,'3.員工名單'!$A:$A,0)),""))</f>
        <v/>
      </c>
      <c r="D1369" s="120">
        <f t="array" ref="D1369:D1369">IF(A1369="","",IFERROR(INDEX('3.員工名單'!$D:$D,MATCH(A1369,'3.員工名單'!$A:$A,0)),""))</f>
        <v/>
      </c>
      <c r="E1369" s="120">
        <f t="array" ref="E1369:E1369">IF(F1369="","",IFERROR(INDEX('1.職能辭典'!$A:$A,MATCH(F1369,'1.職能辭典'!$C:$C,0)),""))</f>
        <v/>
      </c>
      <c r="F1369" s="94" t="n"/>
      <c r="G1369" s="120">
        <f t="array" ref="G1369:G1369">IF(OR(D1369="",F1369=""),"",IFERROR(IF(AND(OR(INDEX('1.職能辭典'!$J:$J,MATCH(F1369,'1.職能辭典'!$C:$C,0))="全部",INDEX('3.員工名單'!$H:$H,MATCH(A1369,'3.員工名單'!$A:$A,0))="兩款共用",INDEX('3.員工名單'!$H:$H,MATCH(A1369,'3.員工名單'!$A:$A,0))=INDEX('1.職能辭典'!$J:$J,MATCH(F1369,'1.職能辭典'!$C:$C,0))),OR(INDEX('1.職能辭典'!$K:$K,MATCH(F1369,'1.職能辭典'!$C:$C,0))="全部",SUMPRODUCT(ISNUMBER(SEARCH({"經營","管理","財務","企劃","營運","技術","數據","美術","測試","客服"},INDEX('3.員工名單'!$I:$I,MATCH(A1369,'3.員工名單'!$A:$A,0))))*ISNUMBER(SEARCH({"經營","管理","財務","企劃","營運","技術","數據","美術","測試","客服"},INDEX('1.職能辭典'!$K:$K,MATCH(F1369,'1.職能辭典'!$C:$C,0)))))&gt;0)),INDEX('2.職務職能需求'!$B$2:$F$28,MATCH(F1369,'2.職務職能需求'!$A$2:$A$28,0),MATCH(D1369,'2.職務職能需求'!$B$1:$F$1,0)),0),""))</f>
        <v/>
      </c>
      <c r="H1369" s="94" t="n"/>
      <c r="I1369" s="94" t="n"/>
      <c r="J1369" s="120">
        <f>IF(OR(G1369="",I1369="",G1369=0),"",I1369-G1369)</f>
        <v/>
      </c>
      <c r="K1369" s="120">
        <f>IF(G1369="","",IF(G1369=0,"不適用",IF(I1369="","待評核",IF(I1369&gt;=G1369,IF(I1369&gt;G1369,"超越","達標"),"待發展"))))</f>
        <v/>
      </c>
      <c r="L1369" s="91" t="n"/>
      <c r="M1369" s="91" t="n"/>
      <c r="N1369" s="88" t="n"/>
    </row>
    <row r="1370" ht="15.75" customHeight="1" s="64">
      <c r="A1370" s="88" t="n"/>
      <c r="B1370" s="120">
        <f t="array" ref="B1370:B1370">IF(A1370="","",IFERROR(INDEX('3.員工名單'!$B:$B,MATCH(A1370,'3.員工名單'!$A:$A,0)),"查無此員工"))</f>
        <v/>
      </c>
      <c r="C1370" s="120">
        <f t="array" ref="C1370:C1370">IF(A1370="","",IFERROR(INDEX('3.員工名單'!$C:$C,MATCH(A1370,'3.員工名單'!$A:$A,0)),""))</f>
        <v/>
      </c>
      <c r="D1370" s="120">
        <f t="array" ref="D1370:D1370">IF(A1370="","",IFERROR(INDEX('3.員工名單'!$D:$D,MATCH(A1370,'3.員工名單'!$A:$A,0)),""))</f>
        <v/>
      </c>
      <c r="E1370" s="120">
        <f t="array" ref="E1370:E1370">IF(F1370="","",IFERROR(INDEX('1.職能辭典'!$A:$A,MATCH(F1370,'1.職能辭典'!$C:$C,0)),""))</f>
        <v/>
      </c>
      <c r="F1370" s="94" t="n"/>
      <c r="G1370" s="120">
        <f t="array" ref="G1370:G1370">IF(OR(D1370="",F1370=""),"",IFERROR(IF(AND(OR(INDEX('1.職能辭典'!$J:$J,MATCH(F1370,'1.職能辭典'!$C:$C,0))="全部",INDEX('3.員工名單'!$H:$H,MATCH(A1370,'3.員工名單'!$A:$A,0))="兩款共用",INDEX('3.員工名單'!$H:$H,MATCH(A1370,'3.員工名單'!$A:$A,0))=INDEX('1.職能辭典'!$J:$J,MATCH(F1370,'1.職能辭典'!$C:$C,0))),OR(INDEX('1.職能辭典'!$K:$K,MATCH(F1370,'1.職能辭典'!$C:$C,0))="全部",SUMPRODUCT(ISNUMBER(SEARCH({"經營","管理","財務","企劃","營運","技術","數據","美術","測試","客服"},INDEX('3.員工名單'!$I:$I,MATCH(A1370,'3.員工名單'!$A:$A,0))))*ISNUMBER(SEARCH({"經營","管理","財務","企劃","營運","技術","數據","美術","測試","客服"},INDEX('1.職能辭典'!$K:$K,MATCH(F1370,'1.職能辭典'!$C:$C,0)))))&gt;0)),INDEX('2.職務職能需求'!$B$2:$F$28,MATCH(F1370,'2.職務職能需求'!$A$2:$A$28,0),MATCH(D1370,'2.職務職能需求'!$B$1:$F$1,0)),0),""))</f>
        <v/>
      </c>
      <c r="H1370" s="94" t="n"/>
      <c r="I1370" s="94" t="n"/>
      <c r="J1370" s="120">
        <f>IF(OR(G1370="",I1370="",G1370=0),"",I1370-G1370)</f>
        <v/>
      </c>
      <c r="K1370" s="120">
        <f>IF(G1370="","",IF(G1370=0,"不適用",IF(I1370="","待評核",IF(I1370&gt;=G1370,IF(I1370&gt;G1370,"超越","達標"),"待發展"))))</f>
        <v/>
      </c>
      <c r="L1370" s="91" t="n"/>
      <c r="M1370" s="91" t="n"/>
      <c r="N1370" s="88" t="n"/>
    </row>
    <row r="1371" ht="15.75" customHeight="1" s="64">
      <c r="A1371" s="88" t="n"/>
      <c r="B1371" s="120">
        <f t="array" ref="B1371:B1371">IF(A1371="","",IFERROR(INDEX('3.員工名單'!$B:$B,MATCH(A1371,'3.員工名單'!$A:$A,0)),"查無此員工"))</f>
        <v/>
      </c>
      <c r="C1371" s="120">
        <f t="array" ref="C1371:C1371">IF(A1371="","",IFERROR(INDEX('3.員工名單'!$C:$C,MATCH(A1371,'3.員工名單'!$A:$A,0)),""))</f>
        <v/>
      </c>
      <c r="D1371" s="120">
        <f t="array" ref="D1371:D1371">IF(A1371="","",IFERROR(INDEX('3.員工名單'!$D:$D,MATCH(A1371,'3.員工名單'!$A:$A,0)),""))</f>
        <v/>
      </c>
      <c r="E1371" s="120">
        <f t="array" ref="E1371:E1371">IF(F1371="","",IFERROR(INDEX('1.職能辭典'!$A:$A,MATCH(F1371,'1.職能辭典'!$C:$C,0)),""))</f>
        <v/>
      </c>
      <c r="F1371" s="94" t="n"/>
      <c r="G1371" s="120">
        <f t="array" ref="G1371:G1371">IF(OR(D1371="",F1371=""),"",IFERROR(IF(AND(OR(INDEX('1.職能辭典'!$J:$J,MATCH(F1371,'1.職能辭典'!$C:$C,0))="全部",INDEX('3.員工名單'!$H:$H,MATCH(A1371,'3.員工名單'!$A:$A,0))="兩款共用",INDEX('3.員工名單'!$H:$H,MATCH(A1371,'3.員工名單'!$A:$A,0))=INDEX('1.職能辭典'!$J:$J,MATCH(F1371,'1.職能辭典'!$C:$C,0))),OR(INDEX('1.職能辭典'!$K:$K,MATCH(F1371,'1.職能辭典'!$C:$C,0))="全部",SUMPRODUCT(ISNUMBER(SEARCH({"經營","管理","財務","企劃","營運","技術","數據","美術","測試","客服"},INDEX('3.員工名單'!$I:$I,MATCH(A1371,'3.員工名單'!$A:$A,0))))*ISNUMBER(SEARCH({"經營","管理","財務","企劃","營運","技術","數據","美術","測試","客服"},INDEX('1.職能辭典'!$K:$K,MATCH(F1371,'1.職能辭典'!$C:$C,0)))))&gt;0)),INDEX('2.職務職能需求'!$B$2:$F$28,MATCH(F1371,'2.職務職能需求'!$A$2:$A$28,0),MATCH(D1371,'2.職務職能需求'!$B$1:$F$1,0)),0),""))</f>
        <v/>
      </c>
      <c r="H1371" s="94" t="n"/>
      <c r="I1371" s="94" t="n"/>
      <c r="J1371" s="120">
        <f>IF(OR(G1371="",I1371="",G1371=0),"",I1371-G1371)</f>
        <v/>
      </c>
      <c r="K1371" s="120">
        <f>IF(G1371="","",IF(G1371=0,"不適用",IF(I1371="","待評核",IF(I1371&gt;=G1371,IF(I1371&gt;G1371,"超越","達標"),"待發展"))))</f>
        <v/>
      </c>
      <c r="L1371" s="91" t="n"/>
      <c r="M1371" s="91" t="n"/>
      <c r="N1371" s="88" t="n"/>
    </row>
    <row r="1372" ht="15.75" customHeight="1" s="64">
      <c r="A1372" s="88" t="n"/>
      <c r="B1372" s="120">
        <f t="array" ref="B1372:B1372">IF(A1372="","",IFERROR(INDEX('3.員工名單'!$B:$B,MATCH(A1372,'3.員工名單'!$A:$A,0)),"查無此員工"))</f>
        <v/>
      </c>
      <c r="C1372" s="120">
        <f t="array" ref="C1372:C1372">IF(A1372="","",IFERROR(INDEX('3.員工名單'!$C:$C,MATCH(A1372,'3.員工名單'!$A:$A,0)),""))</f>
        <v/>
      </c>
      <c r="D1372" s="120">
        <f t="array" ref="D1372:D1372">IF(A1372="","",IFERROR(INDEX('3.員工名單'!$D:$D,MATCH(A1372,'3.員工名單'!$A:$A,0)),""))</f>
        <v/>
      </c>
      <c r="E1372" s="120">
        <f t="array" ref="E1372:E1372">IF(F1372="","",IFERROR(INDEX('1.職能辭典'!$A:$A,MATCH(F1372,'1.職能辭典'!$C:$C,0)),""))</f>
        <v/>
      </c>
      <c r="F1372" s="94" t="n"/>
      <c r="G1372" s="120">
        <f t="array" ref="G1372:G1372">IF(OR(D1372="",F1372=""),"",IFERROR(IF(AND(OR(INDEX('1.職能辭典'!$J:$J,MATCH(F1372,'1.職能辭典'!$C:$C,0))="全部",INDEX('3.員工名單'!$H:$H,MATCH(A1372,'3.員工名單'!$A:$A,0))="兩款共用",INDEX('3.員工名單'!$H:$H,MATCH(A1372,'3.員工名單'!$A:$A,0))=INDEX('1.職能辭典'!$J:$J,MATCH(F1372,'1.職能辭典'!$C:$C,0))),OR(INDEX('1.職能辭典'!$K:$K,MATCH(F1372,'1.職能辭典'!$C:$C,0))="全部",SUMPRODUCT(ISNUMBER(SEARCH({"經營","管理","財務","企劃","營運","技術","數據","美術","測試","客服"},INDEX('3.員工名單'!$I:$I,MATCH(A1372,'3.員工名單'!$A:$A,0))))*ISNUMBER(SEARCH({"經營","管理","財務","企劃","營運","技術","數據","美術","測試","客服"},INDEX('1.職能辭典'!$K:$K,MATCH(F1372,'1.職能辭典'!$C:$C,0)))))&gt;0)),INDEX('2.職務職能需求'!$B$2:$F$28,MATCH(F1372,'2.職務職能需求'!$A$2:$A$28,0),MATCH(D1372,'2.職務職能需求'!$B$1:$F$1,0)),0),""))</f>
        <v/>
      </c>
      <c r="H1372" s="94" t="n"/>
      <c r="I1372" s="94" t="n"/>
      <c r="J1372" s="120">
        <f>IF(OR(G1372="",I1372="",G1372=0),"",I1372-G1372)</f>
        <v/>
      </c>
      <c r="K1372" s="120">
        <f>IF(G1372="","",IF(G1372=0,"不適用",IF(I1372="","待評核",IF(I1372&gt;=G1372,IF(I1372&gt;G1372,"超越","達標"),"待發展"))))</f>
        <v/>
      </c>
      <c r="L1372" s="91" t="n"/>
      <c r="M1372" s="91" t="n"/>
      <c r="N1372" s="88" t="n"/>
    </row>
    <row r="1373" ht="15.75" customHeight="1" s="64">
      <c r="A1373" s="88" t="n"/>
      <c r="B1373" s="120">
        <f t="array" ref="B1373:B1373">IF(A1373="","",IFERROR(INDEX('3.員工名單'!$B:$B,MATCH(A1373,'3.員工名單'!$A:$A,0)),"查無此員工"))</f>
        <v/>
      </c>
      <c r="C1373" s="120">
        <f t="array" ref="C1373:C1373">IF(A1373="","",IFERROR(INDEX('3.員工名單'!$C:$C,MATCH(A1373,'3.員工名單'!$A:$A,0)),""))</f>
        <v/>
      </c>
      <c r="D1373" s="120">
        <f t="array" ref="D1373:D1373">IF(A1373="","",IFERROR(INDEX('3.員工名單'!$D:$D,MATCH(A1373,'3.員工名單'!$A:$A,0)),""))</f>
        <v/>
      </c>
      <c r="E1373" s="120">
        <f t="array" ref="E1373:E1373">IF(F1373="","",IFERROR(INDEX('1.職能辭典'!$A:$A,MATCH(F1373,'1.職能辭典'!$C:$C,0)),""))</f>
        <v/>
      </c>
      <c r="F1373" s="94" t="n"/>
      <c r="G1373" s="120">
        <f t="array" ref="G1373:G1373">IF(OR(D1373="",F1373=""),"",IFERROR(IF(AND(OR(INDEX('1.職能辭典'!$J:$J,MATCH(F1373,'1.職能辭典'!$C:$C,0))="全部",INDEX('3.員工名單'!$H:$H,MATCH(A1373,'3.員工名單'!$A:$A,0))="兩款共用",INDEX('3.員工名單'!$H:$H,MATCH(A1373,'3.員工名單'!$A:$A,0))=INDEX('1.職能辭典'!$J:$J,MATCH(F1373,'1.職能辭典'!$C:$C,0))),OR(INDEX('1.職能辭典'!$K:$K,MATCH(F1373,'1.職能辭典'!$C:$C,0))="全部",SUMPRODUCT(ISNUMBER(SEARCH({"經營","管理","財務","企劃","營運","技術","數據","美術","測試","客服"},INDEX('3.員工名單'!$I:$I,MATCH(A1373,'3.員工名單'!$A:$A,0))))*ISNUMBER(SEARCH({"經營","管理","財務","企劃","營運","技術","數據","美術","測試","客服"},INDEX('1.職能辭典'!$K:$K,MATCH(F1373,'1.職能辭典'!$C:$C,0)))))&gt;0)),INDEX('2.職務職能需求'!$B$2:$F$28,MATCH(F1373,'2.職務職能需求'!$A$2:$A$28,0),MATCH(D1373,'2.職務職能需求'!$B$1:$F$1,0)),0),""))</f>
        <v/>
      </c>
      <c r="H1373" s="94" t="n"/>
      <c r="I1373" s="94" t="n"/>
      <c r="J1373" s="120">
        <f>IF(OR(G1373="",I1373="",G1373=0),"",I1373-G1373)</f>
        <v/>
      </c>
      <c r="K1373" s="120">
        <f>IF(G1373="","",IF(G1373=0,"不適用",IF(I1373="","待評核",IF(I1373&gt;=G1373,IF(I1373&gt;G1373,"超越","達標"),"待發展"))))</f>
        <v/>
      </c>
      <c r="L1373" s="91" t="n"/>
      <c r="M1373" s="91" t="n"/>
      <c r="N1373" s="88" t="n"/>
    </row>
    <row r="1374" ht="15.75" customHeight="1" s="64">
      <c r="A1374" s="88" t="n"/>
      <c r="B1374" s="120">
        <f t="array" ref="B1374:B1374">IF(A1374="","",IFERROR(INDEX('3.員工名單'!$B:$B,MATCH(A1374,'3.員工名單'!$A:$A,0)),"查無此員工"))</f>
        <v/>
      </c>
      <c r="C1374" s="120">
        <f t="array" ref="C1374:C1374">IF(A1374="","",IFERROR(INDEX('3.員工名單'!$C:$C,MATCH(A1374,'3.員工名單'!$A:$A,0)),""))</f>
        <v/>
      </c>
      <c r="D1374" s="120">
        <f t="array" ref="D1374:D1374">IF(A1374="","",IFERROR(INDEX('3.員工名單'!$D:$D,MATCH(A1374,'3.員工名單'!$A:$A,0)),""))</f>
        <v/>
      </c>
      <c r="E1374" s="120">
        <f t="array" ref="E1374:E1374">IF(F1374="","",IFERROR(INDEX('1.職能辭典'!$A:$A,MATCH(F1374,'1.職能辭典'!$C:$C,0)),""))</f>
        <v/>
      </c>
      <c r="F1374" s="94" t="n"/>
      <c r="G1374" s="120">
        <f t="array" ref="G1374:G1374">IF(OR(D1374="",F1374=""),"",IFERROR(IF(AND(OR(INDEX('1.職能辭典'!$J:$J,MATCH(F1374,'1.職能辭典'!$C:$C,0))="全部",INDEX('3.員工名單'!$H:$H,MATCH(A1374,'3.員工名單'!$A:$A,0))="兩款共用",INDEX('3.員工名單'!$H:$H,MATCH(A1374,'3.員工名單'!$A:$A,0))=INDEX('1.職能辭典'!$J:$J,MATCH(F1374,'1.職能辭典'!$C:$C,0))),OR(INDEX('1.職能辭典'!$K:$K,MATCH(F1374,'1.職能辭典'!$C:$C,0))="全部",SUMPRODUCT(ISNUMBER(SEARCH({"經營","管理","財務","企劃","營運","技術","數據","美術","測試","客服"},INDEX('3.員工名單'!$I:$I,MATCH(A1374,'3.員工名單'!$A:$A,0))))*ISNUMBER(SEARCH({"經營","管理","財務","企劃","營運","技術","數據","美術","測試","客服"},INDEX('1.職能辭典'!$K:$K,MATCH(F1374,'1.職能辭典'!$C:$C,0)))))&gt;0)),INDEX('2.職務職能需求'!$B$2:$F$28,MATCH(F1374,'2.職務職能需求'!$A$2:$A$28,0),MATCH(D1374,'2.職務職能需求'!$B$1:$F$1,0)),0),""))</f>
        <v/>
      </c>
      <c r="H1374" s="94" t="n"/>
      <c r="I1374" s="94" t="n"/>
      <c r="J1374" s="120">
        <f>IF(OR(G1374="",I1374="",G1374=0),"",I1374-G1374)</f>
        <v/>
      </c>
      <c r="K1374" s="120">
        <f>IF(G1374="","",IF(G1374=0,"不適用",IF(I1374="","待評核",IF(I1374&gt;=G1374,IF(I1374&gt;G1374,"超越","達標"),"待發展"))))</f>
        <v/>
      </c>
      <c r="L1374" s="91" t="n"/>
      <c r="M1374" s="91" t="n"/>
      <c r="N1374" s="88" t="n"/>
    </row>
    <row r="1375" ht="15.75" customHeight="1" s="64">
      <c r="A1375" s="88" t="n"/>
      <c r="B1375" s="120">
        <f t="array" ref="B1375:B1375">IF(A1375="","",IFERROR(INDEX('3.員工名單'!$B:$B,MATCH(A1375,'3.員工名單'!$A:$A,0)),"查無此員工"))</f>
        <v/>
      </c>
      <c r="C1375" s="120">
        <f t="array" ref="C1375:C1375">IF(A1375="","",IFERROR(INDEX('3.員工名單'!$C:$C,MATCH(A1375,'3.員工名單'!$A:$A,0)),""))</f>
        <v/>
      </c>
      <c r="D1375" s="120">
        <f t="array" ref="D1375:D1375">IF(A1375="","",IFERROR(INDEX('3.員工名單'!$D:$D,MATCH(A1375,'3.員工名單'!$A:$A,0)),""))</f>
        <v/>
      </c>
      <c r="E1375" s="120">
        <f t="array" ref="E1375:E1375">IF(F1375="","",IFERROR(INDEX('1.職能辭典'!$A:$A,MATCH(F1375,'1.職能辭典'!$C:$C,0)),""))</f>
        <v/>
      </c>
      <c r="F1375" s="94" t="n"/>
      <c r="G1375" s="120">
        <f t="array" ref="G1375:G1375">IF(OR(D1375="",F1375=""),"",IFERROR(IF(AND(OR(INDEX('1.職能辭典'!$J:$J,MATCH(F1375,'1.職能辭典'!$C:$C,0))="全部",INDEX('3.員工名單'!$H:$H,MATCH(A1375,'3.員工名單'!$A:$A,0))="兩款共用",INDEX('3.員工名單'!$H:$H,MATCH(A1375,'3.員工名單'!$A:$A,0))=INDEX('1.職能辭典'!$J:$J,MATCH(F1375,'1.職能辭典'!$C:$C,0))),OR(INDEX('1.職能辭典'!$K:$K,MATCH(F1375,'1.職能辭典'!$C:$C,0))="全部",SUMPRODUCT(ISNUMBER(SEARCH({"經營","管理","財務","企劃","營運","技術","數據","美術","測試","客服"},INDEX('3.員工名單'!$I:$I,MATCH(A1375,'3.員工名單'!$A:$A,0))))*ISNUMBER(SEARCH({"經營","管理","財務","企劃","營運","技術","數據","美術","測試","客服"},INDEX('1.職能辭典'!$K:$K,MATCH(F1375,'1.職能辭典'!$C:$C,0)))))&gt;0)),INDEX('2.職務職能需求'!$B$2:$F$28,MATCH(F1375,'2.職務職能需求'!$A$2:$A$28,0),MATCH(D1375,'2.職務職能需求'!$B$1:$F$1,0)),0),""))</f>
        <v/>
      </c>
      <c r="H1375" s="94" t="n"/>
      <c r="I1375" s="94" t="n"/>
      <c r="J1375" s="120">
        <f>IF(OR(G1375="",I1375="",G1375=0),"",I1375-G1375)</f>
        <v/>
      </c>
      <c r="K1375" s="120">
        <f>IF(G1375="","",IF(G1375=0,"不適用",IF(I1375="","待評核",IF(I1375&gt;=G1375,IF(I1375&gt;G1375,"超越","達標"),"待發展"))))</f>
        <v/>
      </c>
      <c r="L1375" s="91" t="n"/>
      <c r="M1375" s="91" t="n"/>
      <c r="N1375" s="88" t="n"/>
    </row>
    <row r="1376" ht="15.75" customHeight="1" s="64">
      <c r="A1376" s="88" t="n"/>
      <c r="B1376" s="120">
        <f t="array" ref="B1376:B1376">IF(A1376="","",IFERROR(INDEX('3.員工名單'!$B:$B,MATCH(A1376,'3.員工名單'!$A:$A,0)),"查無此員工"))</f>
        <v/>
      </c>
      <c r="C1376" s="120">
        <f t="array" ref="C1376:C1376">IF(A1376="","",IFERROR(INDEX('3.員工名單'!$C:$C,MATCH(A1376,'3.員工名單'!$A:$A,0)),""))</f>
        <v/>
      </c>
      <c r="D1376" s="120">
        <f t="array" ref="D1376:D1376">IF(A1376="","",IFERROR(INDEX('3.員工名單'!$D:$D,MATCH(A1376,'3.員工名單'!$A:$A,0)),""))</f>
        <v/>
      </c>
      <c r="E1376" s="120">
        <f t="array" ref="E1376:E1376">IF(F1376="","",IFERROR(INDEX('1.職能辭典'!$A:$A,MATCH(F1376,'1.職能辭典'!$C:$C,0)),""))</f>
        <v/>
      </c>
      <c r="F1376" s="94" t="n"/>
      <c r="G1376" s="120">
        <f t="array" ref="G1376:G1376">IF(OR(D1376="",F1376=""),"",IFERROR(IF(AND(OR(INDEX('1.職能辭典'!$J:$J,MATCH(F1376,'1.職能辭典'!$C:$C,0))="全部",INDEX('3.員工名單'!$H:$H,MATCH(A1376,'3.員工名單'!$A:$A,0))="兩款共用",INDEX('3.員工名單'!$H:$H,MATCH(A1376,'3.員工名單'!$A:$A,0))=INDEX('1.職能辭典'!$J:$J,MATCH(F1376,'1.職能辭典'!$C:$C,0))),OR(INDEX('1.職能辭典'!$K:$K,MATCH(F1376,'1.職能辭典'!$C:$C,0))="全部",SUMPRODUCT(ISNUMBER(SEARCH({"經營","管理","財務","企劃","營運","技術","數據","美術","測試","客服"},INDEX('3.員工名單'!$I:$I,MATCH(A1376,'3.員工名單'!$A:$A,0))))*ISNUMBER(SEARCH({"經營","管理","財務","企劃","營運","技術","數據","美術","測試","客服"},INDEX('1.職能辭典'!$K:$K,MATCH(F1376,'1.職能辭典'!$C:$C,0)))))&gt;0)),INDEX('2.職務職能需求'!$B$2:$F$28,MATCH(F1376,'2.職務職能需求'!$A$2:$A$28,0),MATCH(D1376,'2.職務職能需求'!$B$1:$F$1,0)),0),""))</f>
        <v/>
      </c>
      <c r="H1376" s="94" t="n"/>
      <c r="I1376" s="94" t="n"/>
      <c r="J1376" s="120">
        <f>IF(OR(G1376="",I1376="",G1376=0),"",I1376-G1376)</f>
        <v/>
      </c>
      <c r="K1376" s="120">
        <f>IF(G1376="","",IF(G1376=0,"不適用",IF(I1376="","待評核",IF(I1376&gt;=G1376,IF(I1376&gt;G1376,"超越","達標"),"待發展"))))</f>
        <v/>
      </c>
      <c r="L1376" s="91" t="n"/>
      <c r="M1376" s="91" t="n"/>
      <c r="N1376" s="88" t="n"/>
    </row>
    <row r="1377" ht="15.75" customHeight="1" s="64">
      <c r="A1377" s="88" t="n"/>
      <c r="B1377" s="120">
        <f t="array" ref="B1377:B1377">IF(A1377="","",IFERROR(INDEX('3.員工名單'!$B:$B,MATCH(A1377,'3.員工名單'!$A:$A,0)),"查無此員工"))</f>
        <v/>
      </c>
      <c r="C1377" s="120">
        <f t="array" ref="C1377:C1377">IF(A1377="","",IFERROR(INDEX('3.員工名單'!$C:$C,MATCH(A1377,'3.員工名單'!$A:$A,0)),""))</f>
        <v/>
      </c>
      <c r="D1377" s="120">
        <f t="array" ref="D1377:D1377">IF(A1377="","",IFERROR(INDEX('3.員工名單'!$D:$D,MATCH(A1377,'3.員工名單'!$A:$A,0)),""))</f>
        <v/>
      </c>
      <c r="E1377" s="120">
        <f t="array" ref="E1377:E1377">IF(F1377="","",IFERROR(INDEX('1.職能辭典'!$A:$A,MATCH(F1377,'1.職能辭典'!$C:$C,0)),""))</f>
        <v/>
      </c>
      <c r="F1377" s="94" t="n"/>
      <c r="G1377" s="120">
        <f t="array" ref="G1377:G1377">IF(OR(D1377="",F1377=""),"",IFERROR(IF(AND(OR(INDEX('1.職能辭典'!$J:$J,MATCH(F1377,'1.職能辭典'!$C:$C,0))="全部",INDEX('3.員工名單'!$H:$H,MATCH(A1377,'3.員工名單'!$A:$A,0))="兩款共用",INDEX('3.員工名單'!$H:$H,MATCH(A1377,'3.員工名單'!$A:$A,0))=INDEX('1.職能辭典'!$J:$J,MATCH(F1377,'1.職能辭典'!$C:$C,0))),OR(INDEX('1.職能辭典'!$K:$K,MATCH(F1377,'1.職能辭典'!$C:$C,0))="全部",SUMPRODUCT(ISNUMBER(SEARCH({"經營","管理","財務","企劃","營運","技術","數據","美術","測試","客服"},INDEX('3.員工名單'!$I:$I,MATCH(A1377,'3.員工名單'!$A:$A,0))))*ISNUMBER(SEARCH({"經營","管理","財務","企劃","營運","技術","數據","美術","測試","客服"},INDEX('1.職能辭典'!$K:$K,MATCH(F1377,'1.職能辭典'!$C:$C,0)))))&gt;0)),INDEX('2.職務職能需求'!$B$2:$F$28,MATCH(F1377,'2.職務職能需求'!$A$2:$A$28,0),MATCH(D1377,'2.職務職能需求'!$B$1:$F$1,0)),0),""))</f>
        <v/>
      </c>
      <c r="H1377" s="94" t="n"/>
      <c r="I1377" s="94" t="n"/>
      <c r="J1377" s="120">
        <f>IF(OR(G1377="",I1377="",G1377=0),"",I1377-G1377)</f>
        <v/>
      </c>
      <c r="K1377" s="120">
        <f>IF(G1377="","",IF(G1377=0,"不適用",IF(I1377="","待評核",IF(I1377&gt;=G1377,IF(I1377&gt;G1377,"超越","達標"),"待發展"))))</f>
        <v/>
      </c>
      <c r="L1377" s="91" t="n"/>
      <c r="M1377" s="91" t="n"/>
      <c r="N1377" s="88" t="n"/>
    </row>
    <row r="1378" ht="15.75" customHeight="1" s="64">
      <c r="A1378" s="88" t="n"/>
      <c r="B1378" s="120">
        <f t="array" ref="B1378:B1378">IF(A1378="","",IFERROR(INDEX('3.員工名單'!$B:$B,MATCH(A1378,'3.員工名單'!$A:$A,0)),"查無此員工"))</f>
        <v/>
      </c>
      <c r="C1378" s="120">
        <f t="array" ref="C1378:C1378">IF(A1378="","",IFERROR(INDEX('3.員工名單'!$C:$C,MATCH(A1378,'3.員工名單'!$A:$A,0)),""))</f>
        <v/>
      </c>
      <c r="D1378" s="120">
        <f t="array" ref="D1378:D1378">IF(A1378="","",IFERROR(INDEX('3.員工名單'!$D:$D,MATCH(A1378,'3.員工名單'!$A:$A,0)),""))</f>
        <v/>
      </c>
      <c r="E1378" s="120">
        <f t="array" ref="E1378:E1378">IF(F1378="","",IFERROR(INDEX('1.職能辭典'!$A:$A,MATCH(F1378,'1.職能辭典'!$C:$C,0)),""))</f>
        <v/>
      </c>
      <c r="F1378" s="94" t="n"/>
      <c r="G1378" s="120">
        <f t="array" ref="G1378:G1378">IF(OR(D1378="",F1378=""),"",IFERROR(IF(AND(OR(INDEX('1.職能辭典'!$J:$J,MATCH(F1378,'1.職能辭典'!$C:$C,0))="全部",INDEX('3.員工名單'!$H:$H,MATCH(A1378,'3.員工名單'!$A:$A,0))="兩款共用",INDEX('3.員工名單'!$H:$H,MATCH(A1378,'3.員工名單'!$A:$A,0))=INDEX('1.職能辭典'!$J:$J,MATCH(F1378,'1.職能辭典'!$C:$C,0))),OR(INDEX('1.職能辭典'!$K:$K,MATCH(F1378,'1.職能辭典'!$C:$C,0))="全部",SUMPRODUCT(ISNUMBER(SEARCH({"經營","管理","財務","企劃","營運","技術","數據","美術","測試","客服"},INDEX('3.員工名單'!$I:$I,MATCH(A1378,'3.員工名單'!$A:$A,0))))*ISNUMBER(SEARCH({"經營","管理","財務","企劃","營運","技術","數據","美術","測試","客服"},INDEX('1.職能辭典'!$K:$K,MATCH(F1378,'1.職能辭典'!$C:$C,0)))))&gt;0)),INDEX('2.職務職能需求'!$B$2:$F$28,MATCH(F1378,'2.職務職能需求'!$A$2:$A$28,0),MATCH(D1378,'2.職務職能需求'!$B$1:$F$1,0)),0),""))</f>
        <v/>
      </c>
      <c r="H1378" s="94" t="n"/>
      <c r="I1378" s="94" t="n"/>
      <c r="J1378" s="120">
        <f>IF(OR(G1378="",I1378="",G1378=0),"",I1378-G1378)</f>
        <v/>
      </c>
      <c r="K1378" s="120">
        <f>IF(G1378="","",IF(G1378=0,"不適用",IF(I1378="","待評核",IF(I1378&gt;=G1378,IF(I1378&gt;G1378,"超越","達標"),"待發展"))))</f>
        <v/>
      </c>
      <c r="L1378" s="91" t="n"/>
      <c r="M1378" s="91" t="n"/>
      <c r="N1378" s="88" t="n"/>
    </row>
    <row r="1379" ht="15.75" customHeight="1" s="64">
      <c r="A1379" s="88" t="n"/>
      <c r="B1379" s="120">
        <f t="array" ref="B1379:B1379">IF(A1379="","",IFERROR(INDEX('3.員工名單'!$B:$B,MATCH(A1379,'3.員工名單'!$A:$A,0)),"查無此員工"))</f>
        <v/>
      </c>
      <c r="C1379" s="120">
        <f t="array" ref="C1379:C1379">IF(A1379="","",IFERROR(INDEX('3.員工名單'!$C:$C,MATCH(A1379,'3.員工名單'!$A:$A,0)),""))</f>
        <v/>
      </c>
      <c r="D1379" s="120">
        <f t="array" ref="D1379:D1379">IF(A1379="","",IFERROR(INDEX('3.員工名單'!$D:$D,MATCH(A1379,'3.員工名單'!$A:$A,0)),""))</f>
        <v/>
      </c>
      <c r="E1379" s="120">
        <f t="array" ref="E1379:E1379">IF(F1379="","",IFERROR(INDEX('1.職能辭典'!$A:$A,MATCH(F1379,'1.職能辭典'!$C:$C,0)),""))</f>
        <v/>
      </c>
      <c r="F1379" s="94" t="n"/>
      <c r="G1379" s="120">
        <f t="array" ref="G1379:G1379">IF(OR(D1379="",F1379=""),"",IFERROR(IF(AND(OR(INDEX('1.職能辭典'!$J:$J,MATCH(F1379,'1.職能辭典'!$C:$C,0))="全部",INDEX('3.員工名單'!$H:$H,MATCH(A1379,'3.員工名單'!$A:$A,0))="兩款共用",INDEX('3.員工名單'!$H:$H,MATCH(A1379,'3.員工名單'!$A:$A,0))=INDEX('1.職能辭典'!$J:$J,MATCH(F1379,'1.職能辭典'!$C:$C,0))),OR(INDEX('1.職能辭典'!$K:$K,MATCH(F1379,'1.職能辭典'!$C:$C,0))="全部",SUMPRODUCT(ISNUMBER(SEARCH({"經營","管理","財務","企劃","營運","技術","數據","美術","測試","客服"},INDEX('3.員工名單'!$I:$I,MATCH(A1379,'3.員工名單'!$A:$A,0))))*ISNUMBER(SEARCH({"經營","管理","財務","企劃","營運","技術","數據","美術","測試","客服"},INDEX('1.職能辭典'!$K:$K,MATCH(F1379,'1.職能辭典'!$C:$C,0)))))&gt;0)),INDEX('2.職務職能需求'!$B$2:$F$28,MATCH(F1379,'2.職務職能需求'!$A$2:$A$28,0),MATCH(D1379,'2.職務職能需求'!$B$1:$F$1,0)),0),""))</f>
        <v/>
      </c>
      <c r="H1379" s="94" t="n"/>
      <c r="I1379" s="94" t="n"/>
      <c r="J1379" s="120">
        <f>IF(OR(G1379="",I1379="",G1379=0),"",I1379-G1379)</f>
        <v/>
      </c>
      <c r="K1379" s="120">
        <f>IF(G1379="","",IF(G1379=0,"不適用",IF(I1379="","待評核",IF(I1379&gt;=G1379,IF(I1379&gt;G1379,"超越","達標"),"待發展"))))</f>
        <v/>
      </c>
      <c r="L1379" s="91" t="n"/>
      <c r="M1379" s="91" t="n"/>
      <c r="N1379" s="88" t="n"/>
    </row>
    <row r="1380" ht="15.75" customHeight="1" s="64">
      <c r="A1380" s="88" t="n"/>
      <c r="B1380" s="120">
        <f t="array" ref="B1380:B1380">IF(A1380="","",IFERROR(INDEX('3.員工名單'!$B:$B,MATCH(A1380,'3.員工名單'!$A:$A,0)),"查無此員工"))</f>
        <v/>
      </c>
      <c r="C1380" s="120">
        <f t="array" ref="C1380:C1380">IF(A1380="","",IFERROR(INDEX('3.員工名單'!$C:$C,MATCH(A1380,'3.員工名單'!$A:$A,0)),""))</f>
        <v/>
      </c>
      <c r="D1380" s="120">
        <f t="array" ref="D1380:D1380">IF(A1380="","",IFERROR(INDEX('3.員工名單'!$D:$D,MATCH(A1380,'3.員工名單'!$A:$A,0)),""))</f>
        <v/>
      </c>
      <c r="E1380" s="120">
        <f t="array" ref="E1380:E1380">IF(F1380="","",IFERROR(INDEX('1.職能辭典'!$A:$A,MATCH(F1380,'1.職能辭典'!$C:$C,0)),""))</f>
        <v/>
      </c>
      <c r="F1380" s="94" t="n"/>
      <c r="G1380" s="120">
        <f t="array" ref="G1380:G1380">IF(OR(D1380="",F1380=""),"",IFERROR(IF(AND(OR(INDEX('1.職能辭典'!$J:$J,MATCH(F1380,'1.職能辭典'!$C:$C,0))="全部",INDEX('3.員工名單'!$H:$H,MATCH(A1380,'3.員工名單'!$A:$A,0))="兩款共用",INDEX('3.員工名單'!$H:$H,MATCH(A1380,'3.員工名單'!$A:$A,0))=INDEX('1.職能辭典'!$J:$J,MATCH(F1380,'1.職能辭典'!$C:$C,0))),OR(INDEX('1.職能辭典'!$K:$K,MATCH(F1380,'1.職能辭典'!$C:$C,0))="全部",SUMPRODUCT(ISNUMBER(SEARCH({"經營","管理","財務","企劃","營運","技術","數據","美術","測試","客服"},INDEX('3.員工名單'!$I:$I,MATCH(A1380,'3.員工名單'!$A:$A,0))))*ISNUMBER(SEARCH({"經營","管理","財務","企劃","營運","技術","數據","美術","測試","客服"},INDEX('1.職能辭典'!$K:$K,MATCH(F1380,'1.職能辭典'!$C:$C,0)))))&gt;0)),INDEX('2.職務職能需求'!$B$2:$F$28,MATCH(F1380,'2.職務職能需求'!$A$2:$A$28,0),MATCH(D1380,'2.職務職能需求'!$B$1:$F$1,0)),0),""))</f>
        <v/>
      </c>
      <c r="H1380" s="94" t="n"/>
      <c r="I1380" s="94" t="n"/>
      <c r="J1380" s="120">
        <f>IF(OR(G1380="",I1380="",G1380=0),"",I1380-G1380)</f>
        <v/>
      </c>
      <c r="K1380" s="120">
        <f>IF(G1380="","",IF(G1380=0,"不適用",IF(I1380="","待評核",IF(I1380&gt;=G1380,IF(I1380&gt;G1380,"超越","達標"),"待發展"))))</f>
        <v/>
      </c>
      <c r="L1380" s="91" t="n"/>
      <c r="M1380" s="91" t="n"/>
      <c r="N1380" s="88" t="n"/>
    </row>
    <row r="1381" ht="15.75" customHeight="1" s="64">
      <c r="A1381" s="88" t="n"/>
      <c r="B1381" s="120">
        <f t="array" ref="B1381:B1381">IF(A1381="","",IFERROR(INDEX('3.員工名單'!$B:$B,MATCH(A1381,'3.員工名單'!$A:$A,0)),"查無此員工"))</f>
        <v/>
      </c>
      <c r="C1381" s="120">
        <f t="array" ref="C1381:C1381">IF(A1381="","",IFERROR(INDEX('3.員工名單'!$C:$C,MATCH(A1381,'3.員工名單'!$A:$A,0)),""))</f>
        <v/>
      </c>
      <c r="D1381" s="120">
        <f t="array" ref="D1381:D1381">IF(A1381="","",IFERROR(INDEX('3.員工名單'!$D:$D,MATCH(A1381,'3.員工名單'!$A:$A,0)),""))</f>
        <v/>
      </c>
      <c r="E1381" s="120">
        <f t="array" ref="E1381:E1381">IF(F1381="","",IFERROR(INDEX('1.職能辭典'!$A:$A,MATCH(F1381,'1.職能辭典'!$C:$C,0)),""))</f>
        <v/>
      </c>
      <c r="F1381" s="94" t="n"/>
      <c r="G1381" s="120">
        <f t="array" ref="G1381:G1381">IF(OR(D1381="",F1381=""),"",IFERROR(IF(AND(OR(INDEX('1.職能辭典'!$J:$J,MATCH(F1381,'1.職能辭典'!$C:$C,0))="全部",INDEX('3.員工名單'!$H:$H,MATCH(A1381,'3.員工名單'!$A:$A,0))="兩款共用",INDEX('3.員工名單'!$H:$H,MATCH(A1381,'3.員工名單'!$A:$A,0))=INDEX('1.職能辭典'!$J:$J,MATCH(F1381,'1.職能辭典'!$C:$C,0))),OR(INDEX('1.職能辭典'!$K:$K,MATCH(F1381,'1.職能辭典'!$C:$C,0))="全部",SUMPRODUCT(ISNUMBER(SEARCH({"經營","管理","財務","企劃","營運","技術","數據","美術","測試","客服"},INDEX('3.員工名單'!$I:$I,MATCH(A1381,'3.員工名單'!$A:$A,0))))*ISNUMBER(SEARCH({"經營","管理","財務","企劃","營運","技術","數據","美術","測試","客服"},INDEX('1.職能辭典'!$K:$K,MATCH(F1381,'1.職能辭典'!$C:$C,0)))))&gt;0)),INDEX('2.職務職能需求'!$B$2:$F$28,MATCH(F1381,'2.職務職能需求'!$A$2:$A$28,0),MATCH(D1381,'2.職務職能需求'!$B$1:$F$1,0)),0),""))</f>
        <v/>
      </c>
      <c r="H1381" s="94" t="n"/>
      <c r="I1381" s="94" t="n"/>
      <c r="J1381" s="120">
        <f>IF(OR(G1381="",I1381="",G1381=0),"",I1381-G1381)</f>
        <v/>
      </c>
      <c r="K1381" s="120">
        <f>IF(G1381="","",IF(G1381=0,"不適用",IF(I1381="","待評核",IF(I1381&gt;=G1381,IF(I1381&gt;G1381,"超越","達標"),"待發展"))))</f>
        <v/>
      </c>
      <c r="L1381" s="91" t="n"/>
      <c r="M1381" s="91" t="n"/>
      <c r="N1381" s="88" t="n"/>
    </row>
    <row r="1382" ht="15.75" customHeight="1" s="64">
      <c r="A1382" s="88" t="n"/>
      <c r="B1382" s="120">
        <f t="array" ref="B1382:B1382">IF(A1382="","",IFERROR(INDEX('3.員工名單'!$B:$B,MATCH(A1382,'3.員工名單'!$A:$A,0)),"查無此員工"))</f>
        <v/>
      </c>
      <c r="C1382" s="120">
        <f t="array" ref="C1382:C1382">IF(A1382="","",IFERROR(INDEX('3.員工名單'!$C:$C,MATCH(A1382,'3.員工名單'!$A:$A,0)),""))</f>
        <v/>
      </c>
      <c r="D1382" s="120">
        <f t="array" ref="D1382:D1382">IF(A1382="","",IFERROR(INDEX('3.員工名單'!$D:$D,MATCH(A1382,'3.員工名單'!$A:$A,0)),""))</f>
        <v/>
      </c>
      <c r="E1382" s="120">
        <f t="array" ref="E1382:E1382">IF(F1382="","",IFERROR(INDEX('1.職能辭典'!$A:$A,MATCH(F1382,'1.職能辭典'!$C:$C,0)),""))</f>
        <v/>
      </c>
      <c r="F1382" s="94" t="n"/>
      <c r="G1382" s="120">
        <f t="array" ref="G1382:G1382">IF(OR(D1382="",F1382=""),"",IFERROR(IF(AND(OR(INDEX('1.職能辭典'!$J:$J,MATCH(F1382,'1.職能辭典'!$C:$C,0))="全部",INDEX('3.員工名單'!$H:$H,MATCH(A1382,'3.員工名單'!$A:$A,0))="兩款共用",INDEX('3.員工名單'!$H:$H,MATCH(A1382,'3.員工名單'!$A:$A,0))=INDEX('1.職能辭典'!$J:$J,MATCH(F1382,'1.職能辭典'!$C:$C,0))),OR(INDEX('1.職能辭典'!$K:$K,MATCH(F1382,'1.職能辭典'!$C:$C,0))="全部",SUMPRODUCT(ISNUMBER(SEARCH({"經營","管理","財務","企劃","營運","技術","數據","美術","測試","客服"},INDEX('3.員工名單'!$I:$I,MATCH(A1382,'3.員工名單'!$A:$A,0))))*ISNUMBER(SEARCH({"經營","管理","財務","企劃","營運","技術","數據","美術","測試","客服"},INDEX('1.職能辭典'!$K:$K,MATCH(F1382,'1.職能辭典'!$C:$C,0)))))&gt;0)),INDEX('2.職務職能需求'!$B$2:$F$28,MATCH(F1382,'2.職務職能需求'!$A$2:$A$28,0),MATCH(D1382,'2.職務職能需求'!$B$1:$F$1,0)),0),""))</f>
        <v/>
      </c>
      <c r="H1382" s="94" t="n"/>
      <c r="I1382" s="94" t="n"/>
      <c r="J1382" s="120">
        <f>IF(OR(G1382="",I1382="",G1382=0),"",I1382-G1382)</f>
        <v/>
      </c>
      <c r="K1382" s="120">
        <f>IF(G1382="","",IF(G1382=0,"不適用",IF(I1382="","待評核",IF(I1382&gt;=G1382,IF(I1382&gt;G1382,"超越","達標"),"待發展"))))</f>
        <v/>
      </c>
      <c r="L1382" s="91" t="n"/>
      <c r="M1382" s="91" t="n"/>
      <c r="N1382" s="88" t="n"/>
    </row>
    <row r="1383" ht="15.75" customHeight="1" s="64">
      <c r="A1383" s="88" t="n"/>
      <c r="B1383" s="120">
        <f t="array" ref="B1383:B1383">IF(A1383="","",IFERROR(INDEX('3.員工名單'!$B:$B,MATCH(A1383,'3.員工名單'!$A:$A,0)),"查無此員工"))</f>
        <v/>
      </c>
      <c r="C1383" s="120">
        <f t="array" ref="C1383:C1383">IF(A1383="","",IFERROR(INDEX('3.員工名單'!$C:$C,MATCH(A1383,'3.員工名單'!$A:$A,0)),""))</f>
        <v/>
      </c>
      <c r="D1383" s="120">
        <f t="array" ref="D1383:D1383">IF(A1383="","",IFERROR(INDEX('3.員工名單'!$D:$D,MATCH(A1383,'3.員工名單'!$A:$A,0)),""))</f>
        <v/>
      </c>
      <c r="E1383" s="120">
        <f t="array" ref="E1383:E1383">IF(F1383="","",IFERROR(INDEX('1.職能辭典'!$A:$A,MATCH(F1383,'1.職能辭典'!$C:$C,0)),""))</f>
        <v/>
      </c>
      <c r="F1383" s="94" t="n"/>
      <c r="G1383" s="120">
        <f t="array" ref="G1383:G1383">IF(OR(D1383="",F1383=""),"",IFERROR(IF(AND(OR(INDEX('1.職能辭典'!$J:$J,MATCH(F1383,'1.職能辭典'!$C:$C,0))="全部",INDEX('3.員工名單'!$H:$H,MATCH(A1383,'3.員工名單'!$A:$A,0))="兩款共用",INDEX('3.員工名單'!$H:$H,MATCH(A1383,'3.員工名單'!$A:$A,0))=INDEX('1.職能辭典'!$J:$J,MATCH(F1383,'1.職能辭典'!$C:$C,0))),OR(INDEX('1.職能辭典'!$K:$K,MATCH(F1383,'1.職能辭典'!$C:$C,0))="全部",SUMPRODUCT(ISNUMBER(SEARCH({"經營","管理","財務","企劃","營運","技術","數據","美術","測試","客服"},INDEX('3.員工名單'!$I:$I,MATCH(A1383,'3.員工名單'!$A:$A,0))))*ISNUMBER(SEARCH({"經營","管理","財務","企劃","營運","技術","數據","美術","測試","客服"},INDEX('1.職能辭典'!$K:$K,MATCH(F1383,'1.職能辭典'!$C:$C,0)))))&gt;0)),INDEX('2.職務職能需求'!$B$2:$F$28,MATCH(F1383,'2.職務職能需求'!$A$2:$A$28,0),MATCH(D1383,'2.職務職能需求'!$B$1:$F$1,0)),0),""))</f>
        <v/>
      </c>
      <c r="H1383" s="94" t="n"/>
      <c r="I1383" s="94" t="n"/>
      <c r="J1383" s="120">
        <f>IF(OR(G1383="",I1383="",G1383=0),"",I1383-G1383)</f>
        <v/>
      </c>
      <c r="K1383" s="120">
        <f>IF(G1383="","",IF(G1383=0,"不適用",IF(I1383="","待評核",IF(I1383&gt;=G1383,IF(I1383&gt;G1383,"超越","達標"),"待發展"))))</f>
        <v/>
      </c>
      <c r="L1383" s="91" t="n"/>
      <c r="M1383" s="91" t="n"/>
      <c r="N1383" s="88" t="n"/>
    </row>
    <row r="1384" ht="15.75" customHeight="1" s="64">
      <c r="A1384" s="88" t="n"/>
      <c r="B1384" s="120">
        <f t="array" ref="B1384:B1384">IF(A1384="","",IFERROR(INDEX('3.員工名單'!$B:$B,MATCH(A1384,'3.員工名單'!$A:$A,0)),"查無此員工"))</f>
        <v/>
      </c>
      <c r="C1384" s="120">
        <f t="array" ref="C1384:C1384">IF(A1384="","",IFERROR(INDEX('3.員工名單'!$C:$C,MATCH(A1384,'3.員工名單'!$A:$A,0)),""))</f>
        <v/>
      </c>
      <c r="D1384" s="120">
        <f t="array" ref="D1384:D1384">IF(A1384="","",IFERROR(INDEX('3.員工名單'!$D:$D,MATCH(A1384,'3.員工名單'!$A:$A,0)),""))</f>
        <v/>
      </c>
      <c r="E1384" s="120">
        <f t="array" ref="E1384:E1384">IF(F1384="","",IFERROR(INDEX('1.職能辭典'!$A:$A,MATCH(F1384,'1.職能辭典'!$C:$C,0)),""))</f>
        <v/>
      </c>
      <c r="F1384" s="94" t="n"/>
      <c r="G1384" s="120">
        <f t="array" ref="G1384:G1384">IF(OR(D1384="",F1384=""),"",IFERROR(IF(AND(OR(INDEX('1.職能辭典'!$J:$J,MATCH(F1384,'1.職能辭典'!$C:$C,0))="全部",INDEX('3.員工名單'!$H:$H,MATCH(A1384,'3.員工名單'!$A:$A,0))="兩款共用",INDEX('3.員工名單'!$H:$H,MATCH(A1384,'3.員工名單'!$A:$A,0))=INDEX('1.職能辭典'!$J:$J,MATCH(F1384,'1.職能辭典'!$C:$C,0))),OR(INDEX('1.職能辭典'!$K:$K,MATCH(F1384,'1.職能辭典'!$C:$C,0))="全部",SUMPRODUCT(ISNUMBER(SEARCH({"經營","管理","財務","企劃","營運","技術","數據","美術","測試","客服"},INDEX('3.員工名單'!$I:$I,MATCH(A1384,'3.員工名單'!$A:$A,0))))*ISNUMBER(SEARCH({"經營","管理","財務","企劃","營運","技術","數據","美術","測試","客服"},INDEX('1.職能辭典'!$K:$K,MATCH(F1384,'1.職能辭典'!$C:$C,0)))))&gt;0)),INDEX('2.職務職能需求'!$B$2:$F$28,MATCH(F1384,'2.職務職能需求'!$A$2:$A$28,0),MATCH(D1384,'2.職務職能需求'!$B$1:$F$1,0)),0),""))</f>
        <v/>
      </c>
      <c r="H1384" s="94" t="n"/>
      <c r="I1384" s="94" t="n"/>
      <c r="J1384" s="120">
        <f>IF(OR(G1384="",I1384="",G1384=0),"",I1384-G1384)</f>
        <v/>
      </c>
      <c r="K1384" s="120">
        <f>IF(G1384="","",IF(G1384=0,"不適用",IF(I1384="","待評核",IF(I1384&gt;=G1384,IF(I1384&gt;G1384,"超越","達標"),"待發展"))))</f>
        <v/>
      </c>
      <c r="L1384" s="91" t="n"/>
      <c r="M1384" s="91" t="n"/>
      <c r="N1384" s="88" t="n"/>
    </row>
    <row r="1385" ht="15.75" customHeight="1" s="64">
      <c r="A1385" s="88" t="n"/>
      <c r="B1385" s="120">
        <f t="array" ref="B1385:B1385">IF(A1385="","",IFERROR(INDEX('3.員工名單'!$B:$B,MATCH(A1385,'3.員工名單'!$A:$A,0)),"查無此員工"))</f>
        <v/>
      </c>
      <c r="C1385" s="120">
        <f t="array" ref="C1385:C1385">IF(A1385="","",IFERROR(INDEX('3.員工名單'!$C:$C,MATCH(A1385,'3.員工名單'!$A:$A,0)),""))</f>
        <v/>
      </c>
      <c r="D1385" s="120">
        <f t="array" ref="D1385:D1385">IF(A1385="","",IFERROR(INDEX('3.員工名單'!$D:$D,MATCH(A1385,'3.員工名單'!$A:$A,0)),""))</f>
        <v/>
      </c>
      <c r="E1385" s="120">
        <f t="array" ref="E1385:E1385">IF(F1385="","",IFERROR(INDEX('1.職能辭典'!$A:$A,MATCH(F1385,'1.職能辭典'!$C:$C,0)),""))</f>
        <v/>
      </c>
      <c r="F1385" s="94" t="n"/>
      <c r="G1385" s="120">
        <f t="array" ref="G1385:G1385">IF(OR(D1385="",F1385=""),"",IFERROR(IF(AND(OR(INDEX('1.職能辭典'!$J:$J,MATCH(F1385,'1.職能辭典'!$C:$C,0))="全部",INDEX('3.員工名單'!$H:$H,MATCH(A1385,'3.員工名單'!$A:$A,0))="兩款共用",INDEX('3.員工名單'!$H:$H,MATCH(A1385,'3.員工名單'!$A:$A,0))=INDEX('1.職能辭典'!$J:$J,MATCH(F1385,'1.職能辭典'!$C:$C,0))),OR(INDEX('1.職能辭典'!$K:$K,MATCH(F1385,'1.職能辭典'!$C:$C,0))="全部",SUMPRODUCT(ISNUMBER(SEARCH({"經營","管理","財務","企劃","營運","技術","數據","美術","測試","客服"},INDEX('3.員工名單'!$I:$I,MATCH(A1385,'3.員工名單'!$A:$A,0))))*ISNUMBER(SEARCH({"經營","管理","財務","企劃","營運","技術","數據","美術","測試","客服"},INDEX('1.職能辭典'!$K:$K,MATCH(F1385,'1.職能辭典'!$C:$C,0)))))&gt;0)),INDEX('2.職務職能需求'!$B$2:$F$28,MATCH(F1385,'2.職務職能需求'!$A$2:$A$28,0),MATCH(D1385,'2.職務職能需求'!$B$1:$F$1,0)),0),""))</f>
        <v/>
      </c>
      <c r="H1385" s="94" t="n"/>
      <c r="I1385" s="94" t="n"/>
      <c r="J1385" s="120">
        <f>IF(OR(G1385="",I1385="",G1385=0),"",I1385-G1385)</f>
        <v/>
      </c>
      <c r="K1385" s="120">
        <f>IF(G1385="","",IF(G1385=0,"不適用",IF(I1385="","待評核",IF(I1385&gt;=G1385,IF(I1385&gt;G1385,"超越","達標"),"待發展"))))</f>
        <v/>
      </c>
      <c r="L1385" s="91" t="n"/>
      <c r="M1385" s="91" t="n"/>
      <c r="N1385" s="88" t="n"/>
    </row>
    <row r="1386" ht="15.75" customHeight="1" s="64">
      <c r="A1386" s="88" t="n"/>
      <c r="B1386" s="120">
        <f t="array" ref="B1386:B1386">IF(A1386="","",IFERROR(INDEX('3.員工名單'!$B:$B,MATCH(A1386,'3.員工名單'!$A:$A,0)),"查無此員工"))</f>
        <v/>
      </c>
      <c r="C1386" s="120">
        <f t="array" ref="C1386:C1386">IF(A1386="","",IFERROR(INDEX('3.員工名單'!$C:$C,MATCH(A1386,'3.員工名單'!$A:$A,0)),""))</f>
        <v/>
      </c>
      <c r="D1386" s="120">
        <f t="array" ref="D1386:D1386">IF(A1386="","",IFERROR(INDEX('3.員工名單'!$D:$D,MATCH(A1386,'3.員工名單'!$A:$A,0)),""))</f>
        <v/>
      </c>
      <c r="E1386" s="120">
        <f t="array" ref="E1386:E1386">IF(F1386="","",IFERROR(INDEX('1.職能辭典'!$A:$A,MATCH(F1386,'1.職能辭典'!$C:$C,0)),""))</f>
        <v/>
      </c>
      <c r="F1386" s="94" t="n"/>
      <c r="G1386" s="120">
        <f t="array" ref="G1386:G1386">IF(OR(D1386="",F1386=""),"",IFERROR(IF(AND(OR(INDEX('1.職能辭典'!$J:$J,MATCH(F1386,'1.職能辭典'!$C:$C,0))="全部",INDEX('3.員工名單'!$H:$H,MATCH(A1386,'3.員工名單'!$A:$A,0))="兩款共用",INDEX('3.員工名單'!$H:$H,MATCH(A1386,'3.員工名單'!$A:$A,0))=INDEX('1.職能辭典'!$J:$J,MATCH(F1386,'1.職能辭典'!$C:$C,0))),OR(INDEX('1.職能辭典'!$K:$K,MATCH(F1386,'1.職能辭典'!$C:$C,0))="全部",SUMPRODUCT(ISNUMBER(SEARCH({"經營","管理","財務","企劃","營運","技術","數據","美術","測試","客服"},INDEX('3.員工名單'!$I:$I,MATCH(A1386,'3.員工名單'!$A:$A,0))))*ISNUMBER(SEARCH({"經營","管理","財務","企劃","營運","技術","數據","美術","測試","客服"},INDEX('1.職能辭典'!$K:$K,MATCH(F1386,'1.職能辭典'!$C:$C,0)))))&gt;0)),INDEX('2.職務職能需求'!$B$2:$F$28,MATCH(F1386,'2.職務職能需求'!$A$2:$A$28,0),MATCH(D1386,'2.職務職能需求'!$B$1:$F$1,0)),0),""))</f>
        <v/>
      </c>
      <c r="H1386" s="94" t="n"/>
      <c r="I1386" s="94" t="n"/>
      <c r="J1386" s="120">
        <f>IF(OR(G1386="",I1386="",G1386=0),"",I1386-G1386)</f>
        <v/>
      </c>
      <c r="K1386" s="120">
        <f>IF(G1386="","",IF(G1386=0,"不適用",IF(I1386="","待評核",IF(I1386&gt;=G1386,IF(I1386&gt;G1386,"超越","達標"),"待發展"))))</f>
        <v/>
      </c>
      <c r="L1386" s="91" t="n"/>
      <c r="M1386" s="91" t="n"/>
      <c r="N1386" s="88" t="n"/>
    </row>
    <row r="1387" ht="15.75" customHeight="1" s="64">
      <c r="A1387" s="88" t="n"/>
      <c r="B1387" s="120">
        <f t="array" ref="B1387:B1387">IF(A1387="","",IFERROR(INDEX('3.員工名單'!$B:$B,MATCH(A1387,'3.員工名單'!$A:$A,0)),"查無此員工"))</f>
        <v/>
      </c>
      <c r="C1387" s="120">
        <f t="array" ref="C1387:C1387">IF(A1387="","",IFERROR(INDEX('3.員工名單'!$C:$C,MATCH(A1387,'3.員工名單'!$A:$A,0)),""))</f>
        <v/>
      </c>
      <c r="D1387" s="120">
        <f t="array" ref="D1387:D1387">IF(A1387="","",IFERROR(INDEX('3.員工名單'!$D:$D,MATCH(A1387,'3.員工名單'!$A:$A,0)),""))</f>
        <v/>
      </c>
      <c r="E1387" s="120">
        <f t="array" ref="E1387:E1387">IF(F1387="","",IFERROR(INDEX('1.職能辭典'!$A:$A,MATCH(F1387,'1.職能辭典'!$C:$C,0)),""))</f>
        <v/>
      </c>
      <c r="F1387" s="94" t="n"/>
      <c r="G1387" s="120">
        <f t="array" ref="G1387:G1387">IF(OR(D1387="",F1387=""),"",IFERROR(IF(AND(OR(INDEX('1.職能辭典'!$J:$J,MATCH(F1387,'1.職能辭典'!$C:$C,0))="全部",INDEX('3.員工名單'!$H:$H,MATCH(A1387,'3.員工名單'!$A:$A,0))="兩款共用",INDEX('3.員工名單'!$H:$H,MATCH(A1387,'3.員工名單'!$A:$A,0))=INDEX('1.職能辭典'!$J:$J,MATCH(F1387,'1.職能辭典'!$C:$C,0))),OR(INDEX('1.職能辭典'!$K:$K,MATCH(F1387,'1.職能辭典'!$C:$C,0))="全部",SUMPRODUCT(ISNUMBER(SEARCH({"經營","管理","財務","企劃","營運","技術","數據","美術","測試","客服"},INDEX('3.員工名單'!$I:$I,MATCH(A1387,'3.員工名單'!$A:$A,0))))*ISNUMBER(SEARCH({"經營","管理","財務","企劃","營運","技術","數據","美術","測試","客服"},INDEX('1.職能辭典'!$K:$K,MATCH(F1387,'1.職能辭典'!$C:$C,0)))))&gt;0)),INDEX('2.職務職能需求'!$B$2:$F$28,MATCH(F1387,'2.職務職能需求'!$A$2:$A$28,0),MATCH(D1387,'2.職務職能需求'!$B$1:$F$1,0)),0),""))</f>
        <v/>
      </c>
      <c r="H1387" s="94" t="n"/>
      <c r="I1387" s="94" t="n"/>
      <c r="J1387" s="120">
        <f>IF(OR(G1387="",I1387="",G1387=0),"",I1387-G1387)</f>
        <v/>
      </c>
      <c r="K1387" s="120">
        <f>IF(G1387="","",IF(G1387=0,"不適用",IF(I1387="","待評核",IF(I1387&gt;=G1387,IF(I1387&gt;G1387,"超越","達標"),"待發展"))))</f>
        <v/>
      </c>
      <c r="L1387" s="91" t="n"/>
      <c r="M1387" s="91" t="n"/>
      <c r="N1387" s="88" t="n"/>
    </row>
    <row r="1388" ht="15.75" customHeight="1" s="64">
      <c r="A1388" s="88" t="n"/>
      <c r="B1388" s="120">
        <f t="array" ref="B1388:B1388">IF(A1388="","",IFERROR(INDEX('3.員工名單'!$B:$B,MATCH(A1388,'3.員工名單'!$A:$A,0)),"查無此員工"))</f>
        <v/>
      </c>
      <c r="C1388" s="120">
        <f t="array" ref="C1388:C1388">IF(A1388="","",IFERROR(INDEX('3.員工名單'!$C:$C,MATCH(A1388,'3.員工名單'!$A:$A,0)),""))</f>
        <v/>
      </c>
      <c r="D1388" s="120">
        <f t="array" ref="D1388:D1388">IF(A1388="","",IFERROR(INDEX('3.員工名單'!$D:$D,MATCH(A1388,'3.員工名單'!$A:$A,0)),""))</f>
        <v/>
      </c>
      <c r="E1388" s="120">
        <f t="array" ref="E1388:E1388">IF(F1388="","",IFERROR(INDEX('1.職能辭典'!$A:$A,MATCH(F1388,'1.職能辭典'!$C:$C,0)),""))</f>
        <v/>
      </c>
      <c r="F1388" s="94" t="n"/>
      <c r="G1388" s="120">
        <f t="array" ref="G1388:G1388">IF(OR(D1388="",F1388=""),"",IFERROR(IF(AND(OR(INDEX('1.職能辭典'!$J:$J,MATCH(F1388,'1.職能辭典'!$C:$C,0))="全部",INDEX('3.員工名單'!$H:$H,MATCH(A1388,'3.員工名單'!$A:$A,0))="兩款共用",INDEX('3.員工名單'!$H:$H,MATCH(A1388,'3.員工名單'!$A:$A,0))=INDEX('1.職能辭典'!$J:$J,MATCH(F1388,'1.職能辭典'!$C:$C,0))),OR(INDEX('1.職能辭典'!$K:$K,MATCH(F1388,'1.職能辭典'!$C:$C,0))="全部",SUMPRODUCT(ISNUMBER(SEARCH({"經營","管理","財務","企劃","營運","技術","數據","美術","測試","客服"},INDEX('3.員工名單'!$I:$I,MATCH(A1388,'3.員工名單'!$A:$A,0))))*ISNUMBER(SEARCH({"經營","管理","財務","企劃","營運","技術","數據","美術","測試","客服"},INDEX('1.職能辭典'!$K:$K,MATCH(F1388,'1.職能辭典'!$C:$C,0)))))&gt;0)),INDEX('2.職務職能需求'!$B$2:$F$28,MATCH(F1388,'2.職務職能需求'!$A$2:$A$28,0),MATCH(D1388,'2.職務職能需求'!$B$1:$F$1,0)),0),""))</f>
        <v/>
      </c>
      <c r="H1388" s="94" t="n"/>
      <c r="I1388" s="94" t="n"/>
      <c r="J1388" s="120">
        <f>IF(OR(G1388="",I1388="",G1388=0),"",I1388-G1388)</f>
        <v/>
      </c>
      <c r="K1388" s="120">
        <f>IF(G1388="","",IF(G1388=0,"不適用",IF(I1388="","待評核",IF(I1388&gt;=G1388,IF(I1388&gt;G1388,"超越","達標"),"待發展"))))</f>
        <v/>
      </c>
      <c r="L1388" s="91" t="n"/>
      <c r="M1388" s="91" t="n"/>
      <c r="N1388" s="88" t="n"/>
    </row>
    <row r="1389" ht="15.75" customHeight="1" s="64">
      <c r="A1389" s="88" t="n"/>
      <c r="B1389" s="120">
        <f t="array" ref="B1389:B1389">IF(A1389="","",IFERROR(INDEX('3.員工名單'!$B:$B,MATCH(A1389,'3.員工名單'!$A:$A,0)),"查無此員工"))</f>
        <v/>
      </c>
      <c r="C1389" s="120">
        <f t="array" ref="C1389:C1389">IF(A1389="","",IFERROR(INDEX('3.員工名單'!$C:$C,MATCH(A1389,'3.員工名單'!$A:$A,0)),""))</f>
        <v/>
      </c>
      <c r="D1389" s="120">
        <f t="array" ref="D1389:D1389">IF(A1389="","",IFERROR(INDEX('3.員工名單'!$D:$D,MATCH(A1389,'3.員工名單'!$A:$A,0)),""))</f>
        <v/>
      </c>
      <c r="E1389" s="120">
        <f t="array" ref="E1389:E1389">IF(F1389="","",IFERROR(INDEX('1.職能辭典'!$A:$A,MATCH(F1389,'1.職能辭典'!$C:$C,0)),""))</f>
        <v/>
      </c>
      <c r="F1389" s="94" t="n"/>
      <c r="G1389" s="120">
        <f t="array" ref="G1389:G1389">IF(OR(D1389="",F1389=""),"",IFERROR(IF(AND(OR(INDEX('1.職能辭典'!$J:$J,MATCH(F1389,'1.職能辭典'!$C:$C,0))="全部",INDEX('3.員工名單'!$H:$H,MATCH(A1389,'3.員工名單'!$A:$A,0))="兩款共用",INDEX('3.員工名單'!$H:$H,MATCH(A1389,'3.員工名單'!$A:$A,0))=INDEX('1.職能辭典'!$J:$J,MATCH(F1389,'1.職能辭典'!$C:$C,0))),OR(INDEX('1.職能辭典'!$K:$K,MATCH(F1389,'1.職能辭典'!$C:$C,0))="全部",SUMPRODUCT(ISNUMBER(SEARCH({"經營","管理","財務","企劃","營運","技術","數據","美術","測試","客服"},INDEX('3.員工名單'!$I:$I,MATCH(A1389,'3.員工名單'!$A:$A,0))))*ISNUMBER(SEARCH({"經營","管理","財務","企劃","營運","技術","數據","美術","測試","客服"},INDEX('1.職能辭典'!$K:$K,MATCH(F1389,'1.職能辭典'!$C:$C,0)))))&gt;0)),INDEX('2.職務職能需求'!$B$2:$F$28,MATCH(F1389,'2.職務職能需求'!$A$2:$A$28,0),MATCH(D1389,'2.職務職能需求'!$B$1:$F$1,0)),0),""))</f>
        <v/>
      </c>
      <c r="H1389" s="94" t="n"/>
      <c r="I1389" s="94" t="n"/>
      <c r="J1389" s="120">
        <f>IF(OR(G1389="",I1389="",G1389=0),"",I1389-G1389)</f>
        <v/>
      </c>
      <c r="K1389" s="120">
        <f>IF(G1389="","",IF(G1389=0,"不適用",IF(I1389="","待評核",IF(I1389&gt;=G1389,IF(I1389&gt;G1389,"超越","達標"),"待發展"))))</f>
        <v/>
      </c>
      <c r="L1389" s="91" t="n"/>
      <c r="M1389" s="91" t="n"/>
      <c r="N1389" s="88" t="n"/>
    </row>
    <row r="1390" ht="15.75" customHeight="1" s="64">
      <c r="A1390" s="88" t="n"/>
      <c r="B1390" s="120">
        <f t="array" ref="B1390:B1390">IF(A1390="","",IFERROR(INDEX('3.員工名單'!$B:$B,MATCH(A1390,'3.員工名單'!$A:$A,0)),"查無此員工"))</f>
        <v/>
      </c>
      <c r="C1390" s="120">
        <f t="array" ref="C1390:C1390">IF(A1390="","",IFERROR(INDEX('3.員工名單'!$C:$C,MATCH(A1390,'3.員工名單'!$A:$A,0)),""))</f>
        <v/>
      </c>
      <c r="D1390" s="120">
        <f t="array" ref="D1390:D1390">IF(A1390="","",IFERROR(INDEX('3.員工名單'!$D:$D,MATCH(A1390,'3.員工名單'!$A:$A,0)),""))</f>
        <v/>
      </c>
      <c r="E1390" s="120">
        <f t="array" ref="E1390:E1390">IF(F1390="","",IFERROR(INDEX('1.職能辭典'!$A:$A,MATCH(F1390,'1.職能辭典'!$C:$C,0)),""))</f>
        <v/>
      </c>
      <c r="F1390" s="94" t="n"/>
      <c r="G1390" s="120">
        <f t="array" ref="G1390:G1390">IF(OR(D1390="",F1390=""),"",IFERROR(IF(AND(OR(INDEX('1.職能辭典'!$J:$J,MATCH(F1390,'1.職能辭典'!$C:$C,0))="全部",INDEX('3.員工名單'!$H:$H,MATCH(A1390,'3.員工名單'!$A:$A,0))="兩款共用",INDEX('3.員工名單'!$H:$H,MATCH(A1390,'3.員工名單'!$A:$A,0))=INDEX('1.職能辭典'!$J:$J,MATCH(F1390,'1.職能辭典'!$C:$C,0))),OR(INDEX('1.職能辭典'!$K:$K,MATCH(F1390,'1.職能辭典'!$C:$C,0))="全部",SUMPRODUCT(ISNUMBER(SEARCH({"經營","管理","財務","企劃","營運","技術","數據","美術","測試","客服"},INDEX('3.員工名單'!$I:$I,MATCH(A1390,'3.員工名單'!$A:$A,0))))*ISNUMBER(SEARCH({"經營","管理","財務","企劃","營運","技術","數據","美術","測試","客服"},INDEX('1.職能辭典'!$K:$K,MATCH(F1390,'1.職能辭典'!$C:$C,0)))))&gt;0)),INDEX('2.職務職能需求'!$B$2:$F$28,MATCH(F1390,'2.職務職能需求'!$A$2:$A$28,0),MATCH(D1390,'2.職務職能需求'!$B$1:$F$1,0)),0),""))</f>
        <v/>
      </c>
      <c r="H1390" s="94" t="n"/>
      <c r="I1390" s="94" t="n"/>
      <c r="J1390" s="120">
        <f>IF(OR(G1390="",I1390="",G1390=0),"",I1390-G1390)</f>
        <v/>
      </c>
      <c r="K1390" s="120">
        <f>IF(G1390="","",IF(G1390=0,"不適用",IF(I1390="","待評核",IF(I1390&gt;=G1390,IF(I1390&gt;G1390,"超越","達標"),"待發展"))))</f>
        <v/>
      </c>
      <c r="L1390" s="91" t="n"/>
      <c r="M1390" s="91" t="n"/>
      <c r="N1390" s="88" t="n"/>
    </row>
    <row r="1391" ht="15.75" customHeight="1" s="64">
      <c r="A1391" s="88" t="n"/>
      <c r="B1391" s="120">
        <f t="array" ref="B1391:B1391">IF(A1391="","",IFERROR(INDEX('3.員工名單'!$B:$B,MATCH(A1391,'3.員工名單'!$A:$A,0)),"查無此員工"))</f>
        <v/>
      </c>
      <c r="C1391" s="120">
        <f t="array" ref="C1391:C1391">IF(A1391="","",IFERROR(INDEX('3.員工名單'!$C:$C,MATCH(A1391,'3.員工名單'!$A:$A,0)),""))</f>
        <v/>
      </c>
      <c r="D1391" s="120">
        <f t="array" ref="D1391:D1391">IF(A1391="","",IFERROR(INDEX('3.員工名單'!$D:$D,MATCH(A1391,'3.員工名單'!$A:$A,0)),""))</f>
        <v/>
      </c>
      <c r="E1391" s="120">
        <f t="array" ref="E1391:E1391">IF(F1391="","",IFERROR(INDEX('1.職能辭典'!$A:$A,MATCH(F1391,'1.職能辭典'!$C:$C,0)),""))</f>
        <v/>
      </c>
      <c r="F1391" s="94" t="n"/>
      <c r="G1391" s="120">
        <f t="array" ref="G1391:G1391">IF(OR(D1391="",F1391=""),"",IFERROR(IF(AND(OR(INDEX('1.職能辭典'!$J:$J,MATCH(F1391,'1.職能辭典'!$C:$C,0))="全部",INDEX('3.員工名單'!$H:$H,MATCH(A1391,'3.員工名單'!$A:$A,0))="兩款共用",INDEX('3.員工名單'!$H:$H,MATCH(A1391,'3.員工名單'!$A:$A,0))=INDEX('1.職能辭典'!$J:$J,MATCH(F1391,'1.職能辭典'!$C:$C,0))),OR(INDEX('1.職能辭典'!$K:$K,MATCH(F1391,'1.職能辭典'!$C:$C,0))="全部",SUMPRODUCT(ISNUMBER(SEARCH({"經營","管理","財務","企劃","營運","技術","數據","美術","測試","客服"},INDEX('3.員工名單'!$I:$I,MATCH(A1391,'3.員工名單'!$A:$A,0))))*ISNUMBER(SEARCH({"經營","管理","財務","企劃","營運","技術","數據","美術","測試","客服"},INDEX('1.職能辭典'!$K:$K,MATCH(F1391,'1.職能辭典'!$C:$C,0)))))&gt;0)),INDEX('2.職務職能需求'!$B$2:$F$28,MATCH(F1391,'2.職務職能需求'!$A$2:$A$28,0),MATCH(D1391,'2.職務職能需求'!$B$1:$F$1,0)),0),""))</f>
        <v/>
      </c>
      <c r="H1391" s="94" t="n"/>
      <c r="I1391" s="94" t="n"/>
      <c r="J1391" s="120">
        <f>IF(OR(G1391="",I1391="",G1391=0),"",I1391-G1391)</f>
        <v/>
      </c>
      <c r="K1391" s="120">
        <f>IF(G1391="","",IF(G1391=0,"不適用",IF(I1391="","待評核",IF(I1391&gt;=G1391,IF(I1391&gt;G1391,"超越","達標"),"待發展"))))</f>
        <v/>
      </c>
      <c r="L1391" s="91" t="n"/>
      <c r="M1391" s="91" t="n"/>
      <c r="N1391" s="88" t="n"/>
    </row>
    <row r="1392" ht="15.75" customHeight="1" s="64">
      <c r="A1392" s="88" t="n"/>
      <c r="B1392" s="120">
        <f t="array" ref="B1392:B1392">IF(A1392="","",IFERROR(INDEX('3.員工名單'!$B:$B,MATCH(A1392,'3.員工名單'!$A:$A,0)),"查無此員工"))</f>
        <v/>
      </c>
      <c r="C1392" s="120">
        <f t="array" ref="C1392:C1392">IF(A1392="","",IFERROR(INDEX('3.員工名單'!$C:$C,MATCH(A1392,'3.員工名單'!$A:$A,0)),""))</f>
        <v/>
      </c>
      <c r="D1392" s="120">
        <f t="array" ref="D1392:D1392">IF(A1392="","",IFERROR(INDEX('3.員工名單'!$D:$D,MATCH(A1392,'3.員工名單'!$A:$A,0)),""))</f>
        <v/>
      </c>
      <c r="E1392" s="120">
        <f t="array" ref="E1392:E1392">IF(F1392="","",IFERROR(INDEX('1.職能辭典'!$A:$A,MATCH(F1392,'1.職能辭典'!$C:$C,0)),""))</f>
        <v/>
      </c>
      <c r="F1392" s="94" t="n"/>
      <c r="G1392" s="120">
        <f t="array" ref="G1392:G1392">IF(OR(D1392="",F1392=""),"",IFERROR(IF(AND(OR(INDEX('1.職能辭典'!$J:$J,MATCH(F1392,'1.職能辭典'!$C:$C,0))="全部",INDEX('3.員工名單'!$H:$H,MATCH(A1392,'3.員工名單'!$A:$A,0))="兩款共用",INDEX('3.員工名單'!$H:$H,MATCH(A1392,'3.員工名單'!$A:$A,0))=INDEX('1.職能辭典'!$J:$J,MATCH(F1392,'1.職能辭典'!$C:$C,0))),OR(INDEX('1.職能辭典'!$K:$K,MATCH(F1392,'1.職能辭典'!$C:$C,0))="全部",SUMPRODUCT(ISNUMBER(SEARCH({"經營","管理","財務","企劃","營運","技術","數據","美術","測試","客服"},INDEX('3.員工名單'!$I:$I,MATCH(A1392,'3.員工名單'!$A:$A,0))))*ISNUMBER(SEARCH({"經營","管理","財務","企劃","營運","技術","數據","美術","測試","客服"},INDEX('1.職能辭典'!$K:$K,MATCH(F1392,'1.職能辭典'!$C:$C,0)))))&gt;0)),INDEX('2.職務職能需求'!$B$2:$F$28,MATCH(F1392,'2.職務職能需求'!$A$2:$A$28,0),MATCH(D1392,'2.職務職能需求'!$B$1:$F$1,0)),0),""))</f>
        <v/>
      </c>
      <c r="H1392" s="94" t="n"/>
      <c r="I1392" s="94" t="n"/>
      <c r="J1392" s="120">
        <f>IF(OR(G1392="",I1392="",G1392=0),"",I1392-G1392)</f>
        <v/>
      </c>
      <c r="K1392" s="120">
        <f>IF(G1392="","",IF(G1392=0,"不適用",IF(I1392="","待評核",IF(I1392&gt;=G1392,IF(I1392&gt;G1392,"超越","達標"),"待發展"))))</f>
        <v/>
      </c>
      <c r="L1392" s="91" t="n"/>
      <c r="M1392" s="91" t="n"/>
      <c r="N1392" s="88" t="n"/>
    </row>
    <row r="1393" ht="15.75" customHeight="1" s="64">
      <c r="A1393" s="88" t="n"/>
      <c r="B1393" s="120">
        <f t="array" ref="B1393:B1393">IF(A1393="","",IFERROR(INDEX('3.員工名單'!$B:$B,MATCH(A1393,'3.員工名單'!$A:$A,0)),"查無此員工"))</f>
        <v/>
      </c>
      <c r="C1393" s="120">
        <f t="array" ref="C1393:C1393">IF(A1393="","",IFERROR(INDEX('3.員工名單'!$C:$C,MATCH(A1393,'3.員工名單'!$A:$A,0)),""))</f>
        <v/>
      </c>
      <c r="D1393" s="120">
        <f t="array" ref="D1393:D1393">IF(A1393="","",IFERROR(INDEX('3.員工名單'!$D:$D,MATCH(A1393,'3.員工名單'!$A:$A,0)),""))</f>
        <v/>
      </c>
      <c r="E1393" s="120">
        <f t="array" ref="E1393:E1393">IF(F1393="","",IFERROR(INDEX('1.職能辭典'!$A:$A,MATCH(F1393,'1.職能辭典'!$C:$C,0)),""))</f>
        <v/>
      </c>
      <c r="F1393" s="94" t="n"/>
      <c r="G1393" s="120">
        <f t="array" ref="G1393:G1393">IF(OR(D1393="",F1393=""),"",IFERROR(IF(AND(OR(INDEX('1.職能辭典'!$J:$J,MATCH(F1393,'1.職能辭典'!$C:$C,0))="全部",INDEX('3.員工名單'!$H:$H,MATCH(A1393,'3.員工名單'!$A:$A,0))="兩款共用",INDEX('3.員工名單'!$H:$H,MATCH(A1393,'3.員工名單'!$A:$A,0))=INDEX('1.職能辭典'!$J:$J,MATCH(F1393,'1.職能辭典'!$C:$C,0))),OR(INDEX('1.職能辭典'!$K:$K,MATCH(F1393,'1.職能辭典'!$C:$C,0))="全部",SUMPRODUCT(ISNUMBER(SEARCH({"經營","管理","財務","企劃","營運","技術","數據","美術","測試","客服"},INDEX('3.員工名單'!$I:$I,MATCH(A1393,'3.員工名單'!$A:$A,0))))*ISNUMBER(SEARCH({"經營","管理","財務","企劃","營運","技術","數據","美術","測試","客服"},INDEX('1.職能辭典'!$K:$K,MATCH(F1393,'1.職能辭典'!$C:$C,0)))))&gt;0)),INDEX('2.職務職能需求'!$B$2:$F$28,MATCH(F1393,'2.職務職能需求'!$A$2:$A$28,0),MATCH(D1393,'2.職務職能需求'!$B$1:$F$1,0)),0),""))</f>
        <v/>
      </c>
      <c r="H1393" s="94" t="n"/>
      <c r="I1393" s="94" t="n"/>
      <c r="J1393" s="120">
        <f>IF(OR(G1393="",I1393="",G1393=0),"",I1393-G1393)</f>
        <v/>
      </c>
      <c r="K1393" s="120">
        <f>IF(G1393="","",IF(G1393=0,"不適用",IF(I1393="","待評核",IF(I1393&gt;=G1393,IF(I1393&gt;G1393,"超越","達標"),"待發展"))))</f>
        <v/>
      </c>
      <c r="L1393" s="91" t="n"/>
      <c r="M1393" s="91" t="n"/>
      <c r="N1393" s="88" t="n"/>
    </row>
    <row r="1394" ht="15.75" customHeight="1" s="64">
      <c r="A1394" s="88" t="n"/>
      <c r="B1394" s="120">
        <f t="array" ref="B1394:B1394">IF(A1394="","",IFERROR(INDEX('3.員工名單'!$B:$B,MATCH(A1394,'3.員工名單'!$A:$A,0)),"查無此員工"))</f>
        <v/>
      </c>
      <c r="C1394" s="120">
        <f t="array" ref="C1394:C1394">IF(A1394="","",IFERROR(INDEX('3.員工名單'!$C:$C,MATCH(A1394,'3.員工名單'!$A:$A,0)),""))</f>
        <v/>
      </c>
      <c r="D1394" s="120">
        <f t="array" ref="D1394:D1394">IF(A1394="","",IFERROR(INDEX('3.員工名單'!$D:$D,MATCH(A1394,'3.員工名單'!$A:$A,0)),""))</f>
        <v/>
      </c>
      <c r="E1394" s="120">
        <f t="array" ref="E1394:E1394">IF(F1394="","",IFERROR(INDEX('1.職能辭典'!$A:$A,MATCH(F1394,'1.職能辭典'!$C:$C,0)),""))</f>
        <v/>
      </c>
      <c r="F1394" s="94" t="n"/>
      <c r="G1394" s="120">
        <f t="array" ref="G1394:G1394">IF(OR(D1394="",F1394=""),"",IFERROR(IF(AND(OR(INDEX('1.職能辭典'!$J:$J,MATCH(F1394,'1.職能辭典'!$C:$C,0))="全部",INDEX('3.員工名單'!$H:$H,MATCH(A1394,'3.員工名單'!$A:$A,0))="兩款共用",INDEX('3.員工名單'!$H:$H,MATCH(A1394,'3.員工名單'!$A:$A,0))=INDEX('1.職能辭典'!$J:$J,MATCH(F1394,'1.職能辭典'!$C:$C,0))),OR(INDEX('1.職能辭典'!$K:$K,MATCH(F1394,'1.職能辭典'!$C:$C,0))="全部",SUMPRODUCT(ISNUMBER(SEARCH({"經營","管理","財務","企劃","營運","技術","數據","美術","測試","客服"},INDEX('3.員工名單'!$I:$I,MATCH(A1394,'3.員工名單'!$A:$A,0))))*ISNUMBER(SEARCH({"經營","管理","財務","企劃","營運","技術","數據","美術","測試","客服"},INDEX('1.職能辭典'!$K:$K,MATCH(F1394,'1.職能辭典'!$C:$C,0)))))&gt;0)),INDEX('2.職務職能需求'!$B$2:$F$28,MATCH(F1394,'2.職務職能需求'!$A$2:$A$28,0),MATCH(D1394,'2.職務職能需求'!$B$1:$F$1,0)),0),""))</f>
        <v/>
      </c>
      <c r="H1394" s="94" t="n"/>
      <c r="I1394" s="94" t="n"/>
      <c r="J1394" s="120">
        <f>IF(OR(G1394="",I1394="",G1394=0),"",I1394-G1394)</f>
        <v/>
      </c>
      <c r="K1394" s="120">
        <f>IF(G1394="","",IF(G1394=0,"不適用",IF(I1394="","待評核",IF(I1394&gt;=G1394,IF(I1394&gt;G1394,"超越","達標"),"待發展"))))</f>
        <v/>
      </c>
      <c r="L1394" s="91" t="n"/>
      <c r="M1394" s="91" t="n"/>
      <c r="N1394" s="88" t="n"/>
    </row>
    <row r="1395" ht="15.75" customHeight="1" s="64">
      <c r="A1395" s="88" t="n"/>
      <c r="B1395" s="120">
        <f t="array" ref="B1395:B1395">IF(A1395="","",IFERROR(INDEX('3.員工名單'!$B:$B,MATCH(A1395,'3.員工名單'!$A:$A,0)),"查無此員工"))</f>
        <v/>
      </c>
      <c r="C1395" s="120">
        <f t="array" ref="C1395:C1395">IF(A1395="","",IFERROR(INDEX('3.員工名單'!$C:$C,MATCH(A1395,'3.員工名單'!$A:$A,0)),""))</f>
        <v/>
      </c>
      <c r="D1395" s="120">
        <f t="array" ref="D1395:D1395">IF(A1395="","",IFERROR(INDEX('3.員工名單'!$D:$D,MATCH(A1395,'3.員工名單'!$A:$A,0)),""))</f>
        <v/>
      </c>
      <c r="E1395" s="120">
        <f t="array" ref="E1395:E1395">IF(F1395="","",IFERROR(INDEX('1.職能辭典'!$A:$A,MATCH(F1395,'1.職能辭典'!$C:$C,0)),""))</f>
        <v/>
      </c>
      <c r="F1395" s="94" t="n"/>
      <c r="G1395" s="120">
        <f t="array" ref="G1395:G1395">IF(OR(D1395="",F1395=""),"",IFERROR(IF(AND(OR(INDEX('1.職能辭典'!$J:$J,MATCH(F1395,'1.職能辭典'!$C:$C,0))="全部",INDEX('3.員工名單'!$H:$H,MATCH(A1395,'3.員工名單'!$A:$A,0))="兩款共用",INDEX('3.員工名單'!$H:$H,MATCH(A1395,'3.員工名單'!$A:$A,0))=INDEX('1.職能辭典'!$J:$J,MATCH(F1395,'1.職能辭典'!$C:$C,0))),OR(INDEX('1.職能辭典'!$K:$K,MATCH(F1395,'1.職能辭典'!$C:$C,0))="全部",SUMPRODUCT(ISNUMBER(SEARCH({"經營","管理","財務","企劃","營運","技術","數據","美術","測試","客服"},INDEX('3.員工名單'!$I:$I,MATCH(A1395,'3.員工名單'!$A:$A,0))))*ISNUMBER(SEARCH({"經營","管理","財務","企劃","營運","技術","數據","美術","測試","客服"},INDEX('1.職能辭典'!$K:$K,MATCH(F1395,'1.職能辭典'!$C:$C,0)))))&gt;0)),INDEX('2.職務職能需求'!$B$2:$F$28,MATCH(F1395,'2.職務職能需求'!$A$2:$A$28,0),MATCH(D1395,'2.職務職能需求'!$B$1:$F$1,0)),0),""))</f>
        <v/>
      </c>
      <c r="H1395" s="94" t="n"/>
      <c r="I1395" s="94" t="n"/>
      <c r="J1395" s="120">
        <f>IF(OR(G1395="",I1395="",G1395=0),"",I1395-G1395)</f>
        <v/>
      </c>
      <c r="K1395" s="120">
        <f>IF(G1395="","",IF(G1395=0,"不適用",IF(I1395="","待評核",IF(I1395&gt;=G1395,IF(I1395&gt;G1395,"超越","達標"),"待發展"))))</f>
        <v/>
      </c>
      <c r="L1395" s="91" t="n"/>
      <c r="M1395" s="91" t="n"/>
      <c r="N1395" s="88" t="n"/>
    </row>
    <row r="1396" ht="15.75" customHeight="1" s="64">
      <c r="A1396" s="88" t="n"/>
      <c r="B1396" s="120">
        <f t="array" ref="B1396:B1396">IF(A1396="","",IFERROR(INDEX('3.員工名單'!$B:$B,MATCH(A1396,'3.員工名單'!$A:$A,0)),"查無此員工"))</f>
        <v/>
      </c>
      <c r="C1396" s="120">
        <f t="array" ref="C1396:C1396">IF(A1396="","",IFERROR(INDEX('3.員工名單'!$C:$C,MATCH(A1396,'3.員工名單'!$A:$A,0)),""))</f>
        <v/>
      </c>
      <c r="D1396" s="120">
        <f t="array" ref="D1396:D1396">IF(A1396="","",IFERROR(INDEX('3.員工名單'!$D:$D,MATCH(A1396,'3.員工名單'!$A:$A,0)),""))</f>
        <v/>
      </c>
      <c r="E1396" s="120">
        <f t="array" ref="E1396:E1396">IF(F1396="","",IFERROR(INDEX('1.職能辭典'!$A:$A,MATCH(F1396,'1.職能辭典'!$C:$C,0)),""))</f>
        <v/>
      </c>
      <c r="F1396" s="94" t="n"/>
      <c r="G1396" s="120">
        <f t="array" ref="G1396:G1396">IF(OR(D1396="",F1396=""),"",IFERROR(IF(AND(OR(INDEX('1.職能辭典'!$J:$J,MATCH(F1396,'1.職能辭典'!$C:$C,0))="全部",INDEX('3.員工名單'!$H:$H,MATCH(A1396,'3.員工名單'!$A:$A,0))="兩款共用",INDEX('3.員工名單'!$H:$H,MATCH(A1396,'3.員工名單'!$A:$A,0))=INDEX('1.職能辭典'!$J:$J,MATCH(F1396,'1.職能辭典'!$C:$C,0))),OR(INDEX('1.職能辭典'!$K:$K,MATCH(F1396,'1.職能辭典'!$C:$C,0))="全部",SUMPRODUCT(ISNUMBER(SEARCH({"經營","管理","財務","企劃","營運","技術","數據","美術","測試","客服"},INDEX('3.員工名單'!$I:$I,MATCH(A1396,'3.員工名單'!$A:$A,0))))*ISNUMBER(SEARCH({"經營","管理","財務","企劃","營運","技術","數據","美術","測試","客服"},INDEX('1.職能辭典'!$K:$K,MATCH(F1396,'1.職能辭典'!$C:$C,0)))))&gt;0)),INDEX('2.職務職能需求'!$B$2:$F$28,MATCH(F1396,'2.職務職能需求'!$A$2:$A$28,0),MATCH(D1396,'2.職務職能需求'!$B$1:$F$1,0)),0),""))</f>
        <v/>
      </c>
      <c r="H1396" s="94" t="n"/>
      <c r="I1396" s="94" t="n"/>
      <c r="J1396" s="120">
        <f>IF(OR(G1396="",I1396="",G1396=0),"",I1396-G1396)</f>
        <v/>
      </c>
      <c r="K1396" s="120">
        <f>IF(G1396="","",IF(G1396=0,"不適用",IF(I1396="","待評核",IF(I1396&gt;=G1396,IF(I1396&gt;G1396,"超越","達標"),"待發展"))))</f>
        <v/>
      </c>
      <c r="L1396" s="91" t="n"/>
      <c r="M1396" s="91" t="n"/>
      <c r="N1396" s="88" t="n"/>
    </row>
    <row r="1397" ht="15.75" customHeight="1" s="64">
      <c r="A1397" s="88" t="n"/>
      <c r="B1397" s="120">
        <f t="array" ref="B1397:B1397">IF(A1397="","",IFERROR(INDEX('3.員工名單'!$B:$B,MATCH(A1397,'3.員工名單'!$A:$A,0)),"查無此員工"))</f>
        <v/>
      </c>
      <c r="C1397" s="120">
        <f t="array" ref="C1397:C1397">IF(A1397="","",IFERROR(INDEX('3.員工名單'!$C:$C,MATCH(A1397,'3.員工名單'!$A:$A,0)),""))</f>
        <v/>
      </c>
      <c r="D1397" s="120">
        <f t="array" ref="D1397:D1397">IF(A1397="","",IFERROR(INDEX('3.員工名單'!$D:$D,MATCH(A1397,'3.員工名單'!$A:$A,0)),""))</f>
        <v/>
      </c>
      <c r="E1397" s="120">
        <f t="array" ref="E1397:E1397">IF(F1397="","",IFERROR(INDEX('1.職能辭典'!$A:$A,MATCH(F1397,'1.職能辭典'!$C:$C,0)),""))</f>
        <v/>
      </c>
      <c r="F1397" s="94" t="n"/>
      <c r="G1397" s="120">
        <f t="array" ref="G1397:G1397">IF(OR(D1397="",F1397=""),"",IFERROR(IF(AND(OR(INDEX('1.職能辭典'!$J:$J,MATCH(F1397,'1.職能辭典'!$C:$C,0))="全部",INDEX('3.員工名單'!$H:$H,MATCH(A1397,'3.員工名單'!$A:$A,0))="兩款共用",INDEX('3.員工名單'!$H:$H,MATCH(A1397,'3.員工名單'!$A:$A,0))=INDEX('1.職能辭典'!$J:$J,MATCH(F1397,'1.職能辭典'!$C:$C,0))),OR(INDEX('1.職能辭典'!$K:$K,MATCH(F1397,'1.職能辭典'!$C:$C,0))="全部",SUMPRODUCT(ISNUMBER(SEARCH({"經營","管理","財務","企劃","營運","技術","數據","美術","測試","客服"},INDEX('3.員工名單'!$I:$I,MATCH(A1397,'3.員工名單'!$A:$A,0))))*ISNUMBER(SEARCH({"經營","管理","財務","企劃","營運","技術","數據","美術","測試","客服"},INDEX('1.職能辭典'!$K:$K,MATCH(F1397,'1.職能辭典'!$C:$C,0)))))&gt;0)),INDEX('2.職務職能需求'!$B$2:$F$28,MATCH(F1397,'2.職務職能需求'!$A$2:$A$28,0),MATCH(D1397,'2.職務職能需求'!$B$1:$F$1,0)),0),""))</f>
        <v/>
      </c>
      <c r="H1397" s="94" t="n"/>
      <c r="I1397" s="94" t="n"/>
      <c r="J1397" s="120">
        <f>IF(OR(G1397="",I1397="",G1397=0),"",I1397-G1397)</f>
        <v/>
      </c>
      <c r="K1397" s="120">
        <f>IF(G1397="","",IF(G1397=0,"不適用",IF(I1397="","待評核",IF(I1397&gt;=G1397,IF(I1397&gt;G1397,"超越","達標"),"待發展"))))</f>
        <v/>
      </c>
      <c r="L1397" s="91" t="n"/>
      <c r="M1397" s="91" t="n"/>
      <c r="N1397" s="88" t="n"/>
    </row>
    <row r="1398" ht="15.75" customHeight="1" s="64">
      <c r="A1398" s="88" t="n"/>
      <c r="B1398" s="120">
        <f t="array" ref="B1398:B1398">IF(A1398="","",IFERROR(INDEX('3.員工名單'!$B:$B,MATCH(A1398,'3.員工名單'!$A:$A,0)),"查無此員工"))</f>
        <v/>
      </c>
      <c r="C1398" s="120">
        <f t="array" ref="C1398:C1398">IF(A1398="","",IFERROR(INDEX('3.員工名單'!$C:$C,MATCH(A1398,'3.員工名單'!$A:$A,0)),""))</f>
        <v/>
      </c>
      <c r="D1398" s="120">
        <f t="array" ref="D1398:D1398">IF(A1398="","",IFERROR(INDEX('3.員工名單'!$D:$D,MATCH(A1398,'3.員工名單'!$A:$A,0)),""))</f>
        <v/>
      </c>
      <c r="E1398" s="120">
        <f t="array" ref="E1398:E1398">IF(F1398="","",IFERROR(INDEX('1.職能辭典'!$A:$A,MATCH(F1398,'1.職能辭典'!$C:$C,0)),""))</f>
        <v/>
      </c>
      <c r="F1398" s="94" t="n"/>
      <c r="G1398" s="120">
        <f t="array" ref="G1398:G1398">IF(OR(D1398="",F1398=""),"",IFERROR(IF(AND(OR(INDEX('1.職能辭典'!$J:$J,MATCH(F1398,'1.職能辭典'!$C:$C,0))="全部",INDEX('3.員工名單'!$H:$H,MATCH(A1398,'3.員工名單'!$A:$A,0))="兩款共用",INDEX('3.員工名單'!$H:$H,MATCH(A1398,'3.員工名單'!$A:$A,0))=INDEX('1.職能辭典'!$J:$J,MATCH(F1398,'1.職能辭典'!$C:$C,0))),OR(INDEX('1.職能辭典'!$K:$K,MATCH(F1398,'1.職能辭典'!$C:$C,0))="全部",SUMPRODUCT(ISNUMBER(SEARCH({"經營","管理","財務","企劃","營運","技術","數據","美術","測試","客服"},INDEX('3.員工名單'!$I:$I,MATCH(A1398,'3.員工名單'!$A:$A,0))))*ISNUMBER(SEARCH({"經營","管理","財務","企劃","營運","技術","數據","美術","測試","客服"},INDEX('1.職能辭典'!$K:$K,MATCH(F1398,'1.職能辭典'!$C:$C,0)))))&gt;0)),INDEX('2.職務職能需求'!$B$2:$F$28,MATCH(F1398,'2.職務職能需求'!$A$2:$A$28,0),MATCH(D1398,'2.職務職能需求'!$B$1:$F$1,0)),0),""))</f>
        <v/>
      </c>
      <c r="H1398" s="94" t="n"/>
      <c r="I1398" s="94" t="n"/>
      <c r="J1398" s="120">
        <f>IF(OR(G1398="",I1398="",G1398=0),"",I1398-G1398)</f>
        <v/>
      </c>
      <c r="K1398" s="120">
        <f>IF(G1398="","",IF(G1398=0,"不適用",IF(I1398="","待評核",IF(I1398&gt;=G1398,IF(I1398&gt;G1398,"超越","達標"),"待發展"))))</f>
        <v/>
      </c>
      <c r="L1398" s="91" t="n"/>
      <c r="M1398" s="91" t="n"/>
      <c r="N1398" s="88" t="n"/>
    </row>
    <row r="1399" ht="15.75" customHeight="1" s="64">
      <c r="A1399" s="88" t="n"/>
      <c r="B1399" s="120">
        <f t="array" ref="B1399:B1399">IF(A1399="","",IFERROR(INDEX('3.員工名單'!$B:$B,MATCH(A1399,'3.員工名單'!$A:$A,0)),"查無此員工"))</f>
        <v/>
      </c>
      <c r="C1399" s="120">
        <f t="array" ref="C1399:C1399">IF(A1399="","",IFERROR(INDEX('3.員工名單'!$C:$C,MATCH(A1399,'3.員工名單'!$A:$A,0)),""))</f>
        <v/>
      </c>
      <c r="D1399" s="120">
        <f t="array" ref="D1399:D1399">IF(A1399="","",IFERROR(INDEX('3.員工名單'!$D:$D,MATCH(A1399,'3.員工名單'!$A:$A,0)),""))</f>
        <v/>
      </c>
      <c r="E1399" s="120">
        <f t="array" ref="E1399:E1399">IF(F1399="","",IFERROR(INDEX('1.職能辭典'!$A:$A,MATCH(F1399,'1.職能辭典'!$C:$C,0)),""))</f>
        <v/>
      </c>
      <c r="F1399" s="94" t="n"/>
      <c r="G1399" s="120">
        <f t="array" ref="G1399:G1399">IF(OR(D1399="",F1399=""),"",IFERROR(IF(AND(OR(INDEX('1.職能辭典'!$J:$J,MATCH(F1399,'1.職能辭典'!$C:$C,0))="全部",INDEX('3.員工名單'!$H:$H,MATCH(A1399,'3.員工名單'!$A:$A,0))="兩款共用",INDEX('3.員工名單'!$H:$H,MATCH(A1399,'3.員工名單'!$A:$A,0))=INDEX('1.職能辭典'!$J:$J,MATCH(F1399,'1.職能辭典'!$C:$C,0))),OR(INDEX('1.職能辭典'!$K:$K,MATCH(F1399,'1.職能辭典'!$C:$C,0))="全部",SUMPRODUCT(ISNUMBER(SEARCH({"經營","管理","財務","企劃","營運","技術","數據","美術","測試","客服"},INDEX('3.員工名單'!$I:$I,MATCH(A1399,'3.員工名單'!$A:$A,0))))*ISNUMBER(SEARCH({"經營","管理","財務","企劃","營運","技術","數據","美術","測試","客服"},INDEX('1.職能辭典'!$K:$K,MATCH(F1399,'1.職能辭典'!$C:$C,0)))))&gt;0)),INDEX('2.職務職能需求'!$B$2:$F$28,MATCH(F1399,'2.職務職能需求'!$A$2:$A$28,0),MATCH(D1399,'2.職務職能需求'!$B$1:$F$1,0)),0),""))</f>
        <v/>
      </c>
      <c r="H1399" s="94" t="n"/>
      <c r="I1399" s="94" t="n"/>
      <c r="J1399" s="120">
        <f>IF(OR(G1399="",I1399="",G1399=0),"",I1399-G1399)</f>
        <v/>
      </c>
      <c r="K1399" s="120">
        <f>IF(G1399="","",IF(G1399=0,"不適用",IF(I1399="","待評核",IF(I1399&gt;=G1399,IF(I1399&gt;G1399,"超越","達標"),"待發展"))))</f>
        <v/>
      </c>
      <c r="L1399" s="91" t="n"/>
      <c r="M1399" s="91" t="n"/>
      <c r="N1399" s="88" t="n"/>
    </row>
    <row r="1400" ht="15.75" customHeight="1" s="64">
      <c r="A1400" s="88" t="n"/>
      <c r="B1400" s="120">
        <f t="array" ref="B1400:B1400">IF(A1400="","",IFERROR(INDEX('3.員工名單'!$B:$B,MATCH(A1400,'3.員工名單'!$A:$A,0)),"查無此員工"))</f>
        <v/>
      </c>
      <c r="C1400" s="120">
        <f t="array" ref="C1400:C1400">IF(A1400="","",IFERROR(INDEX('3.員工名單'!$C:$C,MATCH(A1400,'3.員工名單'!$A:$A,0)),""))</f>
        <v/>
      </c>
      <c r="D1400" s="120">
        <f t="array" ref="D1400:D1400">IF(A1400="","",IFERROR(INDEX('3.員工名單'!$D:$D,MATCH(A1400,'3.員工名單'!$A:$A,0)),""))</f>
        <v/>
      </c>
      <c r="E1400" s="120">
        <f t="array" ref="E1400:E1400">IF(F1400="","",IFERROR(INDEX('1.職能辭典'!$A:$A,MATCH(F1400,'1.職能辭典'!$C:$C,0)),""))</f>
        <v/>
      </c>
      <c r="F1400" s="94" t="n"/>
      <c r="G1400" s="120">
        <f t="array" ref="G1400:G1400">IF(OR(D1400="",F1400=""),"",IFERROR(IF(AND(OR(INDEX('1.職能辭典'!$J:$J,MATCH(F1400,'1.職能辭典'!$C:$C,0))="全部",INDEX('3.員工名單'!$H:$H,MATCH(A1400,'3.員工名單'!$A:$A,0))="兩款共用",INDEX('3.員工名單'!$H:$H,MATCH(A1400,'3.員工名單'!$A:$A,0))=INDEX('1.職能辭典'!$J:$J,MATCH(F1400,'1.職能辭典'!$C:$C,0))),OR(INDEX('1.職能辭典'!$K:$K,MATCH(F1400,'1.職能辭典'!$C:$C,0))="全部",SUMPRODUCT(ISNUMBER(SEARCH({"經營","管理","財務","企劃","營運","技術","數據","美術","測試","客服"},INDEX('3.員工名單'!$I:$I,MATCH(A1400,'3.員工名單'!$A:$A,0))))*ISNUMBER(SEARCH({"經營","管理","財務","企劃","營運","技術","數據","美術","測試","客服"},INDEX('1.職能辭典'!$K:$K,MATCH(F1400,'1.職能辭典'!$C:$C,0)))))&gt;0)),INDEX('2.職務職能需求'!$B$2:$F$28,MATCH(F1400,'2.職務職能需求'!$A$2:$A$28,0),MATCH(D1400,'2.職務職能需求'!$B$1:$F$1,0)),0),""))</f>
        <v/>
      </c>
      <c r="H1400" s="94" t="n"/>
      <c r="I1400" s="94" t="n"/>
      <c r="J1400" s="120">
        <f>IF(OR(G1400="",I1400="",G1400=0),"",I1400-G1400)</f>
        <v/>
      </c>
      <c r="K1400" s="120">
        <f>IF(G1400="","",IF(G1400=0,"不適用",IF(I1400="","待評核",IF(I1400&gt;=G1400,IF(I1400&gt;G1400,"超越","達標"),"待發展"))))</f>
        <v/>
      </c>
      <c r="L1400" s="91" t="n"/>
      <c r="M1400" s="91" t="n"/>
      <c r="N1400" s="88" t="n"/>
    </row>
    <row r="1401" ht="15.75" customHeight="1" s="64">
      <c r="A1401" s="88" t="n"/>
      <c r="B1401" s="120">
        <f t="array" ref="B1401:B1401">IF(A1401="","",IFERROR(INDEX('3.員工名單'!$B:$B,MATCH(A1401,'3.員工名單'!$A:$A,0)),"查無此員工"))</f>
        <v/>
      </c>
      <c r="C1401" s="120">
        <f t="array" ref="C1401:C1401">IF(A1401="","",IFERROR(INDEX('3.員工名單'!$C:$C,MATCH(A1401,'3.員工名單'!$A:$A,0)),""))</f>
        <v/>
      </c>
      <c r="D1401" s="120">
        <f t="array" ref="D1401:D1401">IF(A1401="","",IFERROR(INDEX('3.員工名單'!$D:$D,MATCH(A1401,'3.員工名單'!$A:$A,0)),""))</f>
        <v/>
      </c>
      <c r="E1401" s="120">
        <f t="array" ref="E1401:E1401">IF(F1401="","",IFERROR(INDEX('1.職能辭典'!$A:$A,MATCH(F1401,'1.職能辭典'!$C:$C,0)),""))</f>
        <v/>
      </c>
      <c r="F1401" s="94" t="n"/>
      <c r="G1401" s="120">
        <f t="array" ref="G1401:G1401">IF(OR(D1401="",F1401=""),"",IFERROR(IF(AND(OR(INDEX('1.職能辭典'!$J:$J,MATCH(F1401,'1.職能辭典'!$C:$C,0))="全部",INDEX('3.員工名單'!$H:$H,MATCH(A1401,'3.員工名單'!$A:$A,0))="兩款共用",INDEX('3.員工名單'!$H:$H,MATCH(A1401,'3.員工名單'!$A:$A,0))=INDEX('1.職能辭典'!$J:$J,MATCH(F1401,'1.職能辭典'!$C:$C,0))),OR(INDEX('1.職能辭典'!$K:$K,MATCH(F1401,'1.職能辭典'!$C:$C,0))="全部",SUMPRODUCT(ISNUMBER(SEARCH({"經營","管理","財務","企劃","營運","技術","數據","美術","測試","客服"},INDEX('3.員工名單'!$I:$I,MATCH(A1401,'3.員工名單'!$A:$A,0))))*ISNUMBER(SEARCH({"經營","管理","財務","企劃","營運","技術","數據","美術","測試","客服"},INDEX('1.職能辭典'!$K:$K,MATCH(F1401,'1.職能辭典'!$C:$C,0)))))&gt;0)),INDEX('2.職務職能需求'!$B$2:$F$28,MATCH(F1401,'2.職務職能需求'!$A$2:$A$28,0),MATCH(D1401,'2.職務職能需求'!$B$1:$F$1,0)),0),""))</f>
        <v/>
      </c>
      <c r="H1401" s="94" t="n"/>
      <c r="I1401" s="94" t="n"/>
      <c r="J1401" s="120">
        <f>IF(OR(G1401="",I1401="",G1401=0),"",I1401-G1401)</f>
        <v/>
      </c>
      <c r="K1401" s="120">
        <f>IF(G1401="","",IF(G1401=0,"不適用",IF(I1401="","待評核",IF(I1401&gt;=G1401,IF(I1401&gt;G1401,"超越","達標"),"待發展"))))</f>
        <v/>
      </c>
      <c r="L1401" s="91" t="n"/>
      <c r="M1401" s="91" t="n"/>
      <c r="N1401" s="88" t="n"/>
    </row>
    <row r="1402" ht="15.75" customHeight="1" s="64">
      <c r="A1402" s="88" t="n"/>
      <c r="B1402" s="120">
        <f t="array" ref="B1402:B1402">IF(A1402="","",IFERROR(INDEX('3.員工名單'!$B:$B,MATCH(A1402,'3.員工名單'!$A:$A,0)),"查無此員工"))</f>
        <v/>
      </c>
      <c r="C1402" s="120">
        <f t="array" ref="C1402:C1402">IF(A1402="","",IFERROR(INDEX('3.員工名單'!$C:$C,MATCH(A1402,'3.員工名單'!$A:$A,0)),""))</f>
        <v/>
      </c>
      <c r="D1402" s="120">
        <f t="array" ref="D1402:D1402">IF(A1402="","",IFERROR(INDEX('3.員工名單'!$D:$D,MATCH(A1402,'3.員工名單'!$A:$A,0)),""))</f>
        <v/>
      </c>
      <c r="E1402" s="120">
        <f t="array" ref="E1402:E1402">IF(F1402="","",IFERROR(INDEX('1.職能辭典'!$A:$A,MATCH(F1402,'1.職能辭典'!$C:$C,0)),""))</f>
        <v/>
      </c>
      <c r="F1402" s="94" t="n"/>
      <c r="G1402" s="120">
        <f t="array" ref="G1402:G1402">IF(OR(D1402="",F1402=""),"",IFERROR(IF(AND(OR(INDEX('1.職能辭典'!$J:$J,MATCH(F1402,'1.職能辭典'!$C:$C,0))="全部",INDEX('3.員工名單'!$H:$H,MATCH(A1402,'3.員工名單'!$A:$A,0))="兩款共用",INDEX('3.員工名單'!$H:$H,MATCH(A1402,'3.員工名單'!$A:$A,0))=INDEX('1.職能辭典'!$J:$J,MATCH(F1402,'1.職能辭典'!$C:$C,0))),OR(INDEX('1.職能辭典'!$K:$K,MATCH(F1402,'1.職能辭典'!$C:$C,0))="全部",SUMPRODUCT(ISNUMBER(SEARCH({"經營","管理","財務","企劃","營運","技術","數據","美術","測試","客服"},INDEX('3.員工名單'!$I:$I,MATCH(A1402,'3.員工名單'!$A:$A,0))))*ISNUMBER(SEARCH({"經營","管理","財務","企劃","營運","技術","數據","美術","測試","客服"},INDEX('1.職能辭典'!$K:$K,MATCH(F1402,'1.職能辭典'!$C:$C,0)))))&gt;0)),INDEX('2.職務職能需求'!$B$2:$F$28,MATCH(F1402,'2.職務職能需求'!$A$2:$A$28,0),MATCH(D1402,'2.職務職能需求'!$B$1:$F$1,0)),0),""))</f>
        <v/>
      </c>
      <c r="H1402" s="94" t="n"/>
      <c r="I1402" s="94" t="n"/>
      <c r="J1402" s="120">
        <f>IF(OR(G1402="",I1402="",G1402=0),"",I1402-G1402)</f>
        <v/>
      </c>
      <c r="K1402" s="120">
        <f>IF(G1402="","",IF(G1402=0,"不適用",IF(I1402="","待評核",IF(I1402&gt;=G1402,IF(I1402&gt;G1402,"超越","達標"),"待發展"))))</f>
        <v/>
      </c>
      <c r="L1402" s="91" t="n"/>
      <c r="M1402" s="91" t="n"/>
      <c r="N1402" s="88" t="n"/>
    </row>
    <row r="1403" ht="15.75" customHeight="1" s="64">
      <c r="A1403" s="88" t="n"/>
      <c r="B1403" s="120">
        <f t="array" ref="B1403:B1403">IF(A1403="","",IFERROR(INDEX('3.員工名單'!$B:$B,MATCH(A1403,'3.員工名單'!$A:$A,0)),"查無此員工"))</f>
        <v/>
      </c>
      <c r="C1403" s="120">
        <f t="array" ref="C1403:C1403">IF(A1403="","",IFERROR(INDEX('3.員工名單'!$C:$C,MATCH(A1403,'3.員工名單'!$A:$A,0)),""))</f>
        <v/>
      </c>
      <c r="D1403" s="120">
        <f t="array" ref="D1403:D1403">IF(A1403="","",IFERROR(INDEX('3.員工名單'!$D:$D,MATCH(A1403,'3.員工名單'!$A:$A,0)),""))</f>
        <v/>
      </c>
      <c r="E1403" s="120">
        <f t="array" ref="E1403:E1403">IF(F1403="","",IFERROR(INDEX('1.職能辭典'!$A:$A,MATCH(F1403,'1.職能辭典'!$C:$C,0)),""))</f>
        <v/>
      </c>
      <c r="F1403" s="94" t="n"/>
      <c r="G1403" s="120">
        <f t="array" ref="G1403:G1403">IF(OR(D1403="",F1403=""),"",IFERROR(IF(AND(OR(INDEX('1.職能辭典'!$J:$J,MATCH(F1403,'1.職能辭典'!$C:$C,0))="全部",INDEX('3.員工名單'!$H:$H,MATCH(A1403,'3.員工名單'!$A:$A,0))="兩款共用",INDEX('3.員工名單'!$H:$H,MATCH(A1403,'3.員工名單'!$A:$A,0))=INDEX('1.職能辭典'!$J:$J,MATCH(F1403,'1.職能辭典'!$C:$C,0))),OR(INDEX('1.職能辭典'!$K:$K,MATCH(F1403,'1.職能辭典'!$C:$C,0))="全部",SUMPRODUCT(ISNUMBER(SEARCH({"經營","管理","財務","企劃","營運","技術","數據","美術","測試","客服"},INDEX('3.員工名單'!$I:$I,MATCH(A1403,'3.員工名單'!$A:$A,0))))*ISNUMBER(SEARCH({"經營","管理","財務","企劃","營運","技術","數據","美術","測試","客服"},INDEX('1.職能辭典'!$K:$K,MATCH(F1403,'1.職能辭典'!$C:$C,0)))))&gt;0)),INDEX('2.職務職能需求'!$B$2:$F$28,MATCH(F1403,'2.職務職能需求'!$A$2:$A$28,0),MATCH(D1403,'2.職務職能需求'!$B$1:$F$1,0)),0),""))</f>
        <v/>
      </c>
      <c r="H1403" s="94" t="n"/>
      <c r="I1403" s="94" t="n"/>
      <c r="J1403" s="120">
        <f>IF(OR(G1403="",I1403="",G1403=0),"",I1403-G1403)</f>
        <v/>
      </c>
      <c r="K1403" s="120">
        <f>IF(G1403="","",IF(G1403=0,"不適用",IF(I1403="","待評核",IF(I1403&gt;=G1403,IF(I1403&gt;G1403,"超越","達標"),"待發展"))))</f>
        <v/>
      </c>
      <c r="L1403" s="91" t="n"/>
      <c r="M1403" s="91" t="n"/>
      <c r="N1403" s="88" t="n"/>
    </row>
    <row r="1404" ht="15.75" customHeight="1" s="64">
      <c r="A1404" s="88" t="n"/>
      <c r="B1404" s="120">
        <f t="array" ref="B1404:B1404">IF(A1404="","",IFERROR(INDEX('3.員工名單'!$B:$B,MATCH(A1404,'3.員工名單'!$A:$A,0)),"查無此員工"))</f>
        <v/>
      </c>
      <c r="C1404" s="120">
        <f t="array" ref="C1404:C1404">IF(A1404="","",IFERROR(INDEX('3.員工名單'!$C:$C,MATCH(A1404,'3.員工名單'!$A:$A,0)),""))</f>
        <v/>
      </c>
      <c r="D1404" s="120">
        <f t="array" ref="D1404:D1404">IF(A1404="","",IFERROR(INDEX('3.員工名單'!$D:$D,MATCH(A1404,'3.員工名單'!$A:$A,0)),""))</f>
        <v/>
      </c>
      <c r="E1404" s="120">
        <f t="array" ref="E1404:E1404">IF(F1404="","",IFERROR(INDEX('1.職能辭典'!$A:$A,MATCH(F1404,'1.職能辭典'!$C:$C,0)),""))</f>
        <v/>
      </c>
      <c r="F1404" s="94" t="n"/>
      <c r="G1404" s="120">
        <f t="array" ref="G1404:G1404">IF(OR(D1404="",F1404=""),"",IFERROR(IF(AND(OR(INDEX('1.職能辭典'!$J:$J,MATCH(F1404,'1.職能辭典'!$C:$C,0))="全部",INDEX('3.員工名單'!$H:$H,MATCH(A1404,'3.員工名單'!$A:$A,0))="兩款共用",INDEX('3.員工名單'!$H:$H,MATCH(A1404,'3.員工名單'!$A:$A,0))=INDEX('1.職能辭典'!$J:$J,MATCH(F1404,'1.職能辭典'!$C:$C,0))),OR(INDEX('1.職能辭典'!$K:$K,MATCH(F1404,'1.職能辭典'!$C:$C,0))="全部",SUMPRODUCT(ISNUMBER(SEARCH({"經營","管理","財務","企劃","營運","技術","數據","美術","測試","客服"},INDEX('3.員工名單'!$I:$I,MATCH(A1404,'3.員工名單'!$A:$A,0))))*ISNUMBER(SEARCH({"經營","管理","財務","企劃","營運","技術","數據","美術","測試","客服"},INDEX('1.職能辭典'!$K:$K,MATCH(F1404,'1.職能辭典'!$C:$C,0)))))&gt;0)),INDEX('2.職務職能需求'!$B$2:$F$28,MATCH(F1404,'2.職務職能需求'!$A$2:$A$28,0),MATCH(D1404,'2.職務職能需求'!$B$1:$F$1,0)),0),""))</f>
        <v/>
      </c>
      <c r="H1404" s="94" t="n"/>
      <c r="I1404" s="94" t="n"/>
      <c r="J1404" s="120">
        <f>IF(OR(G1404="",I1404="",G1404=0),"",I1404-G1404)</f>
        <v/>
      </c>
      <c r="K1404" s="120">
        <f>IF(G1404="","",IF(G1404=0,"不適用",IF(I1404="","待評核",IF(I1404&gt;=G1404,IF(I1404&gt;G1404,"超越","達標"),"待發展"))))</f>
        <v/>
      </c>
      <c r="L1404" s="91" t="n"/>
      <c r="M1404" s="91" t="n"/>
      <c r="N1404" s="88" t="n"/>
    </row>
    <row r="1405" ht="15.75" customHeight="1" s="64">
      <c r="A1405" s="88" t="n"/>
      <c r="B1405" s="120">
        <f t="array" ref="B1405:B1405">IF(A1405="","",IFERROR(INDEX('3.員工名單'!$B:$B,MATCH(A1405,'3.員工名單'!$A:$A,0)),"查無此員工"))</f>
        <v/>
      </c>
      <c r="C1405" s="120">
        <f t="array" ref="C1405:C1405">IF(A1405="","",IFERROR(INDEX('3.員工名單'!$C:$C,MATCH(A1405,'3.員工名單'!$A:$A,0)),""))</f>
        <v/>
      </c>
      <c r="D1405" s="120">
        <f t="array" ref="D1405:D1405">IF(A1405="","",IFERROR(INDEX('3.員工名單'!$D:$D,MATCH(A1405,'3.員工名單'!$A:$A,0)),""))</f>
        <v/>
      </c>
      <c r="E1405" s="120">
        <f t="array" ref="E1405:E1405">IF(F1405="","",IFERROR(INDEX('1.職能辭典'!$A:$A,MATCH(F1405,'1.職能辭典'!$C:$C,0)),""))</f>
        <v/>
      </c>
      <c r="F1405" s="94" t="n"/>
      <c r="G1405" s="120">
        <f t="array" ref="G1405:G1405">IF(OR(D1405="",F1405=""),"",IFERROR(IF(AND(OR(INDEX('1.職能辭典'!$J:$J,MATCH(F1405,'1.職能辭典'!$C:$C,0))="全部",INDEX('3.員工名單'!$H:$H,MATCH(A1405,'3.員工名單'!$A:$A,0))="兩款共用",INDEX('3.員工名單'!$H:$H,MATCH(A1405,'3.員工名單'!$A:$A,0))=INDEX('1.職能辭典'!$J:$J,MATCH(F1405,'1.職能辭典'!$C:$C,0))),OR(INDEX('1.職能辭典'!$K:$K,MATCH(F1405,'1.職能辭典'!$C:$C,0))="全部",SUMPRODUCT(ISNUMBER(SEARCH({"經營","管理","財務","企劃","營運","技術","數據","美術","測試","客服"},INDEX('3.員工名單'!$I:$I,MATCH(A1405,'3.員工名單'!$A:$A,0))))*ISNUMBER(SEARCH({"經營","管理","財務","企劃","營運","技術","數據","美術","測試","客服"},INDEX('1.職能辭典'!$K:$K,MATCH(F1405,'1.職能辭典'!$C:$C,0)))))&gt;0)),INDEX('2.職務職能需求'!$B$2:$F$28,MATCH(F1405,'2.職務職能需求'!$A$2:$A$28,0),MATCH(D1405,'2.職務職能需求'!$B$1:$F$1,0)),0),""))</f>
        <v/>
      </c>
      <c r="H1405" s="94" t="n"/>
      <c r="I1405" s="94" t="n"/>
      <c r="J1405" s="120">
        <f>IF(OR(G1405="",I1405="",G1405=0),"",I1405-G1405)</f>
        <v/>
      </c>
      <c r="K1405" s="120">
        <f>IF(G1405="","",IF(G1405=0,"不適用",IF(I1405="","待評核",IF(I1405&gt;=G1405,IF(I1405&gt;G1405,"超越","達標"),"待發展"))))</f>
        <v/>
      </c>
      <c r="L1405" s="91" t="n"/>
      <c r="M1405" s="91" t="n"/>
      <c r="N1405" s="88" t="n"/>
    </row>
    <row r="1406" ht="15.75" customHeight="1" s="64">
      <c r="A1406" s="88" t="n"/>
      <c r="B1406" s="120">
        <f t="array" ref="B1406:B1406">IF(A1406="","",IFERROR(INDEX('3.員工名單'!$B:$B,MATCH(A1406,'3.員工名單'!$A:$A,0)),"查無此員工"))</f>
        <v/>
      </c>
      <c r="C1406" s="120">
        <f t="array" ref="C1406:C1406">IF(A1406="","",IFERROR(INDEX('3.員工名單'!$C:$C,MATCH(A1406,'3.員工名單'!$A:$A,0)),""))</f>
        <v/>
      </c>
      <c r="D1406" s="120">
        <f t="array" ref="D1406:D1406">IF(A1406="","",IFERROR(INDEX('3.員工名單'!$D:$D,MATCH(A1406,'3.員工名單'!$A:$A,0)),""))</f>
        <v/>
      </c>
      <c r="E1406" s="120">
        <f t="array" ref="E1406:E1406">IF(F1406="","",IFERROR(INDEX('1.職能辭典'!$A:$A,MATCH(F1406,'1.職能辭典'!$C:$C,0)),""))</f>
        <v/>
      </c>
      <c r="F1406" s="94" t="n"/>
      <c r="G1406" s="120">
        <f t="array" ref="G1406:G1406">IF(OR(D1406="",F1406=""),"",IFERROR(IF(AND(OR(INDEX('1.職能辭典'!$J:$J,MATCH(F1406,'1.職能辭典'!$C:$C,0))="全部",INDEX('3.員工名單'!$H:$H,MATCH(A1406,'3.員工名單'!$A:$A,0))="兩款共用",INDEX('3.員工名單'!$H:$H,MATCH(A1406,'3.員工名單'!$A:$A,0))=INDEX('1.職能辭典'!$J:$J,MATCH(F1406,'1.職能辭典'!$C:$C,0))),OR(INDEX('1.職能辭典'!$K:$K,MATCH(F1406,'1.職能辭典'!$C:$C,0))="全部",SUMPRODUCT(ISNUMBER(SEARCH({"經營","管理","財務","企劃","營運","技術","數據","美術","測試","客服"},INDEX('3.員工名單'!$I:$I,MATCH(A1406,'3.員工名單'!$A:$A,0))))*ISNUMBER(SEARCH({"經營","管理","財務","企劃","營運","技術","數據","美術","測試","客服"},INDEX('1.職能辭典'!$K:$K,MATCH(F1406,'1.職能辭典'!$C:$C,0)))))&gt;0)),INDEX('2.職務職能需求'!$B$2:$F$28,MATCH(F1406,'2.職務職能需求'!$A$2:$A$28,0),MATCH(D1406,'2.職務職能需求'!$B$1:$F$1,0)),0),""))</f>
        <v/>
      </c>
      <c r="H1406" s="94" t="n"/>
      <c r="I1406" s="94" t="n"/>
      <c r="J1406" s="120">
        <f>IF(OR(G1406="",I1406="",G1406=0),"",I1406-G1406)</f>
        <v/>
      </c>
      <c r="K1406" s="120">
        <f>IF(G1406="","",IF(G1406=0,"不適用",IF(I1406="","待評核",IF(I1406&gt;=G1406,IF(I1406&gt;G1406,"超越","達標"),"待發展"))))</f>
        <v/>
      </c>
      <c r="L1406" s="91" t="n"/>
      <c r="M1406" s="91" t="n"/>
      <c r="N1406" s="88" t="n"/>
    </row>
    <row r="1407" ht="15.75" customHeight="1" s="64">
      <c r="A1407" s="88" t="n"/>
      <c r="B1407" s="120">
        <f t="array" ref="B1407:B1407">IF(A1407="","",IFERROR(INDEX('3.員工名單'!$B:$B,MATCH(A1407,'3.員工名單'!$A:$A,0)),"查無此員工"))</f>
        <v/>
      </c>
      <c r="C1407" s="120">
        <f t="array" ref="C1407:C1407">IF(A1407="","",IFERROR(INDEX('3.員工名單'!$C:$C,MATCH(A1407,'3.員工名單'!$A:$A,0)),""))</f>
        <v/>
      </c>
      <c r="D1407" s="120">
        <f t="array" ref="D1407:D1407">IF(A1407="","",IFERROR(INDEX('3.員工名單'!$D:$D,MATCH(A1407,'3.員工名單'!$A:$A,0)),""))</f>
        <v/>
      </c>
      <c r="E1407" s="120">
        <f t="array" ref="E1407:E1407">IF(F1407="","",IFERROR(INDEX('1.職能辭典'!$A:$A,MATCH(F1407,'1.職能辭典'!$C:$C,0)),""))</f>
        <v/>
      </c>
      <c r="F1407" s="94" t="n"/>
      <c r="G1407" s="120">
        <f t="array" ref="G1407:G1407">IF(OR(D1407="",F1407=""),"",IFERROR(IF(AND(OR(INDEX('1.職能辭典'!$J:$J,MATCH(F1407,'1.職能辭典'!$C:$C,0))="全部",INDEX('3.員工名單'!$H:$H,MATCH(A1407,'3.員工名單'!$A:$A,0))="兩款共用",INDEX('3.員工名單'!$H:$H,MATCH(A1407,'3.員工名單'!$A:$A,0))=INDEX('1.職能辭典'!$J:$J,MATCH(F1407,'1.職能辭典'!$C:$C,0))),OR(INDEX('1.職能辭典'!$K:$K,MATCH(F1407,'1.職能辭典'!$C:$C,0))="全部",SUMPRODUCT(ISNUMBER(SEARCH({"經營","管理","財務","企劃","營運","技術","數據","美術","測試","客服"},INDEX('3.員工名單'!$I:$I,MATCH(A1407,'3.員工名單'!$A:$A,0))))*ISNUMBER(SEARCH({"經營","管理","財務","企劃","營運","技術","數據","美術","測試","客服"},INDEX('1.職能辭典'!$K:$K,MATCH(F1407,'1.職能辭典'!$C:$C,0)))))&gt;0)),INDEX('2.職務職能需求'!$B$2:$F$28,MATCH(F1407,'2.職務職能需求'!$A$2:$A$28,0),MATCH(D1407,'2.職務職能需求'!$B$1:$F$1,0)),0),""))</f>
        <v/>
      </c>
      <c r="H1407" s="94" t="n"/>
      <c r="I1407" s="94" t="n"/>
      <c r="J1407" s="120">
        <f>IF(OR(G1407="",I1407="",G1407=0),"",I1407-G1407)</f>
        <v/>
      </c>
      <c r="K1407" s="120">
        <f>IF(G1407="","",IF(G1407=0,"不適用",IF(I1407="","待評核",IF(I1407&gt;=G1407,IF(I1407&gt;G1407,"超越","達標"),"待發展"))))</f>
        <v/>
      </c>
      <c r="L1407" s="91" t="n"/>
      <c r="M1407" s="91" t="n"/>
      <c r="N1407" s="88" t="n"/>
    </row>
    <row r="1408" ht="15.75" customHeight="1" s="64">
      <c r="A1408" s="88" t="n"/>
      <c r="B1408" s="120">
        <f t="array" ref="B1408:B1408">IF(A1408="","",IFERROR(INDEX('3.員工名單'!$B:$B,MATCH(A1408,'3.員工名單'!$A:$A,0)),"查無此員工"))</f>
        <v/>
      </c>
      <c r="C1408" s="120">
        <f t="array" ref="C1408:C1408">IF(A1408="","",IFERROR(INDEX('3.員工名單'!$C:$C,MATCH(A1408,'3.員工名單'!$A:$A,0)),""))</f>
        <v/>
      </c>
      <c r="D1408" s="120">
        <f t="array" ref="D1408:D1408">IF(A1408="","",IFERROR(INDEX('3.員工名單'!$D:$D,MATCH(A1408,'3.員工名單'!$A:$A,0)),""))</f>
        <v/>
      </c>
      <c r="E1408" s="120">
        <f t="array" ref="E1408:E1408">IF(F1408="","",IFERROR(INDEX('1.職能辭典'!$A:$A,MATCH(F1408,'1.職能辭典'!$C:$C,0)),""))</f>
        <v/>
      </c>
      <c r="F1408" s="94" t="n"/>
      <c r="G1408" s="120">
        <f t="array" ref="G1408:G1408">IF(OR(D1408="",F1408=""),"",IFERROR(IF(AND(OR(INDEX('1.職能辭典'!$J:$J,MATCH(F1408,'1.職能辭典'!$C:$C,0))="全部",INDEX('3.員工名單'!$H:$H,MATCH(A1408,'3.員工名單'!$A:$A,0))="兩款共用",INDEX('3.員工名單'!$H:$H,MATCH(A1408,'3.員工名單'!$A:$A,0))=INDEX('1.職能辭典'!$J:$J,MATCH(F1408,'1.職能辭典'!$C:$C,0))),OR(INDEX('1.職能辭典'!$K:$K,MATCH(F1408,'1.職能辭典'!$C:$C,0))="全部",SUMPRODUCT(ISNUMBER(SEARCH({"經營","管理","財務","企劃","營運","技術","數據","美術","測試","客服"},INDEX('3.員工名單'!$I:$I,MATCH(A1408,'3.員工名單'!$A:$A,0))))*ISNUMBER(SEARCH({"經營","管理","財務","企劃","營運","技術","數據","美術","測試","客服"},INDEX('1.職能辭典'!$K:$K,MATCH(F1408,'1.職能辭典'!$C:$C,0)))))&gt;0)),INDEX('2.職務職能需求'!$B$2:$F$28,MATCH(F1408,'2.職務職能需求'!$A$2:$A$28,0),MATCH(D1408,'2.職務職能需求'!$B$1:$F$1,0)),0),""))</f>
        <v/>
      </c>
      <c r="H1408" s="94" t="n"/>
      <c r="I1408" s="94" t="n"/>
      <c r="J1408" s="120">
        <f>IF(OR(G1408="",I1408="",G1408=0),"",I1408-G1408)</f>
        <v/>
      </c>
      <c r="K1408" s="120">
        <f>IF(G1408="","",IF(G1408=0,"不適用",IF(I1408="","待評核",IF(I1408&gt;=G1408,IF(I1408&gt;G1408,"超越","達標"),"待發展"))))</f>
        <v/>
      </c>
      <c r="L1408" s="91" t="n"/>
      <c r="M1408" s="91" t="n"/>
      <c r="N1408" s="88" t="n"/>
    </row>
    <row r="1409" ht="15.75" customHeight="1" s="64">
      <c r="A1409" s="88" t="n"/>
      <c r="B1409" s="120">
        <f t="array" ref="B1409:B1409">IF(A1409="","",IFERROR(INDEX('3.員工名單'!$B:$B,MATCH(A1409,'3.員工名單'!$A:$A,0)),"查無此員工"))</f>
        <v/>
      </c>
      <c r="C1409" s="120">
        <f t="array" ref="C1409:C1409">IF(A1409="","",IFERROR(INDEX('3.員工名單'!$C:$C,MATCH(A1409,'3.員工名單'!$A:$A,0)),""))</f>
        <v/>
      </c>
      <c r="D1409" s="120">
        <f t="array" ref="D1409:D1409">IF(A1409="","",IFERROR(INDEX('3.員工名單'!$D:$D,MATCH(A1409,'3.員工名單'!$A:$A,0)),""))</f>
        <v/>
      </c>
      <c r="E1409" s="120">
        <f t="array" ref="E1409:E1409">IF(F1409="","",IFERROR(INDEX('1.職能辭典'!$A:$A,MATCH(F1409,'1.職能辭典'!$C:$C,0)),""))</f>
        <v/>
      </c>
      <c r="F1409" s="94" t="n"/>
      <c r="G1409" s="120">
        <f t="array" ref="G1409:G1409">IF(OR(D1409="",F1409=""),"",IFERROR(IF(AND(OR(INDEX('1.職能辭典'!$J:$J,MATCH(F1409,'1.職能辭典'!$C:$C,0))="全部",INDEX('3.員工名單'!$H:$H,MATCH(A1409,'3.員工名單'!$A:$A,0))="兩款共用",INDEX('3.員工名單'!$H:$H,MATCH(A1409,'3.員工名單'!$A:$A,0))=INDEX('1.職能辭典'!$J:$J,MATCH(F1409,'1.職能辭典'!$C:$C,0))),OR(INDEX('1.職能辭典'!$K:$K,MATCH(F1409,'1.職能辭典'!$C:$C,0))="全部",SUMPRODUCT(ISNUMBER(SEARCH({"經營","管理","財務","企劃","營運","技術","數據","美術","測試","客服"},INDEX('3.員工名單'!$I:$I,MATCH(A1409,'3.員工名單'!$A:$A,0))))*ISNUMBER(SEARCH({"經營","管理","財務","企劃","營運","技術","數據","美術","測試","客服"},INDEX('1.職能辭典'!$K:$K,MATCH(F1409,'1.職能辭典'!$C:$C,0)))))&gt;0)),INDEX('2.職務職能需求'!$B$2:$F$28,MATCH(F1409,'2.職務職能需求'!$A$2:$A$28,0),MATCH(D1409,'2.職務職能需求'!$B$1:$F$1,0)),0),""))</f>
        <v/>
      </c>
      <c r="H1409" s="94" t="n"/>
      <c r="I1409" s="94" t="n"/>
      <c r="J1409" s="120">
        <f>IF(OR(G1409="",I1409="",G1409=0),"",I1409-G1409)</f>
        <v/>
      </c>
      <c r="K1409" s="120">
        <f>IF(G1409="","",IF(G1409=0,"不適用",IF(I1409="","待評核",IF(I1409&gt;=G1409,IF(I1409&gt;G1409,"超越","達標"),"待發展"))))</f>
        <v/>
      </c>
      <c r="L1409" s="91" t="n"/>
      <c r="M1409" s="91" t="n"/>
      <c r="N1409" s="88" t="n"/>
    </row>
    <row r="1410" ht="15.75" customHeight="1" s="64">
      <c r="A1410" s="88" t="n"/>
      <c r="B1410" s="120">
        <f t="array" ref="B1410:B1410">IF(A1410="","",IFERROR(INDEX('3.員工名單'!$B:$B,MATCH(A1410,'3.員工名單'!$A:$A,0)),"查無此員工"))</f>
        <v/>
      </c>
      <c r="C1410" s="120">
        <f t="array" ref="C1410:C1410">IF(A1410="","",IFERROR(INDEX('3.員工名單'!$C:$C,MATCH(A1410,'3.員工名單'!$A:$A,0)),""))</f>
        <v/>
      </c>
      <c r="D1410" s="120">
        <f t="array" ref="D1410:D1410">IF(A1410="","",IFERROR(INDEX('3.員工名單'!$D:$D,MATCH(A1410,'3.員工名單'!$A:$A,0)),""))</f>
        <v/>
      </c>
      <c r="E1410" s="120">
        <f t="array" ref="E1410:E1410">IF(F1410="","",IFERROR(INDEX('1.職能辭典'!$A:$A,MATCH(F1410,'1.職能辭典'!$C:$C,0)),""))</f>
        <v/>
      </c>
      <c r="F1410" s="94" t="n"/>
      <c r="G1410" s="120">
        <f t="array" ref="G1410:G1410">IF(OR(D1410="",F1410=""),"",IFERROR(IF(AND(OR(INDEX('1.職能辭典'!$J:$J,MATCH(F1410,'1.職能辭典'!$C:$C,0))="全部",INDEX('3.員工名單'!$H:$H,MATCH(A1410,'3.員工名單'!$A:$A,0))="兩款共用",INDEX('3.員工名單'!$H:$H,MATCH(A1410,'3.員工名單'!$A:$A,0))=INDEX('1.職能辭典'!$J:$J,MATCH(F1410,'1.職能辭典'!$C:$C,0))),OR(INDEX('1.職能辭典'!$K:$K,MATCH(F1410,'1.職能辭典'!$C:$C,0))="全部",SUMPRODUCT(ISNUMBER(SEARCH({"經營","管理","財務","企劃","營運","技術","數據","美術","測試","客服"},INDEX('3.員工名單'!$I:$I,MATCH(A1410,'3.員工名單'!$A:$A,0))))*ISNUMBER(SEARCH({"經營","管理","財務","企劃","營運","技術","數據","美術","測試","客服"},INDEX('1.職能辭典'!$K:$K,MATCH(F1410,'1.職能辭典'!$C:$C,0)))))&gt;0)),INDEX('2.職務職能需求'!$B$2:$F$28,MATCH(F1410,'2.職務職能需求'!$A$2:$A$28,0),MATCH(D1410,'2.職務職能需求'!$B$1:$F$1,0)),0),""))</f>
        <v/>
      </c>
      <c r="H1410" s="94" t="n"/>
      <c r="I1410" s="94" t="n"/>
      <c r="J1410" s="120">
        <f>IF(OR(G1410="",I1410="",G1410=0),"",I1410-G1410)</f>
        <v/>
      </c>
      <c r="K1410" s="120">
        <f>IF(G1410="","",IF(G1410=0,"不適用",IF(I1410="","待評核",IF(I1410&gt;=G1410,IF(I1410&gt;G1410,"超越","達標"),"待發展"))))</f>
        <v/>
      </c>
      <c r="L1410" s="91" t="n"/>
      <c r="M1410" s="91" t="n"/>
      <c r="N1410" s="88" t="n"/>
    </row>
    <row r="1411" ht="15.75" customHeight="1" s="64">
      <c r="A1411" s="88" t="n"/>
      <c r="B1411" s="120">
        <f t="array" ref="B1411:B1411">IF(A1411="","",IFERROR(INDEX('3.員工名單'!$B:$B,MATCH(A1411,'3.員工名單'!$A:$A,0)),"查無此員工"))</f>
        <v/>
      </c>
      <c r="C1411" s="120">
        <f t="array" ref="C1411:C1411">IF(A1411="","",IFERROR(INDEX('3.員工名單'!$C:$C,MATCH(A1411,'3.員工名單'!$A:$A,0)),""))</f>
        <v/>
      </c>
      <c r="D1411" s="120">
        <f t="array" ref="D1411:D1411">IF(A1411="","",IFERROR(INDEX('3.員工名單'!$D:$D,MATCH(A1411,'3.員工名單'!$A:$A,0)),""))</f>
        <v/>
      </c>
      <c r="E1411" s="120">
        <f t="array" ref="E1411:E1411">IF(F1411="","",IFERROR(INDEX('1.職能辭典'!$A:$A,MATCH(F1411,'1.職能辭典'!$C:$C,0)),""))</f>
        <v/>
      </c>
      <c r="F1411" s="94" t="n"/>
      <c r="G1411" s="120">
        <f t="array" ref="G1411:G1411">IF(OR(D1411="",F1411=""),"",IFERROR(IF(AND(OR(INDEX('1.職能辭典'!$J:$J,MATCH(F1411,'1.職能辭典'!$C:$C,0))="全部",INDEX('3.員工名單'!$H:$H,MATCH(A1411,'3.員工名單'!$A:$A,0))="兩款共用",INDEX('3.員工名單'!$H:$H,MATCH(A1411,'3.員工名單'!$A:$A,0))=INDEX('1.職能辭典'!$J:$J,MATCH(F1411,'1.職能辭典'!$C:$C,0))),OR(INDEX('1.職能辭典'!$K:$K,MATCH(F1411,'1.職能辭典'!$C:$C,0))="全部",SUMPRODUCT(ISNUMBER(SEARCH({"經營","管理","財務","企劃","營運","技術","數據","美術","測試","客服"},INDEX('3.員工名單'!$I:$I,MATCH(A1411,'3.員工名單'!$A:$A,0))))*ISNUMBER(SEARCH({"經營","管理","財務","企劃","營運","技術","數據","美術","測試","客服"},INDEX('1.職能辭典'!$K:$K,MATCH(F1411,'1.職能辭典'!$C:$C,0)))))&gt;0)),INDEX('2.職務職能需求'!$B$2:$F$28,MATCH(F1411,'2.職務職能需求'!$A$2:$A$28,0),MATCH(D1411,'2.職務職能需求'!$B$1:$F$1,0)),0),""))</f>
        <v/>
      </c>
      <c r="H1411" s="94" t="n"/>
      <c r="I1411" s="94" t="n"/>
      <c r="J1411" s="120">
        <f>IF(OR(G1411="",I1411="",G1411=0),"",I1411-G1411)</f>
        <v/>
      </c>
      <c r="K1411" s="120">
        <f>IF(G1411="","",IF(G1411=0,"不適用",IF(I1411="","待評核",IF(I1411&gt;=G1411,IF(I1411&gt;G1411,"超越","達標"),"待發展"))))</f>
        <v/>
      </c>
      <c r="L1411" s="91" t="n"/>
      <c r="M1411" s="91" t="n"/>
      <c r="N1411" s="88" t="n"/>
    </row>
    <row r="1412" ht="15.75" customHeight="1" s="64">
      <c r="A1412" s="88" t="n"/>
      <c r="B1412" s="120">
        <f t="array" ref="B1412:B1412">IF(A1412="","",IFERROR(INDEX('3.員工名單'!$B:$B,MATCH(A1412,'3.員工名單'!$A:$A,0)),"查無此員工"))</f>
        <v/>
      </c>
      <c r="C1412" s="120">
        <f t="array" ref="C1412:C1412">IF(A1412="","",IFERROR(INDEX('3.員工名單'!$C:$C,MATCH(A1412,'3.員工名單'!$A:$A,0)),""))</f>
        <v/>
      </c>
      <c r="D1412" s="120">
        <f t="array" ref="D1412:D1412">IF(A1412="","",IFERROR(INDEX('3.員工名單'!$D:$D,MATCH(A1412,'3.員工名單'!$A:$A,0)),""))</f>
        <v/>
      </c>
      <c r="E1412" s="120">
        <f t="array" ref="E1412:E1412">IF(F1412="","",IFERROR(INDEX('1.職能辭典'!$A:$A,MATCH(F1412,'1.職能辭典'!$C:$C,0)),""))</f>
        <v/>
      </c>
      <c r="F1412" s="94" t="n"/>
      <c r="G1412" s="120">
        <f t="array" ref="G1412:G1412">IF(OR(D1412="",F1412=""),"",IFERROR(IF(AND(OR(INDEX('1.職能辭典'!$J:$J,MATCH(F1412,'1.職能辭典'!$C:$C,0))="全部",INDEX('3.員工名單'!$H:$H,MATCH(A1412,'3.員工名單'!$A:$A,0))="兩款共用",INDEX('3.員工名單'!$H:$H,MATCH(A1412,'3.員工名單'!$A:$A,0))=INDEX('1.職能辭典'!$J:$J,MATCH(F1412,'1.職能辭典'!$C:$C,0))),OR(INDEX('1.職能辭典'!$K:$K,MATCH(F1412,'1.職能辭典'!$C:$C,0))="全部",SUMPRODUCT(ISNUMBER(SEARCH({"經營","管理","財務","企劃","營運","技術","數據","美術","測試","客服"},INDEX('3.員工名單'!$I:$I,MATCH(A1412,'3.員工名單'!$A:$A,0))))*ISNUMBER(SEARCH({"經營","管理","財務","企劃","營運","技術","數據","美術","測試","客服"},INDEX('1.職能辭典'!$K:$K,MATCH(F1412,'1.職能辭典'!$C:$C,0)))))&gt;0)),INDEX('2.職務職能需求'!$B$2:$F$28,MATCH(F1412,'2.職務職能需求'!$A$2:$A$28,0),MATCH(D1412,'2.職務職能需求'!$B$1:$F$1,0)),0),""))</f>
        <v/>
      </c>
      <c r="H1412" s="94" t="n"/>
      <c r="I1412" s="94" t="n"/>
      <c r="J1412" s="120">
        <f>IF(OR(G1412="",I1412="",G1412=0),"",I1412-G1412)</f>
        <v/>
      </c>
      <c r="K1412" s="120">
        <f>IF(G1412="","",IF(G1412=0,"不適用",IF(I1412="","待評核",IF(I1412&gt;=G1412,IF(I1412&gt;G1412,"超越","達標"),"待發展"))))</f>
        <v/>
      </c>
      <c r="L1412" s="91" t="n"/>
      <c r="M1412" s="91" t="n"/>
      <c r="N1412" s="88" t="n"/>
    </row>
    <row r="1413" ht="15.75" customHeight="1" s="64">
      <c r="A1413" s="88" t="n"/>
      <c r="B1413" s="120">
        <f t="array" ref="B1413:B1413">IF(A1413="","",IFERROR(INDEX('3.員工名單'!$B:$B,MATCH(A1413,'3.員工名單'!$A:$A,0)),"查無此員工"))</f>
        <v/>
      </c>
      <c r="C1413" s="120">
        <f t="array" ref="C1413:C1413">IF(A1413="","",IFERROR(INDEX('3.員工名單'!$C:$C,MATCH(A1413,'3.員工名單'!$A:$A,0)),""))</f>
        <v/>
      </c>
      <c r="D1413" s="120">
        <f t="array" ref="D1413:D1413">IF(A1413="","",IFERROR(INDEX('3.員工名單'!$D:$D,MATCH(A1413,'3.員工名單'!$A:$A,0)),""))</f>
        <v/>
      </c>
      <c r="E1413" s="120">
        <f t="array" ref="E1413:E1413">IF(F1413="","",IFERROR(INDEX('1.職能辭典'!$A:$A,MATCH(F1413,'1.職能辭典'!$C:$C,0)),""))</f>
        <v/>
      </c>
      <c r="F1413" s="94" t="n"/>
      <c r="G1413" s="120">
        <f t="array" ref="G1413:G1413">IF(OR(D1413="",F1413=""),"",IFERROR(IF(AND(OR(INDEX('1.職能辭典'!$J:$J,MATCH(F1413,'1.職能辭典'!$C:$C,0))="全部",INDEX('3.員工名單'!$H:$H,MATCH(A1413,'3.員工名單'!$A:$A,0))="兩款共用",INDEX('3.員工名單'!$H:$H,MATCH(A1413,'3.員工名單'!$A:$A,0))=INDEX('1.職能辭典'!$J:$J,MATCH(F1413,'1.職能辭典'!$C:$C,0))),OR(INDEX('1.職能辭典'!$K:$K,MATCH(F1413,'1.職能辭典'!$C:$C,0))="全部",SUMPRODUCT(ISNUMBER(SEARCH({"經營","管理","財務","企劃","營運","技術","數據","美術","測試","客服"},INDEX('3.員工名單'!$I:$I,MATCH(A1413,'3.員工名單'!$A:$A,0))))*ISNUMBER(SEARCH({"經營","管理","財務","企劃","營運","技術","數據","美術","測試","客服"},INDEX('1.職能辭典'!$K:$K,MATCH(F1413,'1.職能辭典'!$C:$C,0)))))&gt;0)),INDEX('2.職務職能需求'!$B$2:$F$28,MATCH(F1413,'2.職務職能需求'!$A$2:$A$28,0),MATCH(D1413,'2.職務職能需求'!$B$1:$F$1,0)),0),""))</f>
        <v/>
      </c>
      <c r="H1413" s="94" t="n"/>
      <c r="I1413" s="94" t="n"/>
      <c r="J1413" s="120">
        <f>IF(OR(G1413="",I1413="",G1413=0),"",I1413-G1413)</f>
        <v/>
      </c>
      <c r="K1413" s="120">
        <f>IF(G1413="","",IF(G1413=0,"不適用",IF(I1413="","待評核",IF(I1413&gt;=G1413,IF(I1413&gt;G1413,"超越","達標"),"待發展"))))</f>
        <v/>
      </c>
      <c r="L1413" s="91" t="n"/>
      <c r="M1413" s="91" t="n"/>
      <c r="N1413" s="88" t="n"/>
    </row>
    <row r="1414" ht="15.75" customHeight="1" s="64">
      <c r="A1414" s="88" t="n"/>
      <c r="B1414" s="120">
        <f t="array" ref="B1414:B1414">IF(A1414="","",IFERROR(INDEX('3.員工名單'!$B:$B,MATCH(A1414,'3.員工名單'!$A:$A,0)),"查無此員工"))</f>
        <v/>
      </c>
      <c r="C1414" s="120">
        <f t="array" ref="C1414:C1414">IF(A1414="","",IFERROR(INDEX('3.員工名單'!$C:$C,MATCH(A1414,'3.員工名單'!$A:$A,0)),""))</f>
        <v/>
      </c>
      <c r="D1414" s="120">
        <f t="array" ref="D1414:D1414">IF(A1414="","",IFERROR(INDEX('3.員工名單'!$D:$D,MATCH(A1414,'3.員工名單'!$A:$A,0)),""))</f>
        <v/>
      </c>
      <c r="E1414" s="120">
        <f t="array" ref="E1414:E1414">IF(F1414="","",IFERROR(INDEX('1.職能辭典'!$A:$A,MATCH(F1414,'1.職能辭典'!$C:$C,0)),""))</f>
        <v/>
      </c>
      <c r="F1414" s="94" t="n"/>
      <c r="G1414" s="120">
        <f t="array" ref="G1414:G1414">IF(OR(D1414="",F1414=""),"",IFERROR(IF(AND(OR(INDEX('1.職能辭典'!$J:$J,MATCH(F1414,'1.職能辭典'!$C:$C,0))="全部",INDEX('3.員工名單'!$H:$H,MATCH(A1414,'3.員工名單'!$A:$A,0))="兩款共用",INDEX('3.員工名單'!$H:$H,MATCH(A1414,'3.員工名單'!$A:$A,0))=INDEX('1.職能辭典'!$J:$J,MATCH(F1414,'1.職能辭典'!$C:$C,0))),OR(INDEX('1.職能辭典'!$K:$K,MATCH(F1414,'1.職能辭典'!$C:$C,0))="全部",SUMPRODUCT(ISNUMBER(SEARCH({"經營","管理","財務","企劃","營運","技術","數據","美術","測試","客服"},INDEX('3.員工名單'!$I:$I,MATCH(A1414,'3.員工名單'!$A:$A,0))))*ISNUMBER(SEARCH({"經營","管理","財務","企劃","營運","技術","數據","美術","測試","客服"},INDEX('1.職能辭典'!$K:$K,MATCH(F1414,'1.職能辭典'!$C:$C,0)))))&gt;0)),INDEX('2.職務職能需求'!$B$2:$F$28,MATCH(F1414,'2.職務職能需求'!$A$2:$A$28,0),MATCH(D1414,'2.職務職能需求'!$B$1:$F$1,0)),0),""))</f>
        <v/>
      </c>
      <c r="H1414" s="94" t="n"/>
      <c r="I1414" s="94" t="n"/>
      <c r="J1414" s="120">
        <f>IF(OR(G1414="",I1414="",G1414=0),"",I1414-G1414)</f>
        <v/>
      </c>
      <c r="K1414" s="120">
        <f>IF(G1414="","",IF(G1414=0,"不適用",IF(I1414="","待評核",IF(I1414&gt;=G1414,IF(I1414&gt;G1414,"超越","達標"),"待發展"))))</f>
        <v/>
      </c>
      <c r="L1414" s="91" t="n"/>
      <c r="M1414" s="91" t="n"/>
      <c r="N1414" s="88" t="n"/>
    </row>
    <row r="1415" ht="15.75" customHeight="1" s="64">
      <c r="A1415" s="88" t="n"/>
      <c r="B1415" s="120">
        <f t="array" ref="B1415:B1415">IF(A1415="","",IFERROR(INDEX('3.員工名單'!$B:$B,MATCH(A1415,'3.員工名單'!$A:$A,0)),"查無此員工"))</f>
        <v/>
      </c>
      <c r="C1415" s="120">
        <f t="array" ref="C1415:C1415">IF(A1415="","",IFERROR(INDEX('3.員工名單'!$C:$C,MATCH(A1415,'3.員工名單'!$A:$A,0)),""))</f>
        <v/>
      </c>
      <c r="D1415" s="120">
        <f t="array" ref="D1415:D1415">IF(A1415="","",IFERROR(INDEX('3.員工名單'!$D:$D,MATCH(A1415,'3.員工名單'!$A:$A,0)),""))</f>
        <v/>
      </c>
      <c r="E1415" s="120">
        <f t="array" ref="E1415:E1415">IF(F1415="","",IFERROR(INDEX('1.職能辭典'!$A:$A,MATCH(F1415,'1.職能辭典'!$C:$C,0)),""))</f>
        <v/>
      </c>
      <c r="F1415" s="94" t="n"/>
      <c r="G1415" s="120">
        <f t="array" ref="G1415:G1415">IF(OR(D1415="",F1415=""),"",IFERROR(IF(AND(OR(INDEX('1.職能辭典'!$J:$J,MATCH(F1415,'1.職能辭典'!$C:$C,0))="全部",INDEX('3.員工名單'!$H:$H,MATCH(A1415,'3.員工名單'!$A:$A,0))="兩款共用",INDEX('3.員工名單'!$H:$H,MATCH(A1415,'3.員工名單'!$A:$A,0))=INDEX('1.職能辭典'!$J:$J,MATCH(F1415,'1.職能辭典'!$C:$C,0))),OR(INDEX('1.職能辭典'!$K:$K,MATCH(F1415,'1.職能辭典'!$C:$C,0))="全部",SUMPRODUCT(ISNUMBER(SEARCH({"經營","管理","財務","企劃","營運","技術","數據","美術","測試","客服"},INDEX('3.員工名單'!$I:$I,MATCH(A1415,'3.員工名單'!$A:$A,0))))*ISNUMBER(SEARCH({"經營","管理","財務","企劃","營運","技術","數據","美術","測試","客服"},INDEX('1.職能辭典'!$K:$K,MATCH(F1415,'1.職能辭典'!$C:$C,0)))))&gt;0)),INDEX('2.職務職能需求'!$B$2:$F$28,MATCH(F1415,'2.職務職能需求'!$A$2:$A$28,0),MATCH(D1415,'2.職務職能需求'!$B$1:$F$1,0)),0),""))</f>
        <v/>
      </c>
      <c r="H1415" s="94" t="n"/>
      <c r="I1415" s="94" t="n"/>
      <c r="J1415" s="120">
        <f>IF(OR(G1415="",I1415="",G1415=0),"",I1415-G1415)</f>
        <v/>
      </c>
      <c r="K1415" s="120">
        <f>IF(G1415="","",IF(G1415=0,"不適用",IF(I1415="","待評核",IF(I1415&gt;=G1415,IF(I1415&gt;G1415,"超越","達標"),"待發展"))))</f>
        <v/>
      </c>
      <c r="L1415" s="91" t="n"/>
      <c r="M1415" s="91" t="n"/>
      <c r="N1415" s="88" t="n"/>
    </row>
    <row r="1416" ht="15.75" customHeight="1" s="64">
      <c r="A1416" s="88" t="n"/>
      <c r="B1416" s="120">
        <f t="array" ref="B1416:B1416">IF(A1416="","",IFERROR(INDEX('3.員工名單'!$B:$B,MATCH(A1416,'3.員工名單'!$A:$A,0)),"查無此員工"))</f>
        <v/>
      </c>
      <c r="C1416" s="120">
        <f t="array" ref="C1416:C1416">IF(A1416="","",IFERROR(INDEX('3.員工名單'!$C:$C,MATCH(A1416,'3.員工名單'!$A:$A,0)),""))</f>
        <v/>
      </c>
      <c r="D1416" s="120">
        <f t="array" ref="D1416:D1416">IF(A1416="","",IFERROR(INDEX('3.員工名單'!$D:$D,MATCH(A1416,'3.員工名單'!$A:$A,0)),""))</f>
        <v/>
      </c>
      <c r="E1416" s="120">
        <f t="array" ref="E1416:E1416">IF(F1416="","",IFERROR(INDEX('1.職能辭典'!$A:$A,MATCH(F1416,'1.職能辭典'!$C:$C,0)),""))</f>
        <v/>
      </c>
      <c r="F1416" s="94" t="n"/>
      <c r="G1416" s="120">
        <f t="array" ref="G1416:G1416">IF(OR(D1416="",F1416=""),"",IFERROR(IF(AND(OR(INDEX('1.職能辭典'!$J:$J,MATCH(F1416,'1.職能辭典'!$C:$C,0))="全部",INDEX('3.員工名單'!$H:$H,MATCH(A1416,'3.員工名單'!$A:$A,0))="兩款共用",INDEX('3.員工名單'!$H:$H,MATCH(A1416,'3.員工名單'!$A:$A,0))=INDEX('1.職能辭典'!$J:$J,MATCH(F1416,'1.職能辭典'!$C:$C,0))),OR(INDEX('1.職能辭典'!$K:$K,MATCH(F1416,'1.職能辭典'!$C:$C,0))="全部",SUMPRODUCT(ISNUMBER(SEARCH({"經營","管理","財務","企劃","營運","技術","數據","美術","測試","客服"},INDEX('3.員工名單'!$I:$I,MATCH(A1416,'3.員工名單'!$A:$A,0))))*ISNUMBER(SEARCH({"經營","管理","財務","企劃","營運","技術","數據","美術","測試","客服"},INDEX('1.職能辭典'!$K:$K,MATCH(F1416,'1.職能辭典'!$C:$C,0)))))&gt;0)),INDEX('2.職務職能需求'!$B$2:$F$28,MATCH(F1416,'2.職務職能需求'!$A$2:$A$28,0),MATCH(D1416,'2.職務職能需求'!$B$1:$F$1,0)),0),""))</f>
        <v/>
      </c>
      <c r="H1416" s="94" t="n"/>
      <c r="I1416" s="94" t="n"/>
      <c r="J1416" s="120">
        <f>IF(OR(G1416="",I1416="",G1416=0),"",I1416-G1416)</f>
        <v/>
      </c>
      <c r="K1416" s="120">
        <f>IF(G1416="","",IF(G1416=0,"不適用",IF(I1416="","待評核",IF(I1416&gt;=G1416,IF(I1416&gt;G1416,"超越","達標"),"待發展"))))</f>
        <v/>
      </c>
      <c r="L1416" s="91" t="n"/>
      <c r="M1416" s="91" t="n"/>
      <c r="N1416" s="88" t="n"/>
    </row>
    <row r="1417" ht="15.75" customHeight="1" s="64">
      <c r="A1417" s="88" t="n"/>
      <c r="B1417" s="120">
        <f t="array" ref="B1417:B1417">IF(A1417="","",IFERROR(INDEX('3.員工名單'!$B:$B,MATCH(A1417,'3.員工名單'!$A:$A,0)),"查無此員工"))</f>
        <v/>
      </c>
      <c r="C1417" s="120">
        <f t="array" ref="C1417:C1417">IF(A1417="","",IFERROR(INDEX('3.員工名單'!$C:$C,MATCH(A1417,'3.員工名單'!$A:$A,0)),""))</f>
        <v/>
      </c>
      <c r="D1417" s="120">
        <f t="array" ref="D1417:D1417">IF(A1417="","",IFERROR(INDEX('3.員工名單'!$D:$D,MATCH(A1417,'3.員工名單'!$A:$A,0)),""))</f>
        <v/>
      </c>
      <c r="E1417" s="120">
        <f t="array" ref="E1417:E1417">IF(F1417="","",IFERROR(INDEX('1.職能辭典'!$A:$A,MATCH(F1417,'1.職能辭典'!$C:$C,0)),""))</f>
        <v/>
      </c>
      <c r="F1417" s="94" t="n"/>
      <c r="G1417" s="120">
        <f t="array" ref="G1417:G1417">IF(OR(D1417="",F1417=""),"",IFERROR(IF(AND(OR(INDEX('1.職能辭典'!$J:$J,MATCH(F1417,'1.職能辭典'!$C:$C,0))="全部",INDEX('3.員工名單'!$H:$H,MATCH(A1417,'3.員工名單'!$A:$A,0))="兩款共用",INDEX('3.員工名單'!$H:$H,MATCH(A1417,'3.員工名單'!$A:$A,0))=INDEX('1.職能辭典'!$J:$J,MATCH(F1417,'1.職能辭典'!$C:$C,0))),OR(INDEX('1.職能辭典'!$K:$K,MATCH(F1417,'1.職能辭典'!$C:$C,0))="全部",SUMPRODUCT(ISNUMBER(SEARCH({"經營","管理","財務","企劃","營運","技術","數據","美術","測試","客服"},INDEX('3.員工名單'!$I:$I,MATCH(A1417,'3.員工名單'!$A:$A,0))))*ISNUMBER(SEARCH({"經營","管理","財務","企劃","營運","技術","數據","美術","測試","客服"},INDEX('1.職能辭典'!$K:$K,MATCH(F1417,'1.職能辭典'!$C:$C,0)))))&gt;0)),INDEX('2.職務職能需求'!$B$2:$F$28,MATCH(F1417,'2.職務職能需求'!$A$2:$A$28,0),MATCH(D1417,'2.職務職能需求'!$B$1:$F$1,0)),0),""))</f>
        <v/>
      </c>
      <c r="H1417" s="94" t="n"/>
      <c r="I1417" s="94" t="n"/>
      <c r="J1417" s="120">
        <f>IF(OR(G1417="",I1417="",G1417=0),"",I1417-G1417)</f>
        <v/>
      </c>
      <c r="K1417" s="120">
        <f>IF(G1417="","",IF(G1417=0,"不適用",IF(I1417="","待評核",IF(I1417&gt;=G1417,IF(I1417&gt;G1417,"超越","達標"),"待發展"))))</f>
        <v/>
      </c>
      <c r="L1417" s="91" t="n"/>
      <c r="M1417" s="91" t="n"/>
      <c r="N1417" s="88" t="n"/>
    </row>
    <row r="1418" ht="15.75" customHeight="1" s="64">
      <c r="A1418" s="88" t="n"/>
      <c r="B1418" s="120">
        <f t="array" ref="B1418:B1418">IF(A1418="","",IFERROR(INDEX('3.員工名單'!$B:$B,MATCH(A1418,'3.員工名單'!$A:$A,0)),"查無此員工"))</f>
        <v/>
      </c>
      <c r="C1418" s="120">
        <f t="array" ref="C1418:C1418">IF(A1418="","",IFERROR(INDEX('3.員工名單'!$C:$C,MATCH(A1418,'3.員工名單'!$A:$A,0)),""))</f>
        <v/>
      </c>
      <c r="D1418" s="120">
        <f t="array" ref="D1418:D1418">IF(A1418="","",IFERROR(INDEX('3.員工名單'!$D:$D,MATCH(A1418,'3.員工名單'!$A:$A,0)),""))</f>
        <v/>
      </c>
      <c r="E1418" s="120">
        <f t="array" ref="E1418:E1418">IF(F1418="","",IFERROR(INDEX('1.職能辭典'!$A:$A,MATCH(F1418,'1.職能辭典'!$C:$C,0)),""))</f>
        <v/>
      </c>
      <c r="F1418" s="94" t="n"/>
      <c r="G1418" s="120">
        <f t="array" ref="G1418:G1418">IF(OR(D1418="",F1418=""),"",IFERROR(IF(AND(OR(INDEX('1.職能辭典'!$J:$J,MATCH(F1418,'1.職能辭典'!$C:$C,0))="全部",INDEX('3.員工名單'!$H:$H,MATCH(A1418,'3.員工名單'!$A:$A,0))="兩款共用",INDEX('3.員工名單'!$H:$H,MATCH(A1418,'3.員工名單'!$A:$A,0))=INDEX('1.職能辭典'!$J:$J,MATCH(F1418,'1.職能辭典'!$C:$C,0))),OR(INDEX('1.職能辭典'!$K:$K,MATCH(F1418,'1.職能辭典'!$C:$C,0))="全部",SUMPRODUCT(ISNUMBER(SEARCH({"經營","管理","財務","企劃","營運","技術","數據","美術","測試","客服"},INDEX('3.員工名單'!$I:$I,MATCH(A1418,'3.員工名單'!$A:$A,0))))*ISNUMBER(SEARCH({"經營","管理","財務","企劃","營運","技術","數據","美術","測試","客服"},INDEX('1.職能辭典'!$K:$K,MATCH(F1418,'1.職能辭典'!$C:$C,0)))))&gt;0)),INDEX('2.職務職能需求'!$B$2:$F$28,MATCH(F1418,'2.職務職能需求'!$A$2:$A$28,0),MATCH(D1418,'2.職務職能需求'!$B$1:$F$1,0)),0),""))</f>
        <v/>
      </c>
      <c r="H1418" s="94" t="n"/>
      <c r="I1418" s="94" t="n"/>
      <c r="J1418" s="120">
        <f>IF(OR(G1418="",I1418="",G1418=0),"",I1418-G1418)</f>
        <v/>
      </c>
      <c r="K1418" s="120">
        <f>IF(G1418="","",IF(G1418=0,"不適用",IF(I1418="","待評核",IF(I1418&gt;=G1418,IF(I1418&gt;G1418,"超越","達標"),"待發展"))))</f>
        <v/>
      </c>
      <c r="L1418" s="91" t="n"/>
      <c r="M1418" s="91" t="n"/>
      <c r="N1418" s="88" t="n"/>
    </row>
    <row r="1419" ht="15.75" customHeight="1" s="64">
      <c r="A1419" s="88" t="n"/>
      <c r="B1419" s="120">
        <f t="array" ref="B1419:B1419">IF(A1419="","",IFERROR(INDEX('3.員工名單'!$B:$B,MATCH(A1419,'3.員工名單'!$A:$A,0)),"查無此員工"))</f>
        <v/>
      </c>
      <c r="C1419" s="120">
        <f t="array" ref="C1419:C1419">IF(A1419="","",IFERROR(INDEX('3.員工名單'!$C:$C,MATCH(A1419,'3.員工名單'!$A:$A,0)),""))</f>
        <v/>
      </c>
      <c r="D1419" s="120">
        <f t="array" ref="D1419:D1419">IF(A1419="","",IFERROR(INDEX('3.員工名單'!$D:$D,MATCH(A1419,'3.員工名單'!$A:$A,0)),""))</f>
        <v/>
      </c>
      <c r="E1419" s="120">
        <f t="array" ref="E1419:E1419">IF(F1419="","",IFERROR(INDEX('1.職能辭典'!$A:$A,MATCH(F1419,'1.職能辭典'!$C:$C,0)),""))</f>
        <v/>
      </c>
      <c r="F1419" s="94" t="n"/>
      <c r="G1419" s="120">
        <f t="array" ref="G1419:G1419">IF(OR(D1419="",F1419=""),"",IFERROR(IF(AND(OR(INDEX('1.職能辭典'!$J:$J,MATCH(F1419,'1.職能辭典'!$C:$C,0))="全部",INDEX('3.員工名單'!$H:$H,MATCH(A1419,'3.員工名單'!$A:$A,0))="兩款共用",INDEX('3.員工名單'!$H:$H,MATCH(A1419,'3.員工名單'!$A:$A,0))=INDEX('1.職能辭典'!$J:$J,MATCH(F1419,'1.職能辭典'!$C:$C,0))),OR(INDEX('1.職能辭典'!$K:$K,MATCH(F1419,'1.職能辭典'!$C:$C,0))="全部",SUMPRODUCT(ISNUMBER(SEARCH({"經營","管理","財務","企劃","營運","技術","數據","美術","測試","客服"},INDEX('3.員工名單'!$I:$I,MATCH(A1419,'3.員工名單'!$A:$A,0))))*ISNUMBER(SEARCH({"經營","管理","財務","企劃","營運","技術","數據","美術","測試","客服"},INDEX('1.職能辭典'!$K:$K,MATCH(F1419,'1.職能辭典'!$C:$C,0)))))&gt;0)),INDEX('2.職務職能需求'!$B$2:$F$28,MATCH(F1419,'2.職務職能需求'!$A$2:$A$28,0),MATCH(D1419,'2.職務職能需求'!$B$1:$F$1,0)),0),""))</f>
        <v/>
      </c>
      <c r="H1419" s="94" t="n"/>
      <c r="I1419" s="94" t="n"/>
      <c r="J1419" s="120">
        <f>IF(OR(G1419="",I1419="",G1419=0),"",I1419-G1419)</f>
        <v/>
      </c>
      <c r="K1419" s="120">
        <f>IF(G1419="","",IF(G1419=0,"不適用",IF(I1419="","待評核",IF(I1419&gt;=G1419,IF(I1419&gt;G1419,"超越","達標"),"待發展"))))</f>
        <v/>
      </c>
      <c r="L1419" s="91" t="n"/>
      <c r="M1419" s="91" t="n"/>
      <c r="N1419" s="88" t="n"/>
    </row>
    <row r="1420" ht="15.75" customHeight="1" s="64">
      <c r="A1420" s="88" t="n"/>
      <c r="B1420" s="120">
        <f t="array" ref="B1420:B1420">IF(A1420="","",IFERROR(INDEX('3.員工名單'!$B:$B,MATCH(A1420,'3.員工名單'!$A:$A,0)),"查無此員工"))</f>
        <v/>
      </c>
      <c r="C1420" s="120">
        <f t="array" ref="C1420:C1420">IF(A1420="","",IFERROR(INDEX('3.員工名單'!$C:$C,MATCH(A1420,'3.員工名單'!$A:$A,0)),""))</f>
        <v/>
      </c>
      <c r="D1420" s="120">
        <f t="array" ref="D1420:D1420">IF(A1420="","",IFERROR(INDEX('3.員工名單'!$D:$D,MATCH(A1420,'3.員工名單'!$A:$A,0)),""))</f>
        <v/>
      </c>
      <c r="E1420" s="120">
        <f t="array" ref="E1420:E1420">IF(F1420="","",IFERROR(INDEX('1.職能辭典'!$A:$A,MATCH(F1420,'1.職能辭典'!$C:$C,0)),""))</f>
        <v/>
      </c>
      <c r="F1420" s="94" t="n"/>
      <c r="G1420" s="120">
        <f t="array" ref="G1420:G1420">IF(OR(D1420="",F1420=""),"",IFERROR(IF(AND(OR(INDEX('1.職能辭典'!$J:$J,MATCH(F1420,'1.職能辭典'!$C:$C,0))="全部",INDEX('3.員工名單'!$H:$H,MATCH(A1420,'3.員工名單'!$A:$A,0))="兩款共用",INDEX('3.員工名單'!$H:$H,MATCH(A1420,'3.員工名單'!$A:$A,0))=INDEX('1.職能辭典'!$J:$J,MATCH(F1420,'1.職能辭典'!$C:$C,0))),OR(INDEX('1.職能辭典'!$K:$K,MATCH(F1420,'1.職能辭典'!$C:$C,0))="全部",SUMPRODUCT(ISNUMBER(SEARCH({"經營","管理","財務","企劃","營運","技術","數據","美術","測試","客服"},INDEX('3.員工名單'!$I:$I,MATCH(A1420,'3.員工名單'!$A:$A,0))))*ISNUMBER(SEARCH({"經營","管理","財務","企劃","營運","技術","數據","美術","測試","客服"},INDEX('1.職能辭典'!$K:$K,MATCH(F1420,'1.職能辭典'!$C:$C,0)))))&gt;0)),INDEX('2.職務職能需求'!$B$2:$F$28,MATCH(F1420,'2.職務職能需求'!$A$2:$A$28,0),MATCH(D1420,'2.職務職能需求'!$B$1:$F$1,0)),0),""))</f>
        <v/>
      </c>
      <c r="H1420" s="94" t="n"/>
      <c r="I1420" s="94" t="n"/>
      <c r="J1420" s="120">
        <f>IF(OR(G1420="",I1420="",G1420=0),"",I1420-G1420)</f>
        <v/>
      </c>
      <c r="K1420" s="120">
        <f>IF(G1420="","",IF(G1420=0,"不適用",IF(I1420="","待評核",IF(I1420&gt;=G1420,IF(I1420&gt;G1420,"超越","達標"),"待發展"))))</f>
        <v/>
      </c>
      <c r="L1420" s="91" t="n"/>
      <c r="M1420" s="91" t="n"/>
      <c r="N1420" s="88" t="n"/>
    </row>
    <row r="1421" ht="15.75" customHeight="1" s="64">
      <c r="A1421" s="88" t="n"/>
      <c r="B1421" s="120">
        <f t="array" ref="B1421:B1421">IF(A1421="","",IFERROR(INDEX('3.員工名單'!$B:$B,MATCH(A1421,'3.員工名單'!$A:$A,0)),"查無此員工"))</f>
        <v/>
      </c>
      <c r="C1421" s="120">
        <f t="array" ref="C1421:C1421">IF(A1421="","",IFERROR(INDEX('3.員工名單'!$C:$C,MATCH(A1421,'3.員工名單'!$A:$A,0)),""))</f>
        <v/>
      </c>
      <c r="D1421" s="120">
        <f t="array" ref="D1421:D1421">IF(A1421="","",IFERROR(INDEX('3.員工名單'!$D:$D,MATCH(A1421,'3.員工名單'!$A:$A,0)),""))</f>
        <v/>
      </c>
      <c r="E1421" s="120">
        <f t="array" ref="E1421:E1421">IF(F1421="","",IFERROR(INDEX('1.職能辭典'!$A:$A,MATCH(F1421,'1.職能辭典'!$C:$C,0)),""))</f>
        <v/>
      </c>
      <c r="F1421" s="94" t="n"/>
      <c r="G1421" s="120">
        <f t="array" ref="G1421:G1421">IF(OR(D1421="",F1421=""),"",IFERROR(IF(AND(OR(INDEX('1.職能辭典'!$J:$J,MATCH(F1421,'1.職能辭典'!$C:$C,0))="全部",INDEX('3.員工名單'!$H:$H,MATCH(A1421,'3.員工名單'!$A:$A,0))="兩款共用",INDEX('3.員工名單'!$H:$H,MATCH(A1421,'3.員工名單'!$A:$A,0))=INDEX('1.職能辭典'!$J:$J,MATCH(F1421,'1.職能辭典'!$C:$C,0))),OR(INDEX('1.職能辭典'!$K:$K,MATCH(F1421,'1.職能辭典'!$C:$C,0))="全部",SUMPRODUCT(ISNUMBER(SEARCH({"經營","管理","財務","企劃","營運","技術","數據","美術","測試","客服"},INDEX('3.員工名單'!$I:$I,MATCH(A1421,'3.員工名單'!$A:$A,0))))*ISNUMBER(SEARCH({"經營","管理","財務","企劃","營運","技術","數據","美術","測試","客服"},INDEX('1.職能辭典'!$K:$K,MATCH(F1421,'1.職能辭典'!$C:$C,0)))))&gt;0)),INDEX('2.職務職能需求'!$B$2:$F$28,MATCH(F1421,'2.職務職能需求'!$A$2:$A$28,0),MATCH(D1421,'2.職務職能需求'!$B$1:$F$1,0)),0),""))</f>
        <v/>
      </c>
      <c r="H1421" s="94" t="n"/>
      <c r="I1421" s="94" t="n"/>
      <c r="J1421" s="120">
        <f>IF(OR(G1421="",I1421="",G1421=0),"",I1421-G1421)</f>
        <v/>
      </c>
      <c r="K1421" s="120">
        <f>IF(G1421="","",IF(G1421=0,"不適用",IF(I1421="","待評核",IF(I1421&gt;=G1421,IF(I1421&gt;G1421,"超越","達標"),"待發展"))))</f>
        <v/>
      </c>
      <c r="L1421" s="91" t="n"/>
      <c r="M1421" s="91" t="n"/>
      <c r="N1421" s="88" t="n"/>
    </row>
    <row r="1422" ht="15.75" customHeight="1" s="64">
      <c r="A1422" s="88" t="n"/>
      <c r="B1422" s="120">
        <f t="array" ref="B1422:B1422">IF(A1422="","",IFERROR(INDEX('3.員工名單'!$B:$B,MATCH(A1422,'3.員工名單'!$A:$A,0)),"查無此員工"))</f>
        <v/>
      </c>
      <c r="C1422" s="120">
        <f t="array" ref="C1422:C1422">IF(A1422="","",IFERROR(INDEX('3.員工名單'!$C:$C,MATCH(A1422,'3.員工名單'!$A:$A,0)),""))</f>
        <v/>
      </c>
      <c r="D1422" s="120">
        <f t="array" ref="D1422:D1422">IF(A1422="","",IFERROR(INDEX('3.員工名單'!$D:$D,MATCH(A1422,'3.員工名單'!$A:$A,0)),""))</f>
        <v/>
      </c>
      <c r="E1422" s="120">
        <f t="array" ref="E1422:E1422">IF(F1422="","",IFERROR(INDEX('1.職能辭典'!$A:$A,MATCH(F1422,'1.職能辭典'!$C:$C,0)),""))</f>
        <v/>
      </c>
      <c r="F1422" s="94" t="n"/>
      <c r="G1422" s="120">
        <f t="array" ref="G1422:G1422">IF(OR(D1422="",F1422=""),"",IFERROR(IF(AND(OR(INDEX('1.職能辭典'!$J:$J,MATCH(F1422,'1.職能辭典'!$C:$C,0))="全部",INDEX('3.員工名單'!$H:$H,MATCH(A1422,'3.員工名單'!$A:$A,0))="兩款共用",INDEX('3.員工名單'!$H:$H,MATCH(A1422,'3.員工名單'!$A:$A,0))=INDEX('1.職能辭典'!$J:$J,MATCH(F1422,'1.職能辭典'!$C:$C,0))),OR(INDEX('1.職能辭典'!$K:$K,MATCH(F1422,'1.職能辭典'!$C:$C,0))="全部",SUMPRODUCT(ISNUMBER(SEARCH({"經營","管理","財務","企劃","營運","技術","數據","美術","測試","客服"},INDEX('3.員工名單'!$I:$I,MATCH(A1422,'3.員工名單'!$A:$A,0))))*ISNUMBER(SEARCH({"經營","管理","財務","企劃","營運","技術","數據","美術","測試","客服"},INDEX('1.職能辭典'!$K:$K,MATCH(F1422,'1.職能辭典'!$C:$C,0)))))&gt;0)),INDEX('2.職務職能需求'!$B$2:$F$28,MATCH(F1422,'2.職務職能需求'!$A$2:$A$28,0),MATCH(D1422,'2.職務職能需求'!$B$1:$F$1,0)),0),""))</f>
        <v/>
      </c>
      <c r="H1422" s="94" t="n"/>
      <c r="I1422" s="94" t="n"/>
      <c r="J1422" s="120">
        <f>IF(OR(G1422="",I1422="",G1422=0),"",I1422-G1422)</f>
        <v/>
      </c>
      <c r="K1422" s="120">
        <f>IF(G1422="","",IF(G1422=0,"不適用",IF(I1422="","待評核",IF(I1422&gt;=G1422,IF(I1422&gt;G1422,"超越","達標"),"待發展"))))</f>
        <v/>
      </c>
      <c r="L1422" s="91" t="n"/>
      <c r="M1422" s="91" t="n"/>
      <c r="N1422" s="88" t="n"/>
    </row>
    <row r="1423" ht="15.75" customHeight="1" s="64">
      <c r="A1423" s="88" t="n"/>
      <c r="B1423" s="120">
        <f t="array" ref="B1423:B1423">IF(A1423="","",IFERROR(INDEX('3.員工名單'!$B:$B,MATCH(A1423,'3.員工名單'!$A:$A,0)),"查無此員工"))</f>
        <v/>
      </c>
      <c r="C1423" s="120">
        <f t="array" ref="C1423:C1423">IF(A1423="","",IFERROR(INDEX('3.員工名單'!$C:$C,MATCH(A1423,'3.員工名單'!$A:$A,0)),""))</f>
        <v/>
      </c>
      <c r="D1423" s="120">
        <f t="array" ref="D1423:D1423">IF(A1423="","",IFERROR(INDEX('3.員工名單'!$D:$D,MATCH(A1423,'3.員工名單'!$A:$A,0)),""))</f>
        <v/>
      </c>
      <c r="E1423" s="120">
        <f t="array" ref="E1423:E1423">IF(F1423="","",IFERROR(INDEX('1.職能辭典'!$A:$A,MATCH(F1423,'1.職能辭典'!$C:$C,0)),""))</f>
        <v/>
      </c>
      <c r="F1423" s="94" t="n"/>
      <c r="G1423" s="120">
        <f t="array" ref="G1423:G1423">IF(OR(D1423="",F1423=""),"",IFERROR(IF(AND(OR(INDEX('1.職能辭典'!$J:$J,MATCH(F1423,'1.職能辭典'!$C:$C,0))="全部",INDEX('3.員工名單'!$H:$H,MATCH(A1423,'3.員工名單'!$A:$A,0))="兩款共用",INDEX('3.員工名單'!$H:$H,MATCH(A1423,'3.員工名單'!$A:$A,0))=INDEX('1.職能辭典'!$J:$J,MATCH(F1423,'1.職能辭典'!$C:$C,0))),OR(INDEX('1.職能辭典'!$K:$K,MATCH(F1423,'1.職能辭典'!$C:$C,0))="全部",SUMPRODUCT(ISNUMBER(SEARCH({"經營","管理","財務","企劃","營運","技術","數據","美術","測試","客服"},INDEX('3.員工名單'!$I:$I,MATCH(A1423,'3.員工名單'!$A:$A,0))))*ISNUMBER(SEARCH({"經營","管理","財務","企劃","營運","技術","數據","美術","測試","客服"},INDEX('1.職能辭典'!$K:$K,MATCH(F1423,'1.職能辭典'!$C:$C,0)))))&gt;0)),INDEX('2.職務職能需求'!$B$2:$F$28,MATCH(F1423,'2.職務職能需求'!$A$2:$A$28,0),MATCH(D1423,'2.職務職能需求'!$B$1:$F$1,0)),0),""))</f>
        <v/>
      </c>
      <c r="H1423" s="94" t="n"/>
      <c r="I1423" s="94" t="n"/>
      <c r="J1423" s="120">
        <f>IF(OR(G1423="",I1423="",G1423=0),"",I1423-G1423)</f>
        <v/>
      </c>
      <c r="K1423" s="120">
        <f>IF(G1423="","",IF(G1423=0,"不適用",IF(I1423="","待評核",IF(I1423&gt;=G1423,IF(I1423&gt;G1423,"超越","達標"),"待發展"))))</f>
        <v/>
      </c>
      <c r="L1423" s="91" t="n"/>
      <c r="M1423" s="91" t="n"/>
      <c r="N1423" s="88" t="n"/>
    </row>
    <row r="1424" ht="15.75" customHeight="1" s="64">
      <c r="A1424" s="88" t="n"/>
      <c r="B1424" s="120">
        <f t="array" ref="B1424:B1424">IF(A1424="","",IFERROR(INDEX('3.員工名單'!$B:$B,MATCH(A1424,'3.員工名單'!$A:$A,0)),"查無此員工"))</f>
        <v/>
      </c>
      <c r="C1424" s="120">
        <f t="array" ref="C1424:C1424">IF(A1424="","",IFERROR(INDEX('3.員工名單'!$C:$C,MATCH(A1424,'3.員工名單'!$A:$A,0)),""))</f>
        <v/>
      </c>
      <c r="D1424" s="120">
        <f t="array" ref="D1424:D1424">IF(A1424="","",IFERROR(INDEX('3.員工名單'!$D:$D,MATCH(A1424,'3.員工名單'!$A:$A,0)),""))</f>
        <v/>
      </c>
      <c r="E1424" s="120">
        <f t="array" ref="E1424:E1424">IF(F1424="","",IFERROR(INDEX('1.職能辭典'!$A:$A,MATCH(F1424,'1.職能辭典'!$C:$C,0)),""))</f>
        <v/>
      </c>
      <c r="F1424" s="94" t="n"/>
      <c r="G1424" s="120">
        <f t="array" ref="G1424:G1424">IF(OR(D1424="",F1424=""),"",IFERROR(IF(AND(OR(INDEX('1.職能辭典'!$J:$J,MATCH(F1424,'1.職能辭典'!$C:$C,0))="全部",INDEX('3.員工名單'!$H:$H,MATCH(A1424,'3.員工名單'!$A:$A,0))="兩款共用",INDEX('3.員工名單'!$H:$H,MATCH(A1424,'3.員工名單'!$A:$A,0))=INDEX('1.職能辭典'!$J:$J,MATCH(F1424,'1.職能辭典'!$C:$C,0))),OR(INDEX('1.職能辭典'!$K:$K,MATCH(F1424,'1.職能辭典'!$C:$C,0))="全部",SUMPRODUCT(ISNUMBER(SEARCH({"經營","管理","財務","企劃","營運","技術","數據","美術","測試","客服"},INDEX('3.員工名單'!$I:$I,MATCH(A1424,'3.員工名單'!$A:$A,0))))*ISNUMBER(SEARCH({"經營","管理","財務","企劃","營運","技術","數據","美術","測試","客服"},INDEX('1.職能辭典'!$K:$K,MATCH(F1424,'1.職能辭典'!$C:$C,0)))))&gt;0)),INDEX('2.職務職能需求'!$B$2:$F$28,MATCH(F1424,'2.職務職能需求'!$A$2:$A$28,0),MATCH(D1424,'2.職務職能需求'!$B$1:$F$1,0)),0),""))</f>
        <v/>
      </c>
      <c r="H1424" s="94" t="n"/>
      <c r="I1424" s="94" t="n"/>
      <c r="J1424" s="120">
        <f>IF(OR(G1424="",I1424="",G1424=0),"",I1424-G1424)</f>
        <v/>
      </c>
      <c r="K1424" s="120">
        <f>IF(G1424="","",IF(G1424=0,"不適用",IF(I1424="","待評核",IF(I1424&gt;=G1424,IF(I1424&gt;G1424,"超越","達標"),"待發展"))))</f>
        <v/>
      </c>
      <c r="L1424" s="91" t="n"/>
      <c r="M1424" s="91" t="n"/>
      <c r="N1424" s="88" t="n"/>
    </row>
    <row r="1425" ht="15.75" customHeight="1" s="64">
      <c r="A1425" s="88" t="n"/>
      <c r="B1425" s="120">
        <f t="array" ref="B1425:B1425">IF(A1425="","",IFERROR(INDEX('3.員工名單'!$B:$B,MATCH(A1425,'3.員工名單'!$A:$A,0)),"查無此員工"))</f>
        <v/>
      </c>
      <c r="C1425" s="120">
        <f t="array" ref="C1425:C1425">IF(A1425="","",IFERROR(INDEX('3.員工名單'!$C:$C,MATCH(A1425,'3.員工名單'!$A:$A,0)),""))</f>
        <v/>
      </c>
      <c r="D1425" s="120">
        <f t="array" ref="D1425:D1425">IF(A1425="","",IFERROR(INDEX('3.員工名單'!$D:$D,MATCH(A1425,'3.員工名單'!$A:$A,0)),""))</f>
        <v/>
      </c>
      <c r="E1425" s="120">
        <f t="array" ref="E1425:E1425">IF(F1425="","",IFERROR(INDEX('1.職能辭典'!$A:$A,MATCH(F1425,'1.職能辭典'!$C:$C,0)),""))</f>
        <v/>
      </c>
      <c r="F1425" s="94" t="n"/>
      <c r="G1425" s="120">
        <f t="array" ref="G1425:G1425">IF(OR(D1425="",F1425=""),"",IFERROR(IF(AND(OR(INDEX('1.職能辭典'!$J:$J,MATCH(F1425,'1.職能辭典'!$C:$C,0))="全部",INDEX('3.員工名單'!$H:$H,MATCH(A1425,'3.員工名單'!$A:$A,0))="兩款共用",INDEX('3.員工名單'!$H:$H,MATCH(A1425,'3.員工名單'!$A:$A,0))=INDEX('1.職能辭典'!$J:$J,MATCH(F1425,'1.職能辭典'!$C:$C,0))),OR(INDEX('1.職能辭典'!$K:$K,MATCH(F1425,'1.職能辭典'!$C:$C,0))="全部",SUMPRODUCT(ISNUMBER(SEARCH({"經營","管理","財務","企劃","營運","技術","數據","美術","測試","客服"},INDEX('3.員工名單'!$I:$I,MATCH(A1425,'3.員工名單'!$A:$A,0))))*ISNUMBER(SEARCH({"經營","管理","財務","企劃","營運","技術","數據","美術","測試","客服"},INDEX('1.職能辭典'!$K:$K,MATCH(F1425,'1.職能辭典'!$C:$C,0)))))&gt;0)),INDEX('2.職務職能需求'!$B$2:$F$28,MATCH(F1425,'2.職務職能需求'!$A$2:$A$28,0),MATCH(D1425,'2.職務職能需求'!$B$1:$F$1,0)),0),""))</f>
        <v/>
      </c>
      <c r="H1425" s="94" t="n"/>
      <c r="I1425" s="94" t="n"/>
      <c r="J1425" s="120">
        <f>IF(OR(G1425="",I1425="",G1425=0),"",I1425-G1425)</f>
        <v/>
      </c>
      <c r="K1425" s="120">
        <f>IF(G1425="","",IF(G1425=0,"不適用",IF(I1425="","待評核",IF(I1425&gt;=G1425,IF(I1425&gt;G1425,"超越","達標"),"待發展"))))</f>
        <v/>
      </c>
      <c r="L1425" s="91" t="n"/>
      <c r="M1425" s="91" t="n"/>
      <c r="N1425" s="88" t="n"/>
    </row>
    <row r="1426" ht="15.75" customHeight="1" s="64">
      <c r="A1426" s="88" t="n"/>
      <c r="B1426" s="120">
        <f t="array" ref="B1426:B1426">IF(A1426="","",IFERROR(INDEX('3.員工名單'!$B:$B,MATCH(A1426,'3.員工名單'!$A:$A,0)),"查無此員工"))</f>
        <v/>
      </c>
      <c r="C1426" s="120">
        <f t="array" ref="C1426:C1426">IF(A1426="","",IFERROR(INDEX('3.員工名單'!$C:$C,MATCH(A1426,'3.員工名單'!$A:$A,0)),""))</f>
        <v/>
      </c>
      <c r="D1426" s="120">
        <f t="array" ref="D1426:D1426">IF(A1426="","",IFERROR(INDEX('3.員工名單'!$D:$D,MATCH(A1426,'3.員工名單'!$A:$A,0)),""))</f>
        <v/>
      </c>
      <c r="E1426" s="120">
        <f t="array" ref="E1426:E1426">IF(F1426="","",IFERROR(INDEX('1.職能辭典'!$A:$A,MATCH(F1426,'1.職能辭典'!$C:$C,0)),""))</f>
        <v/>
      </c>
      <c r="F1426" s="94" t="n"/>
      <c r="G1426" s="120">
        <f t="array" ref="G1426:G1426">IF(OR(D1426="",F1426=""),"",IFERROR(IF(AND(OR(INDEX('1.職能辭典'!$J:$J,MATCH(F1426,'1.職能辭典'!$C:$C,0))="全部",INDEX('3.員工名單'!$H:$H,MATCH(A1426,'3.員工名單'!$A:$A,0))="兩款共用",INDEX('3.員工名單'!$H:$H,MATCH(A1426,'3.員工名單'!$A:$A,0))=INDEX('1.職能辭典'!$J:$J,MATCH(F1426,'1.職能辭典'!$C:$C,0))),OR(INDEX('1.職能辭典'!$K:$K,MATCH(F1426,'1.職能辭典'!$C:$C,0))="全部",SUMPRODUCT(ISNUMBER(SEARCH({"經營","管理","財務","企劃","營運","技術","數據","美術","測試","客服"},INDEX('3.員工名單'!$I:$I,MATCH(A1426,'3.員工名單'!$A:$A,0))))*ISNUMBER(SEARCH({"經營","管理","財務","企劃","營運","技術","數據","美術","測試","客服"},INDEX('1.職能辭典'!$K:$K,MATCH(F1426,'1.職能辭典'!$C:$C,0)))))&gt;0)),INDEX('2.職務職能需求'!$B$2:$F$28,MATCH(F1426,'2.職務職能需求'!$A$2:$A$28,0),MATCH(D1426,'2.職務職能需求'!$B$1:$F$1,0)),0),""))</f>
        <v/>
      </c>
      <c r="H1426" s="94" t="n"/>
      <c r="I1426" s="94" t="n"/>
      <c r="J1426" s="120">
        <f>IF(OR(G1426="",I1426="",G1426=0),"",I1426-G1426)</f>
        <v/>
      </c>
      <c r="K1426" s="120">
        <f>IF(G1426="","",IF(G1426=0,"不適用",IF(I1426="","待評核",IF(I1426&gt;=G1426,IF(I1426&gt;G1426,"超越","達標"),"待發展"))))</f>
        <v/>
      </c>
      <c r="L1426" s="91" t="n"/>
      <c r="M1426" s="91" t="n"/>
      <c r="N1426" s="88" t="n"/>
    </row>
    <row r="1427" ht="15.75" customHeight="1" s="64">
      <c r="A1427" s="88" t="n"/>
      <c r="B1427" s="120">
        <f t="array" ref="B1427:B1427">IF(A1427="","",IFERROR(INDEX('3.員工名單'!$B:$B,MATCH(A1427,'3.員工名單'!$A:$A,0)),"查無此員工"))</f>
        <v/>
      </c>
      <c r="C1427" s="120">
        <f t="array" ref="C1427:C1427">IF(A1427="","",IFERROR(INDEX('3.員工名單'!$C:$C,MATCH(A1427,'3.員工名單'!$A:$A,0)),""))</f>
        <v/>
      </c>
      <c r="D1427" s="120">
        <f t="array" ref="D1427:D1427">IF(A1427="","",IFERROR(INDEX('3.員工名單'!$D:$D,MATCH(A1427,'3.員工名單'!$A:$A,0)),""))</f>
        <v/>
      </c>
      <c r="E1427" s="120">
        <f t="array" ref="E1427:E1427">IF(F1427="","",IFERROR(INDEX('1.職能辭典'!$A:$A,MATCH(F1427,'1.職能辭典'!$C:$C,0)),""))</f>
        <v/>
      </c>
      <c r="F1427" s="94" t="n"/>
      <c r="G1427" s="120">
        <f t="array" ref="G1427:G1427">IF(OR(D1427="",F1427=""),"",IFERROR(IF(AND(OR(INDEX('1.職能辭典'!$J:$J,MATCH(F1427,'1.職能辭典'!$C:$C,0))="全部",INDEX('3.員工名單'!$H:$H,MATCH(A1427,'3.員工名單'!$A:$A,0))="兩款共用",INDEX('3.員工名單'!$H:$H,MATCH(A1427,'3.員工名單'!$A:$A,0))=INDEX('1.職能辭典'!$J:$J,MATCH(F1427,'1.職能辭典'!$C:$C,0))),OR(INDEX('1.職能辭典'!$K:$K,MATCH(F1427,'1.職能辭典'!$C:$C,0))="全部",SUMPRODUCT(ISNUMBER(SEARCH({"經營","管理","財務","企劃","營運","技術","數據","美術","測試","客服"},INDEX('3.員工名單'!$I:$I,MATCH(A1427,'3.員工名單'!$A:$A,0))))*ISNUMBER(SEARCH({"經營","管理","財務","企劃","營運","技術","數據","美術","測試","客服"},INDEX('1.職能辭典'!$K:$K,MATCH(F1427,'1.職能辭典'!$C:$C,0)))))&gt;0)),INDEX('2.職務職能需求'!$B$2:$F$28,MATCH(F1427,'2.職務職能需求'!$A$2:$A$28,0),MATCH(D1427,'2.職務職能需求'!$B$1:$F$1,0)),0),""))</f>
        <v/>
      </c>
      <c r="H1427" s="94" t="n"/>
      <c r="I1427" s="94" t="n"/>
      <c r="J1427" s="120">
        <f>IF(OR(G1427="",I1427="",G1427=0),"",I1427-G1427)</f>
        <v/>
      </c>
      <c r="K1427" s="120">
        <f>IF(G1427="","",IF(G1427=0,"不適用",IF(I1427="","待評核",IF(I1427&gt;=G1427,IF(I1427&gt;G1427,"超越","達標"),"待發展"))))</f>
        <v/>
      </c>
      <c r="L1427" s="91" t="n"/>
      <c r="M1427" s="91" t="n"/>
      <c r="N1427" s="88" t="n"/>
    </row>
    <row r="1428" ht="15.75" customHeight="1" s="64">
      <c r="A1428" s="88" t="n"/>
      <c r="B1428" s="120">
        <f t="array" ref="B1428:B1428">IF(A1428="","",IFERROR(INDEX('3.員工名單'!$B:$B,MATCH(A1428,'3.員工名單'!$A:$A,0)),"查無此員工"))</f>
        <v/>
      </c>
      <c r="C1428" s="120">
        <f t="array" ref="C1428:C1428">IF(A1428="","",IFERROR(INDEX('3.員工名單'!$C:$C,MATCH(A1428,'3.員工名單'!$A:$A,0)),""))</f>
        <v/>
      </c>
      <c r="D1428" s="120">
        <f t="array" ref="D1428:D1428">IF(A1428="","",IFERROR(INDEX('3.員工名單'!$D:$D,MATCH(A1428,'3.員工名單'!$A:$A,0)),""))</f>
        <v/>
      </c>
      <c r="E1428" s="120">
        <f t="array" ref="E1428:E1428">IF(F1428="","",IFERROR(INDEX('1.職能辭典'!$A:$A,MATCH(F1428,'1.職能辭典'!$C:$C,0)),""))</f>
        <v/>
      </c>
      <c r="F1428" s="94" t="n"/>
      <c r="G1428" s="120">
        <f t="array" ref="G1428:G1428">IF(OR(D1428="",F1428=""),"",IFERROR(IF(AND(OR(INDEX('1.職能辭典'!$J:$J,MATCH(F1428,'1.職能辭典'!$C:$C,0))="全部",INDEX('3.員工名單'!$H:$H,MATCH(A1428,'3.員工名單'!$A:$A,0))="兩款共用",INDEX('3.員工名單'!$H:$H,MATCH(A1428,'3.員工名單'!$A:$A,0))=INDEX('1.職能辭典'!$J:$J,MATCH(F1428,'1.職能辭典'!$C:$C,0))),OR(INDEX('1.職能辭典'!$K:$K,MATCH(F1428,'1.職能辭典'!$C:$C,0))="全部",SUMPRODUCT(ISNUMBER(SEARCH({"經營","管理","財務","企劃","營運","技術","數據","美術","測試","客服"},INDEX('3.員工名單'!$I:$I,MATCH(A1428,'3.員工名單'!$A:$A,0))))*ISNUMBER(SEARCH({"經營","管理","財務","企劃","營運","技術","數據","美術","測試","客服"},INDEX('1.職能辭典'!$K:$K,MATCH(F1428,'1.職能辭典'!$C:$C,0)))))&gt;0)),INDEX('2.職務職能需求'!$B$2:$F$28,MATCH(F1428,'2.職務職能需求'!$A$2:$A$28,0),MATCH(D1428,'2.職務職能需求'!$B$1:$F$1,0)),0),""))</f>
        <v/>
      </c>
      <c r="H1428" s="94" t="n"/>
      <c r="I1428" s="94" t="n"/>
      <c r="J1428" s="120">
        <f>IF(OR(G1428="",I1428="",G1428=0),"",I1428-G1428)</f>
        <v/>
      </c>
      <c r="K1428" s="120">
        <f>IF(G1428="","",IF(G1428=0,"不適用",IF(I1428="","待評核",IF(I1428&gt;=G1428,IF(I1428&gt;G1428,"超越","達標"),"待發展"))))</f>
        <v/>
      </c>
      <c r="L1428" s="91" t="n"/>
      <c r="M1428" s="91" t="n"/>
      <c r="N1428" s="88" t="n"/>
    </row>
    <row r="1429" ht="15.75" customHeight="1" s="64">
      <c r="A1429" s="88" t="n"/>
      <c r="B1429" s="120">
        <f t="array" ref="B1429:B1429">IF(A1429="","",IFERROR(INDEX('3.員工名單'!$B:$B,MATCH(A1429,'3.員工名單'!$A:$A,0)),"查無此員工"))</f>
        <v/>
      </c>
      <c r="C1429" s="120">
        <f t="array" ref="C1429:C1429">IF(A1429="","",IFERROR(INDEX('3.員工名單'!$C:$C,MATCH(A1429,'3.員工名單'!$A:$A,0)),""))</f>
        <v/>
      </c>
      <c r="D1429" s="120">
        <f t="array" ref="D1429:D1429">IF(A1429="","",IFERROR(INDEX('3.員工名單'!$D:$D,MATCH(A1429,'3.員工名單'!$A:$A,0)),""))</f>
        <v/>
      </c>
      <c r="E1429" s="120">
        <f t="array" ref="E1429:E1429">IF(F1429="","",IFERROR(INDEX('1.職能辭典'!$A:$A,MATCH(F1429,'1.職能辭典'!$C:$C,0)),""))</f>
        <v/>
      </c>
      <c r="F1429" s="94" t="n"/>
      <c r="G1429" s="120">
        <f t="array" ref="G1429:G1429">IF(OR(D1429="",F1429=""),"",IFERROR(IF(AND(OR(INDEX('1.職能辭典'!$J:$J,MATCH(F1429,'1.職能辭典'!$C:$C,0))="全部",INDEX('3.員工名單'!$H:$H,MATCH(A1429,'3.員工名單'!$A:$A,0))="兩款共用",INDEX('3.員工名單'!$H:$H,MATCH(A1429,'3.員工名單'!$A:$A,0))=INDEX('1.職能辭典'!$J:$J,MATCH(F1429,'1.職能辭典'!$C:$C,0))),OR(INDEX('1.職能辭典'!$K:$K,MATCH(F1429,'1.職能辭典'!$C:$C,0))="全部",SUMPRODUCT(ISNUMBER(SEARCH({"經營","管理","財務","企劃","營運","技術","數據","美術","測試","客服"},INDEX('3.員工名單'!$I:$I,MATCH(A1429,'3.員工名單'!$A:$A,0))))*ISNUMBER(SEARCH({"經營","管理","財務","企劃","營運","技術","數據","美術","測試","客服"},INDEX('1.職能辭典'!$K:$K,MATCH(F1429,'1.職能辭典'!$C:$C,0)))))&gt;0)),INDEX('2.職務職能需求'!$B$2:$F$28,MATCH(F1429,'2.職務職能需求'!$A$2:$A$28,0),MATCH(D1429,'2.職務職能需求'!$B$1:$F$1,0)),0),""))</f>
        <v/>
      </c>
      <c r="H1429" s="94" t="n"/>
      <c r="I1429" s="94" t="n"/>
      <c r="J1429" s="120">
        <f>IF(OR(G1429="",I1429="",G1429=0),"",I1429-G1429)</f>
        <v/>
      </c>
      <c r="K1429" s="120">
        <f>IF(G1429="","",IF(G1429=0,"不適用",IF(I1429="","待評核",IF(I1429&gt;=G1429,IF(I1429&gt;G1429,"超越","達標"),"待發展"))))</f>
        <v/>
      </c>
      <c r="L1429" s="91" t="n"/>
      <c r="M1429" s="91" t="n"/>
      <c r="N1429" s="88" t="n"/>
    </row>
    <row r="1430" ht="15.75" customHeight="1" s="64">
      <c r="A1430" s="88" t="n"/>
      <c r="B1430" s="120">
        <f t="array" ref="B1430:B1430">IF(A1430="","",IFERROR(INDEX('3.員工名單'!$B:$B,MATCH(A1430,'3.員工名單'!$A:$A,0)),"查無此員工"))</f>
        <v/>
      </c>
      <c r="C1430" s="120">
        <f t="array" ref="C1430:C1430">IF(A1430="","",IFERROR(INDEX('3.員工名單'!$C:$C,MATCH(A1430,'3.員工名單'!$A:$A,0)),""))</f>
        <v/>
      </c>
      <c r="D1430" s="120">
        <f t="array" ref="D1430:D1430">IF(A1430="","",IFERROR(INDEX('3.員工名單'!$D:$D,MATCH(A1430,'3.員工名單'!$A:$A,0)),""))</f>
        <v/>
      </c>
      <c r="E1430" s="120">
        <f t="array" ref="E1430:E1430">IF(F1430="","",IFERROR(INDEX('1.職能辭典'!$A:$A,MATCH(F1430,'1.職能辭典'!$C:$C,0)),""))</f>
        <v/>
      </c>
      <c r="F1430" s="94" t="n"/>
      <c r="G1430" s="120">
        <f t="array" ref="G1430:G1430">IF(OR(D1430="",F1430=""),"",IFERROR(IF(AND(OR(INDEX('1.職能辭典'!$J:$J,MATCH(F1430,'1.職能辭典'!$C:$C,0))="全部",INDEX('3.員工名單'!$H:$H,MATCH(A1430,'3.員工名單'!$A:$A,0))="兩款共用",INDEX('3.員工名單'!$H:$H,MATCH(A1430,'3.員工名單'!$A:$A,0))=INDEX('1.職能辭典'!$J:$J,MATCH(F1430,'1.職能辭典'!$C:$C,0))),OR(INDEX('1.職能辭典'!$K:$K,MATCH(F1430,'1.職能辭典'!$C:$C,0))="全部",SUMPRODUCT(ISNUMBER(SEARCH({"經營","管理","財務","企劃","營運","技術","數據","美術","測試","客服"},INDEX('3.員工名單'!$I:$I,MATCH(A1430,'3.員工名單'!$A:$A,0))))*ISNUMBER(SEARCH({"經營","管理","財務","企劃","營運","技術","數據","美術","測試","客服"},INDEX('1.職能辭典'!$K:$K,MATCH(F1430,'1.職能辭典'!$C:$C,0)))))&gt;0)),INDEX('2.職務職能需求'!$B$2:$F$28,MATCH(F1430,'2.職務職能需求'!$A$2:$A$28,0),MATCH(D1430,'2.職務職能需求'!$B$1:$F$1,0)),0),""))</f>
        <v/>
      </c>
      <c r="H1430" s="94" t="n"/>
      <c r="I1430" s="94" t="n"/>
      <c r="J1430" s="120">
        <f>IF(OR(G1430="",I1430="",G1430=0),"",I1430-G1430)</f>
        <v/>
      </c>
      <c r="K1430" s="120">
        <f>IF(G1430="","",IF(G1430=0,"不適用",IF(I1430="","待評核",IF(I1430&gt;=G1430,IF(I1430&gt;G1430,"超越","達標"),"待發展"))))</f>
        <v/>
      </c>
      <c r="L1430" s="91" t="n"/>
      <c r="M1430" s="91" t="n"/>
      <c r="N1430" s="88" t="n"/>
    </row>
    <row r="1431" ht="15.75" customHeight="1" s="64">
      <c r="A1431" s="88" t="n"/>
      <c r="B1431" s="120">
        <f t="array" ref="B1431:B1431">IF(A1431="","",IFERROR(INDEX('3.員工名單'!$B:$B,MATCH(A1431,'3.員工名單'!$A:$A,0)),"查無此員工"))</f>
        <v/>
      </c>
      <c r="C1431" s="120">
        <f t="array" ref="C1431:C1431">IF(A1431="","",IFERROR(INDEX('3.員工名單'!$C:$C,MATCH(A1431,'3.員工名單'!$A:$A,0)),""))</f>
        <v/>
      </c>
      <c r="D1431" s="120">
        <f t="array" ref="D1431:D1431">IF(A1431="","",IFERROR(INDEX('3.員工名單'!$D:$D,MATCH(A1431,'3.員工名單'!$A:$A,0)),""))</f>
        <v/>
      </c>
      <c r="E1431" s="120">
        <f t="array" ref="E1431:E1431">IF(F1431="","",IFERROR(INDEX('1.職能辭典'!$A:$A,MATCH(F1431,'1.職能辭典'!$C:$C,0)),""))</f>
        <v/>
      </c>
      <c r="F1431" s="94" t="n"/>
      <c r="G1431" s="120">
        <f t="array" ref="G1431:G1431">IF(OR(D1431="",F1431=""),"",IFERROR(IF(AND(OR(INDEX('1.職能辭典'!$J:$J,MATCH(F1431,'1.職能辭典'!$C:$C,0))="全部",INDEX('3.員工名單'!$H:$H,MATCH(A1431,'3.員工名單'!$A:$A,0))="兩款共用",INDEX('3.員工名單'!$H:$H,MATCH(A1431,'3.員工名單'!$A:$A,0))=INDEX('1.職能辭典'!$J:$J,MATCH(F1431,'1.職能辭典'!$C:$C,0))),OR(INDEX('1.職能辭典'!$K:$K,MATCH(F1431,'1.職能辭典'!$C:$C,0))="全部",SUMPRODUCT(ISNUMBER(SEARCH({"經營","管理","財務","企劃","營運","技術","數據","美術","測試","客服"},INDEX('3.員工名單'!$I:$I,MATCH(A1431,'3.員工名單'!$A:$A,0))))*ISNUMBER(SEARCH({"經營","管理","財務","企劃","營運","技術","數據","美術","測試","客服"},INDEX('1.職能辭典'!$K:$K,MATCH(F1431,'1.職能辭典'!$C:$C,0)))))&gt;0)),INDEX('2.職務職能需求'!$B$2:$F$28,MATCH(F1431,'2.職務職能需求'!$A$2:$A$28,0),MATCH(D1431,'2.職務職能需求'!$B$1:$F$1,0)),0),""))</f>
        <v/>
      </c>
      <c r="H1431" s="94" t="n"/>
      <c r="I1431" s="94" t="n"/>
      <c r="J1431" s="120">
        <f>IF(OR(G1431="",I1431="",G1431=0),"",I1431-G1431)</f>
        <v/>
      </c>
      <c r="K1431" s="120">
        <f>IF(G1431="","",IF(G1431=0,"不適用",IF(I1431="","待評核",IF(I1431&gt;=G1431,IF(I1431&gt;G1431,"超越","達標"),"待發展"))))</f>
        <v/>
      </c>
      <c r="L1431" s="91" t="n"/>
      <c r="M1431" s="91" t="n"/>
      <c r="N1431" s="88" t="n"/>
    </row>
    <row r="1432" ht="15.75" customHeight="1" s="64">
      <c r="A1432" s="88" t="n"/>
      <c r="B1432" s="120">
        <f t="array" ref="B1432:B1432">IF(A1432="","",IFERROR(INDEX('3.員工名單'!$B:$B,MATCH(A1432,'3.員工名單'!$A:$A,0)),"查無此員工"))</f>
        <v/>
      </c>
      <c r="C1432" s="120">
        <f t="array" ref="C1432:C1432">IF(A1432="","",IFERROR(INDEX('3.員工名單'!$C:$C,MATCH(A1432,'3.員工名單'!$A:$A,0)),""))</f>
        <v/>
      </c>
      <c r="D1432" s="120">
        <f t="array" ref="D1432:D1432">IF(A1432="","",IFERROR(INDEX('3.員工名單'!$D:$D,MATCH(A1432,'3.員工名單'!$A:$A,0)),""))</f>
        <v/>
      </c>
      <c r="E1432" s="120">
        <f t="array" ref="E1432:E1432">IF(F1432="","",IFERROR(INDEX('1.職能辭典'!$A:$A,MATCH(F1432,'1.職能辭典'!$C:$C,0)),""))</f>
        <v/>
      </c>
      <c r="F1432" s="94" t="n"/>
      <c r="G1432" s="120">
        <f t="array" ref="G1432:G1432">IF(OR(D1432="",F1432=""),"",IFERROR(IF(AND(OR(INDEX('1.職能辭典'!$J:$J,MATCH(F1432,'1.職能辭典'!$C:$C,0))="全部",INDEX('3.員工名單'!$H:$H,MATCH(A1432,'3.員工名單'!$A:$A,0))="兩款共用",INDEX('3.員工名單'!$H:$H,MATCH(A1432,'3.員工名單'!$A:$A,0))=INDEX('1.職能辭典'!$J:$J,MATCH(F1432,'1.職能辭典'!$C:$C,0))),OR(INDEX('1.職能辭典'!$K:$K,MATCH(F1432,'1.職能辭典'!$C:$C,0))="全部",SUMPRODUCT(ISNUMBER(SEARCH({"經營","管理","財務","企劃","營運","技術","數據","美術","測試","客服"},INDEX('3.員工名單'!$I:$I,MATCH(A1432,'3.員工名單'!$A:$A,0))))*ISNUMBER(SEARCH({"經營","管理","財務","企劃","營運","技術","數據","美術","測試","客服"},INDEX('1.職能辭典'!$K:$K,MATCH(F1432,'1.職能辭典'!$C:$C,0)))))&gt;0)),INDEX('2.職務職能需求'!$B$2:$F$28,MATCH(F1432,'2.職務職能需求'!$A$2:$A$28,0),MATCH(D1432,'2.職務職能需求'!$B$1:$F$1,0)),0),""))</f>
        <v/>
      </c>
      <c r="H1432" s="94" t="n"/>
      <c r="I1432" s="94" t="n"/>
      <c r="J1432" s="120">
        <f>IF(OR(G1432="",I1432="",G1432=0),"",I1432-G1432)</f>
        <v/>
      </c>
      <c r="K1432" s="120">
        <f>IF(G1432="","",IF(G1432=0,"不適用",IF(I1432="","待評核",IF(I1432&gt;=G1432,IF(I1432&gt;G1432,"超越","達標"),"待發展"))))</f>
        <v/>
      </c>
      <c r="L1432" s="91" t="n"/>
      <c r="M1432" s="91" t="n"/>
      <c r="N1432" s="88" t="n"/>
    </row>
    <row r="1433" ht="15.75" customHeight="1" s="64">
      <c r="A1433" s="88" t="n"/>
      <c r="B1433" s="120">
        <f t="array" ref="B1433:B1433">IF(A1433="","",IFERROR(INDEX('3.員工名單'!$B:$B,MATCH(A1433,'3.員工名單'!$A:$A,0)),"查無此員工"))</f>
        <v/>
      </c>
      <c r="C1433" s="120">
        <f t="array" ref="C1433:C1433">IF(A1433="","",IFERROR(INDEX('3.員工名單'!$C:$C,MATCH(A1433,'3.員工名單'!$A:$A,0)),""))</f>
        <v/>
      </c>
      <c r="D1433" s="120">
        <f t="array" ref="D1433:D1433">IF(A1433="","",IFERROR(INDEX('3.員工名單'!$D:$D,MATCH(A1433,'3.員工名單'!$A:$A,0)),""))</f>
        <v/>
      </c>
      <c r="E1433" s="120">
        <f t="array" ref="E1433:E1433">IF(F1433="","",IFERROR(INDEX('1.職能辭典'!$A:$A,MATCH(F1433,'1.職能辭典'!$C:$C,0)),""))</f>
        <v/>
      </c>
      <c r="F1433" s="94" t="n"/>
      <c r="G1433" s="120">
        <f t="array" ref="G1433:G1433">IF(OR(D1433="",F1433=""),"",IFERROR(IF(AND(OR(INDEX('1.職能辭典'!$J:$J,MATCH(F1433,'1.職能辭典'!$C:$C,0))="全部",INDEX('3.員工名單'!$H:$H,MATCH(A1433,'3.員工名單'!$A:$A,0))="兩款共用",INDEX('3.員工名單'!$H:$H,MATCH(A1433,'3.員工名單'!$A:$A,0))=INDEX('1.職能辭典'!$J:$J,MATCH(F1433,'1.職能辭典'!$C:$C,0))),OR(INDEX('1.職能辭典'!$K:$K,MATCH(F1433,'1.職能辭典'!$C:$C,0))="全部",SUMPRODUCT(ISNUMBER(SEARCH({"經營","管理","財務","企劃","營運","技術","數據","美術","測試","客服"},INDEX('3.員工名單'!$I:$I,MATCH(A1433,'3.員工名單'!$A:$A,0))))*ISNUMBER(SEARCH({"經營","管理","財務","企劃","營運","技術","數據","美術","測試","客服"},INDEX('1.職能辭典'!$K:$K,MATCH(F1433,'1.職能辭典'!$C:$C,0)))))&gt;0)),INDEX('2.職務職能需求'!$B$2:$F$28,MATCH(F1433,'2.職務職能需求'!$A$2:$A$28,0),MATCH(D1433,'2.職務職能需求'!$B$1:$F$1,0)),0),""))</f>
        <v/>
      </c>
      <c r="H1433" s="94" t="n"/>
      <c r="I1433" s="94" t="n"/>
      <c r="J1433" s="120">
        <f>IF(OR(G1433="",I1433="",G1433=0),"",I1433-G1433)</f>
        <v/>
      </c>
      <c r="K1433" s="120">
        <f>IF(G1433="","",IF(G1433=0,"不適用",IF(I1433="","待評核",IF(I1433&gt;=G1433,IF(I1433&gt;G1433,"超越","達標"),"待發展"))))</f>
        <v/>
      </c>
      <c r="L1433" s="91" t="n"/>
      <c r="M1433" s="91" t="n"/>
      <c r="N1433" s="88" t="n"/>
    </row>
    <row r="1434" ht="15.75" customHeight="1" s="64">
      <c r="A1434" s="88" t="n"/>
      <c r="B1434" s="120">
        <f t="array" ref="B1434:B1434">IF(A1434="","",IFERROR(INDEX('3.員工名單'!$B:$B,MATCH(A1434,'3.員工名單'!$A:$A,0)),"查無此員工"))</f>
        <v/>
      </c>
      <c r="C1434" s="120">
        <f t="array" ref="C1434:C1434">IF(A1434="","",IFERROR(INDEX('3.員工名單'!$C:$C,MATCH(A1434,'3.員工名單'!$A:$A,0)),""))</f>
        <v/>
      </c>
      <c r="D1434" s="120">
        <f t="array" ref="D1434:D1434">IF(A1434="","",IFERROR(INDEX('3.員工名單'!$D:$D,MATCH(A1434,'3.員工名單'!$A:$A,0)),""))</f>
        <v/>
      </c>
      <c r="E1434" s="120">
        <f t="array" ref="E1434:E1434">IF(F1434="","",IFERROR(INDEX('1.職能辭典'!$A:$A,MATCH(F1434,'1.職能辭典'!$C:$C,0)),""))</f>
        <v/>
      </c>
      <c r="F1434" s="94" t="n"/>
      <c r="G1434" s="120">
        <f t="array" ref="G1434:G1434">IF(OR(D1434="",F1434=""),"",IFERROR(IF(AND(OR(INDEX('1.職能辭典'!$J:$J,MATCH(F1434,'1.職能辭典'!$C:$C,0))="全部",INDEX('3.員工名單'!$H:$H,MATCH(A1434,'3.員工名單'!$A:$A,0))="兩款共用",INDEX('3.員工名單'!$H:$H,MATCH(A1434,'3.員工名單'!$A:$A,0))=INDEX('1.職能辭典'!$J:$J,MATCH(F1434,'1.職能辭典'!$C:$C,0))),OR(INDEX('1.職能辭典'!$K:$K,MATCH(F1434,'1.職能辭典'!$C:$C,0))="全部",SUMPRODUCT(ISNUMBER(SEARCH({"經營","管理","財務","企劃","營運","技術","數據","美術","測試","客服"},INDEX('3.員工名單'!$I:$I,MATCH(A1434,'3.員工名單'!$A:$A,0))))*ISNUMBER(SEARCH({"經營","管理","財務","企劃","營運","技術","數據","美術","測試","客服"},INDEX('1.職能辭典'!$K:$K,MATCH(F1434,'1.職能辭典'!$C:$C,0)))))&gt;0)),INDEX('2.職務職能需求'!$B$2:$F$28,MATCH(F1434,'2.職務職能需求'!$A$2:$A$28,0),MATCH(D1434,'2.職務職能需求'!$B$1:$F$1,0)),0),""))</f>
        <v/>
      </c>
      <c r="H1434" s="94" t="n"/>
      <c r="I1434" s="94" t="n"/>
      <c r="J1434" s="120">
        <f>IF(OR(G1434="",I1434="",G1434=0),"",I1434-G1434)</f>
        <v/>
      </c>
      <c r="K1434" s="120">
        <f>IF(G1434="","",IF(G1434=0,"不適用",IF(I1434="","待評核",IF(I1434&gt;=G1434,IF(I1434&gt;G1434,"超越","達標"),"待發展"))))</f>
        <v/>
      </c>
      <c r="L1434" s="91" t="n"/>
      <c r="M1434" s="91" t="n"/>
      <c r="N1434" s="88" t="n"/>
    </row>
    <row r="1435" ht="15.75" customHeight="1" s="64">
      <c r="A1435" s="88" t="n"/>
      <c r="B1435" s="120">
        <f t="array" ref="B1435:B1435">IF(A1435="","",IFERROR(INDEX('3.員工名單'!$B:$B,MATCH(A1435,'3.員工名單'!$A:$A,0)),"查無此員工"))</f>
        <v/>
      </c>
      <c r="C1435" s="120">
        <f t="array" ref="C1435:C1435">IF(A1435="","",IFERROR(INDEX('3.員工名單'!$C:$C,MATCH(A1435,'3.員工名單'!$A:$A,0)),""))</f>
        <v/>
      </c>
      <c r="D1435" s="120">
        <f t="array" ref="D1435:D1435">IF(A1435="","",IFERROR(INDEX('3.員工名單'!$D:$D,MATCH(A1435,'3.員工名單'!$A:$A,0)),""))</f>
        <v/>
      </c>
      <c r="E1435" s="120">
        <f t="array" ref="E1435:E1435">IF(F1435="","",IFERROR(INDEX('1.職能辭典'!$A:$A,MATCH(F1435,'1.職能辭典'!$C:$C,0)),""))</f>
        <v/>
      </c>
      <c r="F1435" s="94" t="n"/>
      <c r="G1435" s="120">
        <f t="array" ref="G1435:G1435">IF(OR(D1435="",F1435=""),"",IFERROR(IF(AND(OR(INDEX('1.職能辭典'!$J:$J,MATCH(F1435,'1.職能辭典'!$C:$C,0))="全部",INDEX('3.員工名單'!$H:$H,MATCH(A1435,'3.員工名單'!$A:$A,0))="兩款共用",INDEX('3.員工名單'!$H:$H,MATCH(A1435,'3.員工名單'!$A:$A,0))=INDEX('1.職能辭典'!$J:$J,MATCH(F1435,'1.職能辭典'!$C:$C,0))),OR(INDEX('1.職能辭典'!$K:$K,MATCH(F1435,'1.職能辭典'!$C:$C,0))="全部",SUMPRODUCT(ISNUMBER(SEARCH({"經營","管理","財務","企劃","營運","技術","數據","美術","測試","客服"},INDEX('3.員工名單'!$I:$I,MATCH(A1435,'3.員工名單'!$A:$A,0))))*ISNUMBER(SEARCH({"經營","管理","財務","企劃","營運","技術","數據","美術","測試","客服"},INDEX('1.職能辭典'!$K:$K,MATCH(F1435,'1.職能辭典'!$C:$C,0)))))&gt;0)),INDEX('2.職務職能需求'!$B$2:$F$28,MATCH(F1435,'2.職務職能需求'!$A$2:$A$28,0),MATCH(D1435,'2.職務職能需求'!$B$1:$F$1,0)),0),""))</f>
        <v/>
      </c>
      <c r="H1435" s="94" t="n"/>
      <c r="I1435" s="94" t="n"/>
      <c r="J1435" s="120">
        <f>IF(OR(G1435="",I1435="",G1435=0),"",I1435-G1435)</f>
        <v/>
      </c>
      <c r="K1435" s="120">
        <f>IF(G1435="","",IF(G1435=0,"不適用",IF(I1435="","待評核",IF(I1435&gt;=G1435,IF(I1435&gt;G1435,"超越","達標"),"待發展"))))</f>
        <v/>
      </c>
      <c r="L1435" s="91" t="n"/>
      <c r="M1435" s="91" t="n"/>
      <c r="N1435" s="88" t="n"/>
    </row>
    <row r="1436" ht="15.75" customHeight="1" s="64">
      <c r="A1436" s="88" t="n"/>
      <c r="B1436" s="120">
        <f t="array" ref="B1436:B1436">IF(A1436="","",IFERROR(INDEX('3.員工名單'!$B:$B,MATCH(A1436,'3.員工名單'!$A:$A,0)),"查無此員工"))</f>
        <v/>
      </c>
      <c r="C1436" s="120">
        <f t="array" ref="C1436:C1436">IF(A1436="","",IFERROR(INDEX('3.員工名單'!$C:$C,MATCH(A1436,'3.員工名單'!$A:$A,0)),""))</f>
        <v/>
      </c>
      <c r="D1436" s="120">
        <f t="array" ref="D1436:D1436">IF(A1436="","",IFERROR(INDEX('3.員工名單'!$D:$D,MATCH(A1436,'3.員工名單'!$A:$A,0)),""))</f>
        <v/>
      </c>
      <c r="E1436" s="120">
        <f t="array" ref="E1436:E1436">IF(F1436="","",IFERROR(INDEX('1.職能辭典'!$A:$A,MATCH(F1436,'1.職能辭典'!$C:$C,0)),""))</f>
        <v/>
      </c>
      <c r="F1436" s="94" t="n"/>
      <c r="G1436" s="120">
        <f t="array" ref="G1436:G1436">IF(OR(D1436="",F1436=""),"",IFERROR(IF(AND(OR(INDEX('1.職能辭典'!$J:$J,MATCH(F1436,'1.職能辭典'!$C:$C,0))="全部",INDEX('3.員工名單'!$H:$H,MATCH(A1436,'3.員工名單'!$A:$A,0))="兩款共用",INDEX('3.員工名單'!$H:$H,MATCH(A1436,'3.員工名單'!$A:$A,0))=INDEX('1.職能辭典'!$J:$J,MATCH(F1436,'1.職能辭典'!$C:$C,0))),OR(INDEX('1.職能辭典'!$K:$K,MATCH(F1436,'1.職能辭典'!$C:$C,0))="全部",SUMPRODUCT(ISNUMBER(SEARCH({"經營","管理","財務","企劃","營運","技術","數據","美術","測試","客服"},INDEX('3.員工名單'!$I:$I,MATCH(A1436,'3.員工名單'!$A:$A,0))))*ISNUMBER(SEARCH({"經營","管理","財務","企劃","營運","技術","數據","美術","測試","客服"},INDEX('1.職能辭典'!$K:$K,MATCH(F1436,'1.職能辭典'!$C:$C,0)))))&gt;0)),INDEX('2.職務職能需求'!$B$2:$F$28,MATCH(F1436,'2.職務職能需求'!$A$2:$A$28,0),MATCH(D1436,'2.職務職能需求'!$B$1:$F$1,0)),0),""))</f>
        <v/>
      </c>
      <c r="H1436" s="94" t="n"/>
      <c r="I1436" s="94" t="n"/>
      <c r="J1436" s="120">
        <f>IF(OR(G1436="",I1436="",G1436=0),"",I1436-G1436)</f>
        <v/>
      </c>
      <c r="K1436" s="120">
        <f>IF(G1436="","",IF(G1436=0,"不適用",IF(I1436="","待評核",IF(I1436&gt;=G1436,IF(I1436&gt;G1436,"超越","達標"),"待發展"))))</f>
        <v/>
      </c>
      <c r="L1436" s="91" t="n"/>
      <c r="M1436" s="91" t="n"/>
      <c r="N1436" s="88" t="n"/>
    </row>
    <row r="1437" ht="15.75" customHeight="1" s="64">
      <c r="A1437" s="88" t="n"/>
      <c r="B1437" s="120">
        <f t="array" ref="B1437:B1437">IF(A1437="","",IFERROR(INDEX('3.員工名單'!$B:$B,MATCH(A1437,'3.員工名單'!$A:$A,0)),"查無此員工"))</f>
        <v/>
      </c>
      <c r="C1437" s="120">
        <f t="array" ref="C1437:C1437">IF(A1437="","",IFERROR(INDEX('3.員工名單'!$C:$C,MATCH(A1437,'3.員工名單'!$A:$A,0)),""))</f>
        <v/>
      </c>
      <c r="D1437" s="120">
        <f t="array" ref="D1437:D1437">IF(A1437="","",IFERROR(INDEX('3.員工名單'!$D:$D,MATCH(A1437,'3.員工名單'!$A:$A,0)),""))</f>
        <v/>
      </c>
      <c r="E1437" s="120">
        <f t="array" ref="E1437:E1437">IF(F1437="","",IFERROR(INDEX('1.職能辭典'!$A:$A,MATCH(F1437,'1.職能辭典'!$C:$C,0)),""))</f>
        <v/>
      </c>
      <c r="F1437" s="94" t="n"/>
      <c r="G1437" s="120">
        <f t="array" ref="G1437:G1437">IF(OR(D1437="",F1437=""),"",IFERROR(IF(AND(OR(INDEX('1.職能辭典'!$J:$J,MATCH(F1437,'1.職能辭典'!$C:$C,0))="全部",INDEX('3.員工名單'!$H:$H,MATCH(A1437,'3.員工名單'!$A:$A,0))="兩款共用",INDEX('3.員工名單'!$H:$H,MATCH(A1437,'3.員工名單'!$A:$A,0))=INDEX('1.職能辭典'!$J:$J,MATCH(F1437,'1.職能辭典'!$C:$C,0))),OR(INDEX('1.職能辭典'!$K:$K,MATCH(F1437,'1.職能辭典'!$C:$C,0))="全部",SUMPRODUCT(ISNUMBER(SEARCH({"經營","管理","財務","企劃","營運","技術","數據","美術","測試","客服"},INDEX('3.員工名單'!$I:$I,MATCH(A1437,'3.員工名單'!$A:$A,0))))*ISNUMBER(SEARCH({"經營","管理","財務","企劃","營運","技術","數據","美術","測試","客服"},INDEX('1.職能辭典'!$K:$K,MATCH(F1437,'1.職能辭典'!$C:$C,0)))))&gt;0)),INDEX('2.職務職能需求'!$B$2:$F$28,MATCH(F1437,'2.職務職能需求'!$A$2:$A$28,0),MATCH(D1437,'2.職務職能需求'!$B$1:$F$1,0)),0),""))</f>
        <v/>
      </c>
      <c r="H1437" s="94" t="n"/>
      <c r="I1437" s="94" t="n"/>
      <c r="J1437" s="120">
        <f>IF(OR(G1437="",I1437="",G1437=0),"",I1437-G1437)</f>
        <v/>
      </c>
      <c r="K1437" s="120">
        <f>IF(G1437="","",IF(G1437=0,"不適用",IF(I1437="","待評核",IF(I1437&gt;=G1437,IF(I1437&gt;G1437,"超越","達標"),"待發展"))))</f>
        <v/>
      </c>
      <c r="L1437" s="91" t="n"/>
      <c r="M1437" s="91" t="n"/>
      <c r="N1437" s="88" t="n"/>
    </row>
    <row r="1438" ht="15.75" customHeight="1" s="64">
      <c r="A1438" s="88" t="n"/>
      <c r="B1438" s="120">
        <f t="array" ref="B1438:B1438">IF(A1438="","",IFERROR(INDEX('3.員工名單'!$B:$B,MATCH(A1438,'3.員工名單'!$A:$A,0)),"查無此員工"))</f>
        <v/>
      </c>
      <c r="C1438" s="120">
        <f t="array" ref="C1438:C1438">IF(A1438="","",IFERROR(INDEX('3.員工名單'!$C:$C,MATCH(A1438,'3.員工名單'!$A:$A,0)),""))</f>
        <v/>
      </c>
      <c r="D1438" s="120">
        <f t="array" ref="D1438:D1438">IF(A1438="","",IFERROR(INDEX('3.員工名單'!$D:$D,MATCH(A1438,'3.員工名單'!$A:$A,0)),""))</f>
        <v/>
      </c>
      <c r="E1438" s="120">
        <f t="array" ref="E1438:E1438">IF(F1438="","",IFERROR(INDEX('1.職能辭典'!$A:$A,MATCH(F1438,'1.職能辭典'!$C:$C,0)),""))</f>
        <v/>
      </c>
      <c r="F1438" s="94" t="n"/>
      <c r="G1438" s="120">
        <f t="array" ref="G1438:G1438">IF(OR(D1438="",F1438=""),"",IFERROR(IF(AND(OR(INDEX('1.職能辭典'!$J:$J,MATCH(F1438,'1.職能辭典'!$C:$C,0))="全部",INDEX('3.員工名單'!$H:$H,MATCH(A1438,'3.員工名單'!$A:$A,0))="兩款共用",INDEX('3.員工名單'!$H:$H,MATCH(A1438,'3.員工名單'!$A:$A,0))=INDEX('1.職能辭典'!$J:$J,MATCH(F1438,'1.職能辭典'!$C:$C,0))),OR(INDEX('1.職能辭典'!$K:$K,MATCH(F1438,'1.職能辭典'!$C:$C,0))="全部",SUMPRODUCT(ISNUMBER(SEARCH({"經營","管理","財務","企劃","營運","技術","數據","美術","測試","客服"},INDEX('3.員工名單'!$I:$I,MATCH(A1438,'3.員工名單'!$A:$A,0))))*ISNUMBER(SEARCH({"經營","管理","財務","企劃","營運","技術","數據","美術","測試","客服"},INDEX('1.職能辭典'!$K:$K,MATCH(F1438,'1.職能辭典'!$C:$C,0)))))&gt;0)),INDEX('2.職務職能需求'!$B$2:$F$28,MATCH(F1438,'2.職務職能需求'!$A$2:$A$28,0),MATCH(D1438,'2.職務職能需求'!$B$1:$F$1,0)),0),""))</f>
        <v/>
      </c>
      <c r="H1438" s="94" t="n"/>
      <c r="I1438" s="94" t="n"/>
      <c r="J1438" s="120">
        <f>IF(OR(G1438="",I1438="",G1438=0),"",I1438-G1438)</f>
        <v/>
      </c>
      <c r="K1438" s="120">
        <f>IF(G1438="","",IF(G1438=0,"不適用",IF(I1438="","待評核",IF(I1438&gt;=G1438,IF(I1438&gt;G1438,"超越","達標"),"待發展"))))</f>
        <v/>
      </c>
      <c r="L1438" s="91" t="n"/>
      <c r="M1438" s="91" t="n"/>
      <c r="N1438" s="88" t="n"/>
    </row>
    <row r="1439" ht="15.75" customHeight="1" s="64">
      <c r="A1439" s="88" t="n"/>
      <c r="B1439" s="120">
        <f t="array" ref="B1439:B1439">IF(A1439="","",IFERROR(INDEX('3.員工名單'!$B:$B,MATCH(A1439,'3.員工名單'!$A:$A,0)),"查無此員工"))</f>
        <v/>
      </c>
      <c r="C1439" s="120">
        <f t="array" ref="C1439:C1439">IF(A1439="","",IFERROR(INDEX('3.員工名單'!$C:$C,MATCH(A1439,'3.員工名單'!$A:$A,0)),""))</f>
        <v/>
      </c>
      <c r="D1439" s="120">
        <f t="array" ref="D1439:D1439">IF(A1439="","",IFERROR(INDEX('3.員工名單'!$D:$D,MATCH(A1439,'3.員工名單'!$A:$A,0)),""))</f>
        <v/>
      </c>
      <c r="E1439" s="120">
        <f t="array" ref="E1439:E1439">IF(F1439="","",IFERROR(INDEX('1.職能辭典'!$A:$A,MATCH(F1439,'1.職能辭典'!$C:$C,0)),""))</f>
        <v/>
      </c>
      <c r="F1439" s="94" t="n"/>
      <c r="G1439" s="120">
        <f t="array" ref="G1439:G1439">IF(OR(D1439="",F1439=""),"",IFERROR(IF(AND(OR(INDEX('1.職能辭典'!$J:$J,MATCH(F1439,'1.職能辭典'!$C:$C,0))="全部",INDEX('3.員工名單'!$H:$H,MATCH(A1439,'3.員工名單'!$A:$A,0))="兩款共用",INDEX('3.員工名單'!$H:$H,MATCH(A1439,'3.員工名單'!$A:$A,0))=INDEX('1.職能辭典'!$J:$J,MATCH(F1439,'1.職能辭典'!$C:$C,0))),OR(INDEX('1.職能辭典'!$K:$K,MATCH(F1439,'1.職能辭典'!$C:$C,0))="全部",SUMPRODUCT(ISNUMBER(SEARCH({"經營","管理","財務","企劃","營運","技術","數據","美術","測試","客服"},INDEX('3.員工名單'!$I:$I,MATCH(A1439,'3.員工名單'!$A:$A,0))))*ISNUMBER(SEARCH({"經營","管理","財務","企劃","營運","技術","數據","美術","測試","客服"},INDEX('1.職能辭典'!$K:$K,MATCH(F1439,'1.職能辭典'!$C:$C,0)))))&gt;0)),INDEX('2.職務職能需求'!$B$2:$F$28,MATCH(F1439,'2.職務職能需求'!$A$2:$A$28,0),MATCH(D1439,'2.職務職能需求'!$B$1:$F$1,0)),0),""))</f>
        <v/>
      </c>
      <c r="H1439" s="94" t="n"/>
      <c r="I1439" s="94" t="n"/>
      <c r="J1439" s="120">
        <f>IF(OR(G1439="",I1439="",G1439=0),"",I1439-G1439)</f>
        <v/>
      </c>
      <c r="K1439" s="120">
        <f>IF(G1439="","",IF(G1439=0,"不適用",IF(I1439="","待評核",IF(I1439&gt;=G1439,IF(I1439&gt;G1439,"超越","達標"),"待發展"))))</f>
        <v/>
      </c>
      <c r="L1439" s="91" t="n"/>
      <c r="M1439" s="91" t="n"/>
      <c r="N1439" s="88" t="n"/>
    </row>
    <row r="1440" ht="15.75" customHeight="1" s="64">
      <c r="A1440" s="88" t="n"/>
      <c r="B1440" s="120">
        <f t="array" ref="B1440:B1440">IF(A1440="","",IFERROR(INDEX('3.員工名單'!$B:$B,MATCH(A1440,'3.員工名單'!$A:$A,0)),"查無此員工"))</f>
        <v/>
      </c>
      <c r="C1440" s="120">
        <f t="array" ref="C1440:C1440">IF(A1440="","",IFERROR(INDEX('3.員工名單'!$C:$C,MATCH(A1440,'3.員工名單'!$A:$A,0)),""))</f>
        <v/>
      </c>
      <c r="D1440" s="120">
        <f t="array" ref="D1440:D1440">IF(A1440="","",IFERROR(INDEX('3.員工名單'!$D:$D,MATCH(A1440,'3.員工名單'!$A:$A,0)),""))</f>
        <v/>
      </c>
      <c r="E1440" s="120">
        <f t="array" ref="E1440:E1440">IF(F1440="","",IFERROR(INDEX('1.職能辭典'!$A:$A,MATCH(F1440,'1.職能辭典'!$C:$C,0)),""))</f>
        <v/>
      </c>
      <c r="F1440" s="94" t="n"/>
      <c r="G1440" s="120">
        <f t="array" ref="G1440:G1440">IF(OR(D1440="",F1440=""),"",IFERROR(IF(AND(OR(INDEX('1.職能辭典'!$J:$J,MATCH(F1440,'1.職能辭典'!$C:$C,0))="全部",INDEX('3.員工名單'!$H:$H,MATCH(A1440,'3.員工名單'!$A:$A,0))="兩款共用",INDEX('3.員工名單'!$H:$H,MATCH(A1440,'3.員工名單'!$A:$A,0))=INDEX('1.職能辭典'!$J:$J,MATCH(F1440,'1.職能辭典'!$C:$C,0))),OR(INDEX('1.職能辭典'!$K:$K,MATCH(F1440,'1.職能辭典'!$C:$C,0))="全部",SUMPRODUCT(ISNUMBER(SEARCH({"經營","管理","財務","企劃","營運","技術","數據","美術","測試","客服"},INDEX('3.員工名單'!$I:$I,MATCH(A1440,'3.員工名單'!$A:$A,0))))*ISNUMBER(SEARCH({"經營","管理","財務","企劃","營運","技術","數據","美術","測試","客服"},INDEX('1.職能辭典'!$K:$K,MATCH(F1440,'1.職能辭典'!$C:$C,0)))))&gt;0)),INDEX('2.職務職能需求'!$B$2:$F$28,MATCH(F1440,'2.職務職能需求'!$A$2:$A$28,0),MATCH(D1440,'2.職務職能需求'!$B$1:$F$1,0)),0),""))</f>
        <v/>
      </c>
      <c r="H1440" s="94" t="n"/>
      <c r="I1440" s="94" t="n"/>
      <c r="J1440" s="120">
        <f>IF(OR(G1440="",I1440="",G1440=0),"",I1440-G1440)</f>
        <v/>
      </c>
      <c r="K1440" s="120">
        <f>IF(G1440="","",IF(G1440=0,"不適用",IF(I1440="","待評核",IF(I1440&gt;=G1440,IF(I1440&gt;G1440,"超越","達標"),"待發展"))))</f>
        <v/>
      </c>
      <c r="L1440" s="91" t="n"/>
      <c r="M1440" s="91" t="n"/>
      <c r="N1440" s="88" t="n"/>
    </row>
    <row r="1441" ht="15.75" customHeight="1" s="64">
      <c r="A1441" s="88" t="n"/>
      <c r="B1441" s="120">
        <f t="array" ref="B1441:B1441">IF(A1441="","",IFERROR(INDEX('3.員工名單'!$B:$B,MATCH(A1441,'3.員工名單'!$A:$A,0)),"查無此員工"))</f>
        <v/>
      </c>
      <c r="C1441" s="120">
        <f t="array" ref="C1441:C1441">IF(A1441="","",IFERROR(INDEX('3.員工名單'!$C:$C,MATCH(A1441,'3.員工名單'!$A:$A,0)),""))</f>
        <v/>
      </c>
      <c r="D1441" s="120">
        <f t="array" ref="D1441:D1441">IF(A1441="","",IFERROR(INDEX('3.員工名單'!$D:$D,MATCH(A1441,'3.員工名單'!$A:$A,0)),""))</f>
        <v/>
      </c>
      <c r="E1441" s="120">
        <f t="array" ref="E1441:E1441">IF(F1441="","",IFERROR(INDEX('1.職能辭典'!$A:$A,MATCH(F1441,'1.職能辭典'!$C:$C,0)),""))</f>
        <v/>
      </c>
      <c r="F1441" s="94" t="n"/>
      <c r="G1441" s="120">
        <f t="array" ref="G1441:G1441">IF(OR(D1441="",F1441=""),"",IFERROR(IF(AND(OR(INDEX('1.職能辭典'!$J:$J,MATCH(F1441,'1.職能辭典'!$C:$C,0))="全部",INDEX('3.員工名單'!$H:$H,MATCH(A1441,'3.員工名單'!$A:$A,0))="兩款共用",INDEX('3.員工名單'!$H:$H,MATCH(A1441,'3.員工名單'!$A:$A,0))=INDEX('1.職能辭典'!$J:$J,MATCH(F1441,'1.職能辭典'!$C:$C,0))),OR(INDEX('1.職能辭典'!$K:$K,MATCH(F1441,'1.職能辭典'!$C:$C,0))="全部",SUMPRODUCT(ISNUMBER(SEARCH({"經營","管理","財務","企劃","營運","技術","數據","美術","測試","客服"},INDEX('3.員工名單'!$I:$I,MATCH(A1441,'3.員工名單'!$A:$A,0))))*ISNUMBER(SEARCH({"經營","管理","財務","企劃","營運","技術","數據","美術","測試","客服"},INDEX('1.職能辭典'!$K:$K,MATCH(F1441,'1.職能辭典'!$C:$C,0)))))&gt;0)),INDEX('2.職務職能需求'!$B$2:$F$28,MATCH(F1441,'2.職務職能需求'!$A$2:$A$28,0),MATCH(D1441,'2.職務職能需求'!$B$1:$F$1,0)),0),""))</f>
        <v/>
      </c>
      <c r="H1441" s="94" t="n"/>
      <c r="I1441" s="94" t="n"/>
      <c r="J1441" s="120">
        <f>IF(OR(G1441="",I1441="",G1441=0),"",I1441-G1441)</f>
        <v/>
      </c>
      <c r="K1441" s="120">
        <f>IF(G1441="","",IF(G1441=0,"不適用",IF(I1441="","待評核",IF(I1441&gt;=G1441,IF(I1441&gt;G1441,"超越","達標"),"待發展"))))</f>
        <v/>
      </c>
      <c r="L1441" s="91" t="n"/>
      <c r="M1441" s="91" t="n"/>
      <c r="N1441" s="88" t="n"/>
    </row>
    <row r="1442" ht="15.75" customHeight="1" s="64">
      <c r="A1442" s="88" t="n"/>
      <c r="B1442" s="120">
        <f t="array" ref="B1442:B1442">IF(A1442="","",IFERROR(INDEX('3.員工名單'!$B:$B,MATCH(A1442,'3.員工名單'!$A:$A,0)),"查無此員工"))</f>
        <v/>
      </c>
      <c r="C1442" s="120">
        <f t="array" ref="C1442:C1442">IF(A1442="","",IFERROR(INDEX('3.員工名單'!$C:$C,MATCH(A1442,'3.員工名單'!$A:$A,0)),""))</f>
        <v/>
      </c>
      <c r="D1442" s="120">
        <f t="array" ref="D1442:D1442">IF(A1442="","",IFERROR(INDEX('3.員工名單'!$D:$D,MATCH(A1442,'3.員工名單'!$A:$A,0)),""))</f>
        <v/>
      </c>
      <c r="E1442" s="120">
        <f t="array" ref="E1442:E1442">IF(F1442="","",IFERROR(INDEX('1.職能辭典'!$A:$A,MATCH(F1442,'1.職能辭典'!$C:$C,0)),""))</f>
        <v/>
      </c>
      <c r="F1442" s="94" t="n"/>
      <c r="G1442" s="120">
        <f t="array" ref="G1442:G1442">IF(OR(D1442="",F1442=""),"",IFERROR(IF(AND(OR(INDEX('1.職能辭典'!$J:$J,MATCH(F1442,'1.職能辭典'!$C:$C,0))="全部",INDEX('3.員工名單'!$H:$H,MATCH(A1442,'3.員工名單'!$A:$A,0))="兩款共用",INDEX('3.員工名單'!$H:$H,MATCH(A1442,'3.員工名單'!$A:$A,0))=INDEX('1.職能辭典'!$J:$J,MATCH(F1442,'1.職能辭典'!$C:$C,0))),OR(INDEX('1.職能辭典'!$K:$K,MATCH(F1442,'1.職能辭典'!$C:$C,0))="全部",SUMPRODUCT(ISNUMBER(SEARCH({"經營","管理","財務","企劃","營運","技術","數據","美術","測試","客服"},INDEX('3.員工名單'!$I:$I,MATCH(A1442,'3.員工名單'!$A:$A,0))))*ISNUMBER(SEARCH({"經營","管理","財務","企劃","營運","技術","數據","美術","測試","客服"},INDEX('1.職能辭典'!$K:$K,MATCH(F1442,'1.職能辭典'!$C:$C,0)))))&gt;0)),INDEX('2.職務職能需求'!$B$2:$F$28,MATCH(F1442,'2.職務職能需求'!$A$2:$A$28,0),MATCH(D1442,'2.職務職能需求'!$B$1:$F$1,0)),0),""))</f>
        <v/>
      </c>
      <c r="H1442" s="94" t="n"/>
      <c r="I1442" s="94" t="n"/>
      <c r="J1442" s="120">
        <f>IF(OR(G1442="",I1442="",G1442=0),"",I1442-G1442)</f>
        <v/>
      </c>
      <c r="K1442" s="120">
        <f>IF(G1442="","",IF(G1442=0,"不適用",IF(I1442="","待評核",IF(I1442&gt;=G1442,IF(I1442&gt;G1442,"超越","達標"),"待發展"))))</f>
        <v/>
      </c>
      <c r="L1442" s="91" t="n"/>
      <c r="M1442" s="91" t="n"/>
      <c r="N1442" s="88" t="n"/>
    </row>
    <row r="1443" ht="15.75" customHeight="1" s="64">
      <c r="A1443" s="88" t="n"/>
      <c r="B1443" s="120">
        <f t="array" ref="B1443:B1443">IF(A1443="","",IFERROR(INDEX('3.員工名單'!$B:$B,MATCH(A1443,'3.員工名單'!$A:$A,0)),"查無此員工"))</f>
        <v/>
      </c>
      <c r="C1443" s="120">
        <f t="array" ref="C1443:C1443">IF(A1443="","",IFERROR(INDEX('3.員工名單'!$C:$C,MATCH(A1443,'3.員工名單'!$A:$A,0)),""))</f>
        <v/>
      </c>
      <c r="D1443" s="120">
        <f t="array" ref="D1443:D1443">IF(A1443="","",IFERROR(INDEX('3.員工名單'!$D:$D,MATCH(A1443,'3.員工名單'!$A:$A,0)),""))</f>
        <v/>
      </c>
      <c r="E1443" s="120">
        <f t="array" ref="E1443:E1443">IF(F1443="","",IFERROR(INDEX('1.職能辭典'!$A:$A,MATCH(F1443,'1.職能辭典'!$C:$C,0)),""))</f>
        <v/>
      </c>
      <c r="F1443" s="94" t="n"/>
      <c r="G1443" s="120">
        <f t="array" ref="G1443:G1443">IF(OR(D1443="",F1443=""),"",IFERROR(IF(AND(OR(INDEX('1.職能辭典'!$J:$J,MATCH(F1443,'1.職能辭典'!$C:$C,0))="全部",INDEX('3.員工名單'!$H:$H,MATCH(A1443,'3.員工名單'!$A:$A,0))="兩款共用",INDEX('3.員工名單'!$H:$H,MATCH(A1443,'3.員工名單'!$A:$A,0))=INDEX('1.職能辭典'!$J:$J,MATCH(F1443,'1.職能辭典'!$C:$C,0))),OR(INDEX('1.職能辭典'!$K:$K,MATCH(F1443,'1.職能辭典'!$C:$C,0))="全部",SUMPRODUCT(ISNUMBER(SEARCH({"經營","管理","財務","企劃","營運","技術","數據","美術","測試","客服"},INDEX('3.員工名單'!$I:$I,MATCH(A1443,'3.員工名單'!$A:$A,0))))*ISNUMBER(SEARCH({"經營","管理","財務","企劃","營運","技術","數據","美術","測試","客服"},INDEX('1.職能辭典'!$K:$K,MATCH(F1443,'1.職能辭典'!$C:$C,0)))))&gt;0)),INDEX('2.職務職能需求'!$B$2:$F$28,MATCH(F1443,'2.職務職能需求'!$A$2:$A$28,0),MATCH(D1443,'2.職務職能需求'!$B$1:$F$1,0)),0),""))</f>
        <v/>
      </c>
      <c r="H1443" s="94" t="n"/>
      <c r="I1443" s="94" t="n"/>
      <c r="J1443" s="120">
        <f>IF(OR(G1443="",I1443="",G1443=0),"",I1443-G1443)</f>
        <v/>
      </c>
      <c r="K1443" s="120">
        <f>IF(G1443="","",IF(G1443=0,"不適用",IF(I1443="","待評核",IF(I1443&gt;=G1443,IF(I1443&gt;G1443,"超越","達標"),"待發展"))))</f>
        <v/>
      </c>
      <c r="L1443" s="91" t="n"/>
      <c r="M1443" s="91" t="n"/>
      <c r="N1443" s="88" t="n"/>
    </row>
    <row r="1444" ht="15.75" customHeight="1" s="64">
      <c r="A1444" s="88" t="n"/>
      <c r="B1444" s="120">
        <f t="array" ref="B1444:B1444">IF(A1444="","",IFERROR(INDEX('3.員工名單'!$B:$B,MATCH(A1444,'3.員工名單'!$A:$A,0)),"查無此員工"))</f>
        <v/>
      </c>
      <c r="C1444" s="120">
        <f t="array" ref="C1444:C1444">IF(A1444="","",IFERROR(INDEX('3.員工名單'!$C:$C,MATCH(A1444,'3.員工名單'!$A:$A,0)),""))</f>
        <v/>
      </c>
      <c r="D1444" s="120">
        <f t="array" ref="D1444:D1444">IF(A1444="","",IFERROR(INDEX('3.員工名單'!$D:$D,MATCH(A1444,'3.員工名單'!$A:$A,0)),""))</f>
        <v/>
      </c>
      <c r="E1444" s="120">
        <f t="array" ref="E1444:E1444">IF(F1444="","",IFERROR(INDEX('1.職能辭典'!$A:$A,MATCH(F1444,'1.職能辭典'!$C:$C,0)),""))</f>
        <v/>
      </c>
      <c r="F1444" s="94" t="n"/>
      <c r="G1444" s="120">
        <f t="array" ref="G1444:G1444">IF(OR(D1444="",F1444=""),"",IFERROR(IF(AND(OR(INDEX('1.職能辭典'!$J:$J,MATCH(F1444,'1.職能辭典'!$C:$C,0))="全部",INDEX('3.員工名單'!$H:$H,MATCH(A1444,'3.員工名單'!$A:$A,0))="兩款共用",INDEX('3.員工名單'!$H:$H,MATCH(A1444,'3.員工名單'!$A:$A,0))=INDEX('1.職能辭典'!$J:$J,MATCH(F1444,'1.職能辭典'!$C:$C,0))),OR(INDEX('1.職能辭典'!$K:$K,MATCH(F1444,'1.職能辭典'!$C:$C,0))="全部",SUMPRODUCT(ISNUMBER(SEARCH({"經營","管理","財務","企劃","營運","技術","數據","美術","測試","客服"},INDEX('3.員工名單'!$I:$I,MATCH(A1444,'3.員工名單'!$A:$A,0))))*ISNUMBER(SEARCH({"經營","管理","財務","企劃","營運","技術","數據","美術","測試","客服"},INDEX('1.職能辭典'!$K:$K,MATCH(F1444,'1.職能辭典'!$C:$C,0)))))&gt;0)),INDEX('2.職務職能需求'!$B$2:$F$28,MATCH(F1444,'2.職務職能需求'!$A$2:$A$28,0),MATCH(D1444,'2.職務職能需求'!$B$1:$F$1,0)),0),""))</f>
        <v/>
      </c>
      <c r="H1444" s="94" t="n"/>
      <c r="I1444" s="94" t="n"/>
      <c r="J1444" s="120">
        <f>IF(OR(G1444="",I1444="",G1444=0),"",I1444-G1444)</f>
        <v/>
      </c>
      <c r="K1444" s="120">
        <f>IF(G1444="","",IF(G1444=0,"不適用",IF(I1444="","待評核",IF(I1444&gt;=G1444,IF(I1444&gt;G1444,"超越","達標"),"待發展"))))</f>
        <v/>
      </c>
      <c r="L1444" s="91" t="n"/>
      <c r="M1444" s="91" t="n"/>
      <c r="N1444" s="88" t="n"/>
    </row>
    <row r="1445" ht="15.75" customHeight="1" s="64">
      <c r="A1445" s="88" t="n"/>
      <c r="B1445" s="120">
        <f t="array" ref="B1445:B1445">IF(A1445="","",IFERROR(INDEX('3.員工名單'!$B:$B,MATCH(A1445,'3.員工名單'!$A:$A,0)),"查無此員工"))</f>
        <v/>
      </c>
      <c r="C1445" s="120">
        <f t="array" ref="C1445:C1445">IF(A1445="","",IFERROR(INDEX('3.員工名單'!$C:$C,MATCH(A1445,'3.員工名單'!$A:$A,0)),""))</f>
        <v/>
      </c>
      <c r="D1445" s="120">
        <f t="array" ref="D1445:D1445">IF(A1445="","",IFERROR(INDEX('3.員工名單'!$D:$D,MATCH(A1445,'3.員工名單'!$A:$A,0)),""))</f>
        <v/>
      </c>
      <c r="E1445" s="120">
        <f t="array" ref="E1445:E1445">IF(F1445="","",IFERROR(INDEX('1.職能辭典'!$A:$A,MATCH(F1445,'1.職能辭典'!$C:$C,0)),""))</f>
        <v/>
      </c>
      <c r="F1445" s="94" t="n"/>
      <c r="G1445" s="120">
        <f t="array" ref="G1445:G1445">IF(OR(D1445="",F1445=""),"",IFERROR(IF(AND(OR(INDEX('1.職能辭典'!$J:$J,MATCH(F1445,'1.職能辭典'!$C:$C,0))="全部",INDEX('3.員工名單'!$H:$H,MATCH(A1445,'3.員工名單'!$A:$A,0))="兩款共用",INDEX('3.員工名單'!$H:$H,MATCH(A1445,'3.員工名單'!$A:$A,0))=INDEX('1.職能辭典'!$J:$J,MATCH(F1445,'1.職能辭典'!$C:$C,0))),OR(INDEX('1.職能辭典'!$K:$K,MATCH(F1445,'1.職能辭典'!$C:$C,0))="全部",SUMPRODUCT(ISNUMBER(SEARCH({"經營","管理","財務","企劃","營運","技術","數據","美術","測試","客服"},INDEX('3.員工名單'!$I:$I,MATCH(A1445,'3.員工名單'!$A:$A,0))))*ISNUMBER(SEARCH({"經營","管理","財務","企劃","營運","技術","數據","美術","測試","客服"},INDEX('1.職能辭典'!$K:$K,MATCH(F1445,'1.職能辭典'!$C:$C,0)))))&gt;0)),INDEX('2.職務職能需求'!$B$2:$F$28,MATCH(F1445,'2.職務職能需求'!$A$2:$A$28,0),MATCH(D1445,'2.職務職能需求'!$B$1:$F$1,0)),0),""))</f>
        <v/>
      </c>
      <c r="H1445" s="94" t="n"/>
      <c r="I1445" s="94" t="n"/>
      <c r="J1445" s="120">
        <f>IF(OR(G1445="",I1445="",G1445=0),"",I1445-G1445)</f>
        <v/>
      </c>
      <c r="K1445" s="120">
        <f>IF(G1445="","",IF(G1445=0,"不適用",IF(I1445="","待評核",IF(I1445&gt;=G1445,IF(I1445&gt;G1445,"超越","達標"),"待發展"))))</f>
        <v/>
      </c>
      <c r="L1445" s="91" t="n"/>
      <c r="M1445" s="91" t="n"/>
      <c r="N1445" s="88" t="n"/>
    </row>
    <row r="1446" ht="15.75" customHeight="1" s="64">
      <c r="A1446" s="88" t="n"/>
      <c r="B1446" s="120">
        <f t="array" ref="B1446:B1446">IF(A1446="","",IFERROR(INDEX('3.員工名單'!$B:$B,MATCH(A1446,'3.員工名單'!$A:$A,0)),"查無此員工"))</f>
        <v/>
      </c>
      <c r="C1446" s="120">
        <f t="array" ref="C1446:C1446">IF(A1446="","",IFERROR(INDEX('3.員工名單'!$C:$C,MATCH(A1446,'3.員工名單'!$A:$A,0)),""))</f>
        <v/>
      </c>
      <c r="D1446" s="120">
        <f t="array" ref="D1446:D1446">IF(A1446="","",IFERROR(INDEX('3.員工名單'!$D:$D,MATCH(A1446,'3.員工名單'!$A:$A,0)),""))</f>
        <v/>
      </c>
      <c r="E1446" s="120">
        <f t="array" ref="E1446:E1446">IF(F1446="","",IFERROR(INDEX('1.職能辭典'!$A:$A,MATCH(F1446,'1.職能辭典'!$C:$C,0)),""))</f>
        <v/>
      </c>
      <c r="F1446" s="94" t="n"/>
      <c r="G1446" s="120">
        <f t="array" ref="G1446:G1446">IF(OR(D1446="",F1446=""),"",IFERROR(IF(AND(OR(INDEX('1.職能辭典'!$J:$J,MATCH(F1446,'1.職能辭典'!$C:$C,0))="全部",INDEX('3.員工名單'!$H:$H,MATCH(A1446,'3.員工名單'!$A:$A,0))="兩款共用",INDEX('3.員工名單'!$H:$H,MATCH(A1446,'3.員工名單'!$A:$A,0))=INDEX('1.職能辭典'!$J:$J,MATCH(F1446,'1.職能辭典'!$C:$C,0))),OR(INDEX('1.職能辭典'!$K:$K,MATCH(F1446,'1.職能辭典'!$C:$C,0))="全部",SUMPRODUCT(ISNUMBER(SEARCH({"經營","管理","財務","企劃","營運","技術","數據","美術","測試","客服"},INDEX('3.員工名單'!$I:$I,MATCH(A1446,'3.員工名單'!$A:$A,0))))*ISNUMBER(SEARCH({"經營","管理","財務","企劃","營運","技術","數據","美術","測試","客服"},INDEX('1.職能辭典'!$K:$K,MATCH(F1446,'1.職能辭典'!$C:$C,0)))))&gt;0)),INDEX('2.職務職能需求'!$B$2:$F$28,MATCH(F1446,'2.職務職能需求'!$A$2:$A$28,0),MATCH(D1446,'2.職務職能需求'!$B$1:$F$1,0)),0),""))</f>
        <v/>
      </c>
      <c r="H1446" s="94" t="n"/>
      <c r="I1446" s="94" t="n"/>
      <c r="J1446" s="120">
        <f>IF(OR(G1446="",I1446="",G1446=0),"",I1446-G1446)</f>
        <v/>
      </c>
      <c r="K1446" s="120">
        <f>IF(G1446="","",IF(G1446=0,"不適用",IF(I1446="","待評核",IF(I1446&gt;=G1446,IF(I1446&gt;G1446,"超越","達標"),"待發展"))))</f>
        <v/>
      </c>
      <c r="L1446" s="91" t="n"/>
      <c r="M1446" s="91" t="n"/>
      <c r="N1446" s="88" t="n"/>
    </row>
    <row r="1447" ht="15.75" customHeight="1" s="64">
      <c r="A1447" s="88" t="n"/>
      <c r="B1447" s="120">
        <f t="array" ref="B1447:B1447">IF(A1447="","",IFERROR(INDEX('3.員工名單'!$B:$B,MATCH(A1447,'3.員工名單'!$A:$A,0)),"查無此員工"))</f>
        <v/>
      </c>
      <c r="C1447" s="120">
        <f t="array" ref="C1447:C1447">IF(A1447="","",IFERROR(INDEX('3.員工名單'!$C:$C,MATCH(A1447,'3.員工名單'!$A:$A,0)),""))</f>
        <v/>
      </c>
      <c r="D1447" s="120">
        <f t="array" ref="D1447:D1447">IF(A1447="","",IFERROR(INDEX('3.員工名單'!$D:$D,MATCH(A1447,'3.員工名單'!$A:$A,0)),""))</f>
        <v/>
      </c>
      <c r="E1447" s="120">
        <f t="array" ref="E1447:E1447">IF(F1447="","",IFERROR(INDEX('1.職能辭典'!$A:$A,MATCH(F1447,'1.職能辭典'!$C:$C,0)),""))</f>
        <v/>
      </c>
      <c r="F1447" s="94" t="n"/>
      <c r="G1447" s="120">
        <f t="array" ref="G1447:G1447">IF(OR(D1447="",F1447=""),"",IFERROR(IF(AND(OR(INDEX('1.職能辭典'!$J:$J,MATCH(F1447,'1.職能辭典'!$C:$C,0))="全部",INDEX('3.員工名單'!$H:$H,MATCH(A1447,'3.員工名單'!$A:$A,0))="兩款共用",INDEX('3.員工名單'!$H:$H,MATCH(A1447,'3.員工名單'!$A:$A,0))=INDEX('1.職能辭典'!$J:$J,MATCH(F1447,'1.職能辭典'!$C:$C,0))),OR(INDEX('1.職能辭典'!$K:$K,MATCH(F1447,'1.職能辭典'!$C:$C,0))="全部",SUMPRODUCT(ISNUMBER(SEARCH({"經營","管理","財務","企劃","營運","技術","數據","美術","測試","客服"},INDEX('3.員工名單'!$I:$I,MATCH(A1447,'3.員工名單'!$A:$A,0))))*ISNUMBER(SEARCH({"經營","管理","財務","企劃","營運","技術","數據","美術","測試","客服"},INDEX('1.職能辭典'!$K:$K,MATCH(F1447,'1.職能辭典'!$C:$C,0)))))&gt;0)),INDEX('2.職務職能需求'!$B$2:$F$28,MATCH(F1447,'2.職務職能需求'!$A$2:$A$28,0),MATCH(D1447,'2.職務職能需求'!$B$1:$F$1,0)),0),""))</f>
        <v/>
      </c>
      <c r="H1447" s="94" t="n"/>
      <c r="I1447" s="94" t="n"/>
      <c r="J1447" s="120">
        <f>IF(OR(G1447="",I1447="",G1447=0),"",I1447-G1447)</f>
        <v/>
      </c>
      <c r="K1447" s="120">
        <f>IF(G1447="","",IF(G1447=0,"不適用",IF(I1447="","待評核",IF(I1447&gt;=G1447,IF(I1447&gt;G1447,"超越","達標"),"待發展"))))</f>
        <v/>
      </c>
      <c r="L1447" s="91" t="n"/>
      <c r="M1447" s="91" t="n"/>
      <c r="N1447" s="88" t="n"/>
    </row>
    <row r="1448" ht="15.75" customHeight="1" s="64">
      <c r="A1448" s="88" t="n"/>
      <c r="B1448" s="120">
        <f t="array" ref="B1448:B1448">IF(A1448="","",IFERROR(INDEX('3.員工名單'!$B:$B,MATCH(A1448,'3.員工名單'!$A:$A,0)),"查無此員工"))</f>
        <v/>
      </c>
      <c r="C1448" s="120">
        <f t="array" ref="C1448:C1448">IF(A1448="","",IFERROR(INDEX('3.員工名單'!$C:$C,MATCH(A1448,'3.員工名單'!$A:$A,0)),""))</f>
        <v/>
      </c>
      <c r="D1448" s="120">
        <f t="array" ref="D1448:D1448">IF(A1448="","",IFERROR(INDEX('3.員工名單'!$D:$D,MATCH(A1448,'3.員工名單'!$A:$A,0)),""))</f>
        <v/>
      </c>
      <c r="E1448" s="120">
        <f t="array" ref="E1448:E1448">IF(F1448="","",IFERROR(INDEX('1.職能辭典'!$A:$A,MATCH(F1448,'1.職能辭典'!$C:$C,0)),""))</f>
        <v/>
      </c>
      <c r="F1448" s="94" t="n"/>
      <c r="G1448" s="120">
        <f t="array" ref="G1448:G1448">IF(OR(D1448="",F1448=""),"",IFERROR(IF(AND(OR(INDEX('1.職能辭典'!$J:$J,MATCH(F1448,'1.職能辭典'!$C:$C,0))="全部",INDEX('3.員工名單'!$H:$H,MATCH(A1448,'3.員工名單'!$A:$A,0))="兩款共用",INDEX('3.員工名單'!$H:$H,MATCH(A1448,'3.員工名單'!$A:$A,0))=INDEX('1.職能辭典'!$J:$J,MATCH(F1448,'1.職能辭典'!$C:$C,0))),OR(INDEX('1.職能辭典'!$K:$K,MATCH(F1448,'1.職能辭典'!$C:$C,0))="全部",SUMPRODUCT(ISNUMBER(SEARCH({"經營","管理","財務","企劃","營運","技術","數據","美術","測試","客服"},INDEX('3.員工名單'!$I:$I,MATCH(A1448,'3.員工名單'!$A:$A,0))))*ISNUMBER(SEARCH({"經營","管理","財務","企劃","營運","技術","數據","美術","測試","客服"},INDEX('1.職能辭典'!$K:$K,MATCH(F1448,'1.職能辭典'!$C:$C,0)))))&gt;0)),INDEX('2.職務職能需求'!$B$2:$F$28,MATCH(F1448,'2.職務職能需求'!$A$2:$A$28,0),MATCH(D1448,'2.職務職能需求'!$B$1:$F$1,0)),0),""))</f>
        <v/>
      </c>
      <c r="H1448" s="94" t="n"/>
      <c r="I1448" s="94" t="n"/>
      <c r="J1448" s="120">
        <f>IF(OR(G1448="",I1448="",G1448=0),"",I1448-G1448)</f>
        <v/>
      </c>
      <c r="K1448" s="120">
        <f>IF(G1448="","",IF(G1448=0,"不適用",IF(I1448="","待評核",IF(I1448&gt;=G1448,IF(I1448&gt;G1448,"超越","達標"),"待發展"))))</f>
        <v/>
      </c>
      <c r="L1448" s="91" t="n"/>
      <c r="M1448" s="91" t="n"/>
      <c r="N1448" s="88" t="n"/>
    </row>
    <row r="1449" ht="15.75" customHeight="1" s="64">
      <c r="A1449" s="88" t="n"/>
      <c r="B1449" s="120">
        <f t="array" ref="B1449:B1449">IF(A1449="","",IFERROR(INDEX('3.員工名單'!$B:$B,MATCH(A1449,'3.員工名單'!$A:$A,0)),"查無此員工"))</f>
        <v/>
      </c>
      <c r="C1449" s="120">
        <f t="array" ref="C1449:C1449">IF(A1449="","",IFERROR(INDEX('3.員工名單'!$C:$C,MATCH(A1449,'3.員工名單'!$A:$A,0)),""))</f>
        <v/>
      </c>
      <c r="D1449" s="120">
        <f t="array" ref="D1449:D1449">IF(A1449="","",IFERROR(INDEX('3.員工名單'!$D:$D,MATCH(A1449,'3.員工名單'!$A:$A,0)),""))</f>
        <v/>
      </c>
      <c r="E1449" s="120">
        <f t="array" ref="E1449:E1449">IF(F1449="","",IFERROR(INDEX('1.職能辭典'!$A:$A,MATCH(F1449,'1.職能辭典'!$C:$C,0)),""))</f>
        <v/>
      </c>
      <c r="F1449" s="94" t="n"/>
      <c r="G1449" s="120">
        <f t="array" ref="G1449:G1449">IF(OR(D1449="",F1449=""),"",IFERROR(IF(AND(OR(INDEX('1.職能辭典'!$J:$J,MATCH(F1449,'1.職能辭典'!$C:$C,0))="全部",INDEX('3.員工名單'!$H:$H,MATCH(A1449,'3.員工名單'!$A:$A,0))="兩款共用",INDEX('3.員工名單'!$H:$H,MATCH(A1449,'3.員工名單'!$A:$A,0))=INDEX('1.職能辭典'!$J:$J,MATCH(F1449,'1.職能辭典'!$C:$C,0))),OR(INDEX('1.職能辭典'!$K:$K,MATCH(F1449,'1.職能辭典'!$C:$C,0))="全部",SUMPRODUCT(ISNUMBER(SEARCH({"經營","管理","財務","企劃","營運","技術","數據","美術","測試","客服"},INDEX('3.員工名單'!$I:$I,MATCH(A1449,'3.員工名單'!$A:$A,0))))*ISNUMBER(SEARCH({"經營","管理","財務","企劃","營運","技術","數據","美術","測試","客服"},INDEX('1.職能辭典'!$K:$K,MATCH(F1449,'1.職能辭典'!$C:$C,0)))))&gt;0)),INDEX('2.職務職能需求'!$B$2:$F$28,MATCH(F1449,'2.職務職能需求'!$A$2:$A$28,0),MATCH(D1449,'2.職務職能需求'!$B$1:$F$1,0)),0),""))</f>
        <v/>
      </c>
      <c r="H1449" s="94" t="n"/>
      <c r="I1449" s="94" t="n"/>
      <c r="J1449" s="120">
        <f>IF(OR(G1449="",I1449="",G1449=0),"",I1449-G1449)</f>
        <v/>
      </c>
      <c r="K1449" s="120">
        <f>IF(G1449="","",IF(G1449=0,"不適用",IF(I1449="","待評核",IF(I1449&gt;=G1449,IF(I1449&gt;G1449,"超越","達標"),"待發展"))))</f>
        <v/>
      </c>
      <c r="L1449" s="91" t="n"/>
      <c r="M1449" s="91" t="n"/>
      <c r="N1449" s="88" t="n"/>
    </row>
    <row r="1450" ht="15.75" customHeight="1" s="64">
      <c r="A1450" s="88" t="n"/>
      <c r="B1450" s="120">
        <f t="array" ref="B1450:B1450">IF(A1450="","",IFERROR(INDEX('3.員工名單'!$B:$B,MATCH(A1450,'3.員工名單'!$A:$A,0)),"查無此員工"))</f>
        <v/>
      </c>
      <c r="C1450" s="120">
        <f t="array" ref="C1450:C1450">IF(A1450="","",IFERROR(INDEX('3.員工名單'!$C:$C,MATCH(A1450,'3.員工名單'!$A:$A,0)),""))</f>
        <v/>
      </c>
      <c r="D1450" s="120">
        <f t="array" ref="D1450:D1450">IF(A1450="","",IFERROR(INDEX('3.員工名單'!$D:$D,MATCH(A1450,'3.員工名單'!$A:$A,0)),""))</f>
        <v/>
      </c>
      <c r="E1450" s="120">
        <f t="array" ref="E1450:E1450">IF(F1450="","",IFERROR(INDEX('1.職能辭典'!$A:$A,MATCH(F1450,'1.職能辭典'!$C:$C,0)),""))</f>
        <v/>
      </c>
      <c r="F1450" s="94" t="n"/>
      <c r="G1450" s="120">
        <f t="array" ref="G1450:G1450">IF(OR(D1450="",F1450=""),"",IFERROR(IF(AND(OR(INDEX('1.職能辭典'!$J:$J,MATCH(F1450,'1.職能辭典'!$C:$C,0))="全部",INDEX('3.員工名單'!$H:$H,MATCH(A1450,'3.員工名單'!$A:$A,0))="兩款共用",INDEX('3.員工名單'!$H:$H,MATCH(A1450,'3.員工名單'!$A:$A,0))=INDEX('1.職能辭典'!$J:$J,MATCH(F1450,'1.職能辭典'!$C:$C,0))),OR(INDEX('1.職能辭典'!$K:$K,MATCH(F1450,'1.職能辭典'!$C:$C,0))="全部",SUMPRODUCT(ISNUMBER(SEARCH({"經營","管理","財務","企劃","營運","技術","數據","美術","測試","客服"},INDEX('3.員工名單'!$I:$I,MATCH(A1450,'3.員工名單'!$A:$A,0))))*ISNUMBER(SEARCH({"經營","管理","財務","企劃","營運","技術","數據","美術","測試","客服"},INDEX('1.職能辭典'!$K:$K,MATCH(F1450,'1.職能辭典'!$C:$C,0)))))&gt;0)),INDEX('2.職務職能需求'!$B$2:$F$28,MATCH(F1450,'2.職務職能需求'!$A$2:$A$28,0),MATCH(D1450,'2.職務職能需求'!$B$1:$F$1,0)),0),""))</f>
        <v/>
      </c>
      <c r="H1450" s="94" t="n"/>
      <c r="I1450" s="94" t="n"/>
      <c r="J1450" s="120">
        <f>IF(OR(G1450="",I1450="",G1450=0),"",I1450-G1450)</f>
        <v/>
      </c>
      <c r="K1450" s="120">
        <f>IF(G1450="","",IF(G1450=0,"不適用",IF(I1450="","待評核",IF(I1450&gt;=G1450,IF(I1450&gt;G1450,"超越","達標"),"待發展"))))</f>
        <v/>
      </c>
      <c r="L1450" s="91" t="n"/>
      <c r="M1450" s="91" t="n"/>
      <c r="N1450" s="88" t="n"/>
    </row>
    <row r="1451" ht="15.75" customHeight="1" s="64">
      <c r="A1451" s="88" t="n"/>
      <c r="B1451" s="120">
        <f t="array" ref="B1451:B1451">IF(A1451="","",IFERROR(INDEX('3.員工名單'!$B:$B,MATCH(A1451,'3.員工名單'!$A:$A,0)),"查無此員工"))</f>
        <v/>
      </c>
      <c r="C1451" s="120">
        <f t="array" ref="C1451:C1451">IF(A1451="","",IFERROR(INDEX('3.員工名單'!$C:$C,MATCH(A1451,'3.員工名單'!$A:$A,0)),""))</f>
        <v/>
      </c>
      <c r="D1451" s="120">
        <f t="array" ref="D1451:D1451">IF(A1451="","",IFERROR(INDEX('3.員工名單'!$D:$D,MATCH(A1451,'3.員工名單'!$A:$A,0)),""))</f>
        <v/>
      </c>
      <c r="E1451" s="120">
        <f t="array" ref="E1451:E1451">IF(F1451="","",IFERROR(INDEX('1.職能辭典'!$A:$A,MATCH(F1451,'1.職能辭典'!$C:$C,0)),""))</f>
        <v/>
      </c>
      <c r="F1451" s="94" t="n"/>
      <c r="G1451" s="120">
        <f t="array" ref="G1451:G1451">IF(OR(D1451="",F1451=""),"",IFERROR(IF(AND(OR(INDEX('1.職能辭典'!$J:$J,MATCH(F1451,'1.職能辭典'!$C:$C,0))="全部",INDEX('3.員工名單'!$H:$H,MATCH(A1451,'3.員工名單'!$A:$A,0))="兩款共用",INDEX('3.員工名單'!$H:$H,MATCH(A1451,'3.員工名單'!$A:$A,0))=INDEX('1.職能辭典'!$J:$J,MATCH(F1451,'1.職能辭典'!$C:$C,0))),OR(INDEX('1.職能辭典'!$K:$K,MATCH(F1451,'1.職能辭典'!$C:$C,0))="全部",SUMPRODUCT(ISNUMBER(SEARCH({"經營","管理","財務","企劃","營運","技術","數據","美術","測試","客服"},INDEX('3.員工名單'!$I:$I,MATCH(A1451,'3.員工名單'!$A:$A,0))))*ISNUMBER(SEARCH({"經營","管理","財務","企劃","營運","技術","數據","美術","測試","客服"},INDEX('1.職能辭典'!$K:$K,MATCH(F1451,'1.職能辭典'!$C:$C,0)))))&gt;0)),INDEX('2.職務職能需求'!$B$2:$F$28,MATCH(F1451,'2.職務職能需求'!$A$2:$A$28,0),MATCH(D1451,'2.職務職能需求'!$B$1:$F$1,0)),0),""))</f>
        <v/>
      </c>
      <c r="H1451" s="94" t="n"/>
      <c r="I1451" s="94" t="n"/>
      <c r="J1451" s="120">
        <f>IF(OR(G1451="",I1451="",G1451=0),"",I1451-G1451)</f>
        <v/>
      </c>
      <c r="K1451" s="120">
        <f>IF(G1451="","",IF(G1451=0,"不適用",IF(I1451="","待評核",IF(I1451&gt;=G1451,IF(I1451&gt;G1451,"超越","達標"),"待發展"))))</f>
        <v/>
      </c>
      <c r="L1451" s="91" t="n"/>
      <c r="M1451" s="91" t="n"/>
      <c r="N1451" s="88" t="n"/>
    </row>
    <row r="1452" ht="15.75" customHeight="1" s="64">
      <c r="A1452" s="88" t="n"/>
      <c r="B1452" s="120">
        <f t="array" ref="B1452:B1452">IF(A1452="","",IFERROR(INDEX('3.員工名單'!$B:$B,MATCH(A1452,'3.員工名單'!$A:$A,0)),"查無此員工"))</f>
        <v/>
      </c>
      <c r="C1452" s="120">
        <f t="array" ref="C1452:C1452">IF(A1452="","",IFERROR(INDEX('3.員工名單'!$C:$C,MATCH(A1452,'3.員工名單'!$A:$A,0)),""))</f>
        <v/>
      </c>
      <c r="D1452" s="120">
        <f t="array" ref="D1452:D1452">IF(A1452="","",IFERROR(INDEX('3.員工名單'!$D:$D,MATCH(A1452,'3.員工名單'!$A:$A,0)),""))</f>
        <v/>
      </c>
      <c r="E1452" s="120">
        <f t="array" ref="E1452:E1452">IF(F1452="","",IFERROR(INDEX('1.職能辭典'!$A:$A,MATCH(F1452,'1.職能辭典'!$C:$C,0)),""))</f>
        <v/>
      </c>
      <c r="F1452" s="94" t="n"/>
      <c r="G1452" s="120">
        <f t="array" ref="G1452:G1452">IF(OR(D1452="",F1452=""),"",IFERROR(IF(AND(OR(INDEX('1.職能辭典'!$J:$J,MATCH(F1452,'1.職能辭典'!$C:$C,0))="全部",INDEX('3.員工名單'!$H:$H,MATCH(A1452,'3.員工名單'!$A:$A,0))="兩款共用",INDEX('3.員工名單'!$H:$H,MATCH(A1452,'3.員工名單'!$A:$A,0))=INDEX('1.職能辭典'!$J:$J,MATCH(F1452,'1.職能辭典'!$C:$C,0))),OR(INDEX('1.職能辭典'!$K:$K,MATCH(F1452,'1.職能辭典'!$C:$C,0))="全部",SUMPRODUCT(ISNUMBER(SEARCH({"經營","管理","財務","企劃","營運","技術","數據","美術","測試","客服"},INDEX('3.員工名單'!$I:$I,MATCH(A1452,'3.員工名單'!$A:$A,0))))*ISNUMBER(SEARCH({"經營","管理","財務","企劃","營運","技術","數據","美術","測試","客服"},INDEX('1.職能辭典'!$K:$K,MATCH(F1452,'1.職能辭典'!$C:$C,0)))))&gt;0)),INDEX('2.職務職能需求'!$B$2:$F$28,MATCH(F1452,'2.職務職能需求'!$A$2:$A$28,0),MATCH(D1452,'2.職務職能需求'!$B$1:$F$1,0)),0),""))</f>
        <v/>
      </c>
      <c r="H1452" s="94" t="n"/>
      <c r="I1452" s="94" t="n"/>
      <c r="J1452" s="120">
        <f>IF(OR(G1452="",I1452="",G1452=0),"",I1452-G1452)</f>
        <v/>
      </c>
      <c r="K1452" s="120">
        <f>IF(G1452="","",IF(G1452=0,"不適用",IF(I1452="","待評核",IF(I1452&gt;=G1452,IF(I1452&gt;G1452,"超越","達標"),"待發展"))))</f>
        <v/>
      </c>
      <c r="L1452" s="91" t="n"/>
      <c r="M1452" s="91" t="n"/>
      <c r="N1452" s="88" t="n"/>
    </row>
    <row r="1453" ht="15.75" customHeight="1" s="64">
      <c r="A1453" s="88" t="n"/>
      <c r="B1453" s="120">
        <f t="array" ref="B1453:B1453">IF(A1453="","",IFERROR(INDEX('3.員工名單'!$B:$B,MATCH(A1453,'3.員工名單'!$A:$A,0)),"查無此員工"))</f>
        <v/>
      </c>
      <c r="C1453" s="120">
        <f t="array" ref="C1453:C1453">IF(A1453="","",IFERROR(INDEX('3.員工名單'!$C:$C,MATCH(A1453,'3.員工名單'!$A:$A,0)),""))</f>
        <v/>
      </c>
      <c r="D1453" s="120">
        <f t="array" ref="D1453:D1453">IF(A1453="","",IFERROR(INDEX('3.員工名單'!$D:$D,MATCH(A1453,'3.員工名單'!$A:$A,0)),""))</f>
        <v/>
      </c>
      <c r="E1453" s="120">
        <f t="array" ref="E1453:E1453">IF(F1453="","",IFERROR(INDEX('1.職能辭典'!$A:$A,MATCH(F1453,'1.職能辭典'!$C:$C,0)),""))</f>
        <v/>
      </c>
      <c r="F1453" s="94" t="n"/>
      <c r="G1453" s="120">
        <f t="array" ref="G1453:G1453">IF(OR(D1453="",F1453=""),"",IFERROR(IF(AND(OR(INDEX('1.職能辭典'!$J:$J,MATCH(F1453,'1.職能辭典'!$C:$C,0))="全部",INDEX('3.員工名單'!$H:$H,MATCH(A1453,'3.員工名單'!$A:$A,0))="兩款共用",INDEX('3.員工名單'!$H:$H,MATCH(A1453,'3.員工名單'!$A:$A,0))=INDEX('1.職能辭典'!$J:$J,MATCH(F1453,'1.職能辭典'!$C:$C,0))),OR(INDEX('1.職能辭典'!$K:$K,MATCH(F1453,'1.職能辭典'!$C:$C,0))="全部",SUMPRODUCT(ISNUMBER(SEARCH({"經營","管理","財務","企劃","營運","技術","數據","美術","測試","客服"},INDEX('3.員工名單'!$I:$I,MATCH(A1453,'3.員工名單'!$A:$A,0))))*ISNUMBER(SEARCH({"經營","管理","財務","企劃","營運","技術","數據","美術","測試","客服"},INDEX('1.職能辭典'!$K:$K,MATCH(F1453,'1.職能辭典'!$C:$C,0)))))&gt;0)),INDEX('2.職務職能需求'!$B$2:$F$28,MATCH(F1453,'2.職務職能需求'!$A$2:$A$28,0),MATCH(D1453,'2.職務職能需求'!$B$1:$F$1,0)),0),""))</f>
        <v/>
      </c>
      <c r="H1453" s="94" t="n"/>
      <c r="I1453" s="94" t="n"/>
      <c r="J1453" s="120">
        <f>IF(OR(G1453="",I1453="",G1453=0),"",I1453-G1453)</f>
        <v/>
      </c>
      <c r="K1453" s="120">
        <f>IF(G1453="","",IF(G1453=0,"不適用",IF(I1453="","待評核",IF(I1453&gt;=G1453,IF(I1453&gt;G1453,"超越","達標"),"待發展"))))</f>
        <v/>
      </c>
      <c r="L1453" s="91" t="n"/>
      <c r="M1453" s="91" t="n"/>
      <c r="N1453" s="88" t="n"/>
    </row>
    <row r="1454" ht="15.75" customHeight="1" s="64">
      <c r="A1454" s="88" t="n"/>
      <c r="B1454" s="120">
        <f t="array" ref="B1454:B1454">IF(A1454="","",IFERROR(INDEX('3.員工名單'!$B:$B,MATCH(A1454,'3.員工名單'!$A:$A,0)),"查無此員工"))</f>
        <v/>
      </c>
      <c r="C1454" s="120">
        <f t="array" ref="C1454:C1454">IF(A1454="","",IFERROR(INDEX('3.員工名單'!$C:$C,MATCH(A1454,'3.員工名單'!$A:$A,0)),""))</f>
        <v/>
      </c>
      <c r="D1454" s="120">
        <f t="array" ref="D1454:D1454">IF(A1454="","",IFERROR(INDEX('3.員工名單'!$D:$D,MATCH(A1454,'3.員工名單'!$A:$A,0)),""))</f>
        <v/>
      </c>
      <c r="E1454" s="120">
        <f t="array" ref="E1454:E1454">IF(F1454="","",IFERROR(INDEX('1.職能辭典'!$A:$A,MATCH(F1454,'1.職能辭典'!$C:$C,0)),""))</f>
        <v/>
      </c>
      <c r="F1454" s="94" t="n"/>
      <c r="G1454" s="120">
        <f t="array" ref="G1454:G1454">IF(OR(D1454="",F1454=""),"",IFERROR(IF(AND(OR(INDEX('1.職能辭典'!$J:$J,MATCH(F1454,'1.職能辭典'!$C:$C,0))="全部",INDEX('3.員工名單'!$H:$H,MATCH(A1454,'3.員工名單'!$A:$A,0))="兩款共用",INDEX('3.員工名單'!$H:$H,MATCH(A1454,'3.員工名單'!$A:$A,0))=INDEX('1.職能辭典'!$J:$J,MATCH(F1454,'1.職能辭典'!$C:$C,0))),OR(INDEX('1.職能辭典'!$K:$K,MATCH(F1454,'1.職能辭典'!$C:$C,0))="全部",SUMPRODUCT(ISNUMBER(SEARCH({"經營","管理","財務","企劃","營運","技術","數據","美術","測試","客服"},INDEX('3.員工名單'!$I:$I,MATCH(A1454,'3.員工名單'!$A:$A,0))))*ISNUMBER(SEARCH({"經營","管理","財務","企劃","營運","技術","數據","美術","測試","客服"},INDEX('1.職能辭典'!$K:$K,MATCH(F1454,'1.職能辭典'!$C:$C,0)))))&gt;0)),INDEX('2.職務職能需求'!$B$2:$F$28,MATCH(F1454,'2.職務職能需求'!$A$2:$A$28,0),MATCH(D1454,'2.職務職能需求'!$B$1:$F$1,0)),0),""))</f>
        <v/>
      </c>
      <c r="H1454" s="94" t="n"/>
      <c r="I1454" s="94" t="n"/>
      <c r="J1454" s="120">
        <f>IF(OR(G1454="",I1454="",G1454=0),"",I1454-G1454)</f>
        <v/>
      </c>
      <c r="K1454" s="120">
        <f>IF(G1454="","",IF(G1454=0,"不適用",IF(I1454="","待評核",IF(I1454&gt;=G1454,IF(I1454&gt;G1454,"超越","達標"),"待發展"))))</f>
        <v/>
      </c>
      <c r="L1454" s="91" t="n"/>
      <c r="M1454" s="91" t="n"/>
      <c r="N1454" s="88" t="n"/>
    </row>
    <row r="1455" ht="15.75" customHeight="1" s="64">
      <c r="A1455" s="88" t="n"/>
      <c r="B1455" s="120">
        <f t="array" ref="B1455:B1455">IF(A1455="","",IFERROR(INDEX('3.員工名單'!$B:$B,MATCH(A1455,'3.員工名單'!$A:$A,0)),"查無此員工"))</f>
        <v/>
      </c>
      <c r="C1455" s="120">
        <f t="array" ref="C1455:C1455">IF(A1455="","",IFERROR(INDEX('3.員工名單'!$C:$C,MATCH(A1455,'3.員工名單'!$A:$A,0)),""))</f>
        <v/>
      </c>
      <c r="D1455" s="120">
        <f t="array" ref="D1455:D1455">IF(A1455="","",IFERROR(INDEX('3.員工名單'!$D:$D,MATCH(A1455,'3.員工名單'!$A:$A,0)),""))</f>
        <v/>
      </c>
      <c r="E1455" s="120">
        <f t="array" ref="E1455:E1455">IF(F1455="","",IFERROR(INDEX('1.職能辭典'!$A:$A,MATCH(F1455,'1.職能辭典'!$C:$C,0)),""))</f>
        <v/>
      </c>
      <c r="F1455" s="94" t="n"/>
      <c r="G1455" s="120">
        <f t="array" ref="G1455:G1455">IF(OR(D1455="",F1455=""),"",IFERROR(IF(AND(OR(INDEX('1.職能辭典'!$J:$J,MATCH(F1455,'1.職能辭典'!$C:$C,0))="全部",INDEX('3.員工名單'!$H:$H,MATCH(A1455,'3.員工名單'!$A:$A,0))="兩款共用",INDEX('3.員工名單'!$H:$H,MATCH(A1455,'3.員工名單'!$A:$A,0))=INDEX('1.職能辭典'!$J:$J,MATCH(F1455,'1.職能辭典'!$C:$C,0))),OR(INDEX('1.職能辭典'!$K:$K,MATCH(F1455,'1.職能辭典'!$C:$C,0))="全部",SUMPRODUCT(ISNUMBER(SEARCH({"經營","管理","財務","企劃","營運","技術","數據","美術","測試","客服"},INDEX('3.員工名單'!$I:$I,MATCH(A1455,'3.員工名單'!$A:$A,0))))*ISNUMBER(SEARCH({"經營","管理","財務","企劃","營運","技術","數據","美術","測試","客服"},INDEX('1.職能辭典'!$K:$K,MATCH(F1455,'1.職能辭典'!$C:$C,0)))))&gt;0)),INDEX('2.職務職能需求'!$B$2:$F$28,MATCH(F1455,'2.職務職能需求'!$A$2:$A$28,0),MATCH(D1455,'2.職務職能需求'!$B$1:$F$1,0)),0),""))</f>
        <v/>
      </c>
      <c r="H1455" s="94" t="n"/>
      <c r="I1455" s="94" t="n"/>
      <c r="J1455" s="120">
        <f>IF(OR(G1455="",I1455="",G1455=0),"",I1455-G1455)</f>
        <v/>
      </c>
      <c r="K1455" s="120">
        <f>IF(G1455="","",IF(G1455=0,"不適用",IF(I1455="","待評核",IF(I1455&gt;=G1455,IF(I1455&gt;G1455,"超越","達標"),"待發展"))))</f>
        <v/>
      </c>
      <c r="L1455" s="91" t="n"/>
      <c r="M1455" s="91" t="n"/>
      <c r="N1455" s="88" t="n"/>
    </row>
    <row r="1456" ht="15.75" customHeight="1" s="64">
      <c r="A1456" s="88" t="n"/>
      <c r="B1456" s="120">
        <f t="array" ref="B1456:B1456">IF(A1456="","",IFERROR(INDEX('3.員工名單'!$B:$B,MATCH(A1456,'3.員工名單'!$A:$A,0)),"查無此員工"))</f>
        <v/>
      </c>
      <c r="C1456" s="120">
        <f t="array" ref="C1456:C1456">IF(A1456="","",IFERROR(INDEX('3.員工名單'!$C:$C,MATCH(A1456,'3.員工名單'!$A:$A,0)),""))</f>
        <v/>
      </c>
      <c r="D1456" s="120">
        <f t="array" ref="D1456:D1456">IF(A1456="","",IFERROR(INDEX('3.員工名單'!$D:$D,MATCH(A1456,'3.員工名單'!$A:$A,0)),""))</f>
        <v/>
      </c>
      <c r="E1456" s="120">
        <f t="array" ref="E1456:E1456">IF(F1456="","",IFERROR(INDEX('1.職能辭典'!$A:$A,MATCH(F1456,'1.職能辭典'!$C:$C,0)),""))</f>
        <v/>
      </c>
      <c r="F1456" s="94" t="n"/>
      <c r="G1456" s="120">
        <f t="array" ref="G1456:G1456">IF(OR(D1456="",F1456=""),"",IFERROR(IF(AND(OR(INDEX('1.職能辭典'!$J:$J,MATCH(F1456,'1.職能辭典'!$C:$C,0))="全部",INDEX('3.員工名單'!$H:$H,MATCH(A1456,'3.員工名單'!$A:$A,0))="兩款共用",INDEX('3.員工名單'!$H:$H,MATCH(A1456,'3.員工名單'!$A:$A,0))=INDEX('1.職能辭典'!$J:$J,MATCH(F1456,'1.職能辭典'!$C:$C,0))),OR(INDEX('1.職能辭典'!$K:$K,MATCH(F1456,'1.職能辭典'!$C:$C,0))="全部",SUMPRODUCT(ISNUMBER(SEARCH({"經營","管理","財務","企劃","營運","技術","數據","美術","測試","客服"},INDEX('3.員工名單'!$I:$I,MATCH(A1456,'3.員工名單'!$A:$A,0))))*ISNUMBER(SEARCH({"經營","管理","財務","企劃","營運","技術","數據","美術","測試","客服"},INDEX('1.職能辭典'!$K:$K,MATCH(F1456,'1.職能辭典'!$C:$C,0)))))&gt;0)),INDEX('2.職務職能需求'!$B$2:$F$28,MATCH(F1456,'2.職務職能需求'!$A$2:$A$28,0),MATCH(D1456,'2.職務職能需求'!$B$1:$F$1,0)),0),""))</f>
        <v/>
      </c>
      <c r="H1456" s="94" t="n"/>
      <c r="I1456" s="94" t="n"/>
      <c r="J1456" s="120">
        <f>IF(OR(G1456="",I1456="",G1456=0),"",I1456-G1456)</f>
        <v/>
      </c>
      <c r="K1456" s="120">
        <f>IF(G1456="","",IF(G1456=0,"不適用",IF(I1456="","待評核",IF(I1456&gt;=G1456,IF(I1456&gt;G1456,"超越","達標"),"待發展"))))</f>
        <v/>
      </c>
      <c r="L1456" s="91" t="n"/>
      <c r="M1456" s="91" t="n"/>
      <c r="N1456" s="88" t="n"/>
    </row>
    <row r="1457" ht="15.75" customHeight="1" s="64">
      <c r="A1457" s="88" t="n"/>
      <c r="B1457" s="120">
        <f t="array" ref="B1457:B1457">IF(A1457="","",IFERROR(INDEX('3.員工名單'!$B:$B,MATCH(A1457,'3.員工名單'!$A:$A,0)),"查無此員工"))</f>
        <v/>
      </c>
      <c r="C1457" s="120">
        <f t="array" ref="C1457:C1457">IF(A1457="","",IFERROR(INDEX('3.員工名單'!$C:$C,MATCH(A1457,'3.員工名單'!$A:$A,0)),""))</f>
        <v/>
      </c>
      <c r="D1457" s="120">
        <f t="array" ref="D1457:D1457">IF(A1457="","",IFERROR(INDEX('3.員工名單'!$D:$D,MATCH(A1457,'3.員工名單'!$A:$A,0)),""))</f>
        <v/>
      </c>
      <c r="E1457" s="120">
        <f t="array" ref="E1457:E1457">IF(F1457="","",IFERROR(INDEX('1.職能辭典'!$A:$A,MATCH(F1457,'1.職能辭典'!$C:$C,0)),""))</f>
        <v/>
      </c>
      <c r="F1457" s="94" t="n"/>
      <c r="G1457" s="120">
        <f t="array" ref="G1457:G1457">IF(OR(D1457="",F1457=""),"",IFERROR(IF(AND(OR(INDEX('1.職能辭典'!$J:$J,MATCH(F1457,'1.職能辭典'!$C:$C,0))="全部",INDEX('3.員工名單'!$H:$H,MATCH(A1457,'3.員工名單'!$A:$A,0))="兩款共用",INDEX('3.員工名單'!$H:$H,MATCH(A1457,'3.員工名單'!$A:$A,0))=INDEX('1.職能辭典'!$J:$J,MATCH(F1457,'1.職能辭典'!$C:$C,0))),OR(INDEX('1.職能辭典'!$K:$K,MATCH(F1457,'1.職能辭典'!$C:$C,0))="全部",SUMPRODUCT(ISNUMBER(SEARCH({"經營","管理","財務","企劃","營運","技術","數據","美術","測試","客服"},INDEX('3.員工名單'!$I:$I,MATCH(A1457,'3.員工名單'!$A:$A,0))))*ISNUMBER(SEARCH({"經營","管理","財務","企劃","營運","技術","數據","美術","測試","客服"},INDEX('1.職能辭典'!$K:$K,MATCH(F1457,'1.職能辭典'!$C:$C,0)))))&gt;0)),INDEX('2.職務職能需求'!$B$2:$F$28,MATCH(F1457,'2.職務職能需求'!$A$2:$A$28,0),MATCH(D1457,'2.職務職能需求'!$B$1:$F$1,0)),0),""))</f>
        <v/>
      </c>
      <c r="H1457" s="94" t="n"/>
      <c r="I1457" s="94" t="n"/>
      <c r="J1457" s="120">
        <f>IF(OR(G1457="",I1457="",G1457=0),"",I1457-G1457)</f>
        <v/>
      </c>
      <c r="K1457" s="120">
        <f>IF(G1457="","",IF(G1457=0,"不適用",IF(I1457="","待評核",IF(I1457&gt;=G1457,IF(I1457&gt;G1457,"超越","達標"),"待發展"))))</f>
        <v/>
      </c>
      <c r="L1457" s="91" t="n"/>
      <c r="M1457" s="91" t="n"/>
      <c r="N1457" s="88" t="n"/>
    </row>
    <row r="1458" ht="15.75" customHeight="1" s="64">
      <c r="A1458" s="88" t="n"/>
      <c r="B1458" s="120">
        <f t="array" ref="B1458:B1458">IF(A1458="","",IFERROR(INDEX('3.員工名單'!$B:$B,MATCH(A1458,'3.員工名單'!$A:$A,0)),"查無此員工"))</f>
        <v/>
      </c>
      <c r="C1458" s="120">
        <f t="array" ref="C1458:C1458">IF(A1458="","",IFERROR(INDEX('3.員工名單'!$C:$C,MATCH(A1458,'3.員工名單'!$A:$A,0)),""))</f>
        <v/>
      </c>
      <c r="D1458" s="120">
        <f t="array" ref="D1458:D1458">IF(A1458="","",IFERROR(INDEX('3.員工名單'!$D:$D,MATCH(A1458,'3.員工名單'!$A:$A,0)),""))</f>
        <v/>
      </c>
      <c r="E1458" s="120">
        <f t="array" ref="E1458:E1458">IF(F1458="","",IFERROR(INDEX('1.職能辭典'!$A:$A,MATCH(F1458,'1.職能辭典'!$C:$C,0)),""))</f>
        <v/>
      </c>
      <c r="F1458" s="94" t="n"/>
      <c r="G1458" s="120">
        <f t="array" ref="G1458:G1458">IF(OR(D1458="",F1458=""),"",IFERROR(IF(AND(OR(INDEX('1.職能辭典'!$J:$J,MATCH(F1458,'1.職能辭典'!$C:$C,0))="全部",INDEX('3.員工名單'!$H:$H,MATCH(A1458,'3.員工名單'!$A:$A,0))="兩款共用",INDEX('3.員工名單'!$H:$H,MATCH(A1458,'3.員工名單'!$A:$A,0))=INDEX('1.職能辭典'!$J:$J,MATCH(F1458,'1.職能辭典'!$C:$C,0))),OR(INDEX('1.職能辭典'!$K:$K,MATCH(F1458,'1.職能辭典'!$C:$C,0))="全部",SUMPRODUCT(ISNUMBER(SEARCH({"經營","管理","財務","企劃","營運","技術","數據","美術","測試","客服"},INDEX('3.員工名單'!$I:$I,MATCH(A1458,'3.員工名單'!$A:$A,0))))*ISNUMBER(SEARCH({"經營","管理","財務","企劃","營運","技術","數據","美術","測試","客服"},INDEX('1.職能辭典'!$K:$K,MATCH(F1458,'1.職能辭典'!$C:$C,0)))))&gt;0)),INDEX('2.職務職能需求'!$B$2:$F$28,MATCH(F1458,'2.職務職能需求'!$A$2:$A$28,0),MATCH(D1458,'2.職務職能需求'!$B$1:$F$1,0)),0),""))</f>
        <v/>
      </c>
      <c r="H1458" s="94" t="n"/>
      <c r="I1458" s="94" t="n"/>
      <c r="J1458" s="120">
        <f>IF(OR(G1458="",I1458="",G1458=0),"",I1458-G1458)</f>
        <v/>
      </c>
      <c r="K1458" s="120">
        <f>IF(G1458="","",IF(G1458=0,"不適用",IF(I1458="","待評核",IF(I1458&gt;=G1458,IF(I1458&gt;G1458,"超越","達標"),"待發展"))))</f>
        <v/>
      </c>
      <c r="L1458" s="91" t="n"/>
      <c r="M1458" s="91" t="n"/>
      <c r="N1458" s="88" t="n"/>
    </row>
    <row r="1459" ht="15.75" customHeight="1" s="64">
      <c r="A1459" s="88" t="n"/>
      <c r="B1459" s="120">
        <f t="array" ref="B1459:B1459">IF(A1459="","",IFERROR(INDEX('3.員工名單'!$B:$B,MATCH(A1459,'3.員工名單'!$A:$A,0)),"查無此員工"))</f>
        <v/>
      </c>
      <c r="C1459" s="120">
        <f t="array" ref="C1459:C1459">IF(A1459="","",IFERROR(INDEX('3.員工名單'!$C:$C,MATCH(A1459,'3.員工名單'!$A:$A,0)),""))</f>
        <v/>
      </c>
      <c r="D1459" s="120">
        <f t="array" ref="D1459:D1459">IF(A1459="","",IFERROR(INDEX('3.員工名單'!$D:$D,MATCH(A1459,'3.員工名單'!$A:$A,0)),""))</f>
        <v/>
      </c>
      <c r="E1459" s="120">
        <f t="array" ref="E1459:E1459">IF(F1459="","",IFERROR(INDEX('1.職能辭典'!$A:$A,MATCH(F1459,'1.職能辭典'!$C:$C,0)),""))</f>
        <v/>
      </c>
      <c r="F1459" s="94" t="n"/>
      <c r="G1459" s="120">
        <f t="array" ref="G1459:G1459">IF(OR(D1459="",F1459=""),"",IFERROR(IF(AND(OR(INDEX('1.職能辭典'!$J:$J,MATCH(F1459,'1.職能辭典'!$C:$C,0))="全部",INDEX('3.員工名單'!$H:$H,MATCH(A1459,'3.員工名單'!$A:$A,0))="兩款共用",INDEX('3.員工名單'!$H:$H,MATCH(A1459,'3.員工名單'!$A:$A,0))=INDEX('1.職能辭典'!$J:$J,MATCH(F1459,'1.職能辭典'!$C:$C,0))),OR(INDEX('1.職能辭典'!$K:$K,MATCH(F1459,'1.職能辭典'!$C:$C,0))="全部",SUMPRODUCT(ISNUMBER(SEARCH({"經營","管理","財務","企劃","營運","技術","數據","美術","測試","客服"},INDEX('3.員工名單'!$I:$I,MATCH(A1459,'3.員工名單'!$A:$A,0))))*ISNUMBER(SEARCH({"經營","管理","財務","企劃","營運","技術","數據","美術","測試","客服"},INDEX('1.職能辭典'!$K:$K,MATCH(F1459,'1.職能辭典'!$C:$C,0)))))&gt;0)),INDEX('2.職務職能需求'!$B$2:$F$28,MATCH(F1459,'2.職務職能需求'!$A$2:$A$28,0),MATCH(D1459,'2.職務職能需求'!$B$1:$F$1,0)),0),""))</f>
        <v/>
      </c>
      <c r="H1459" s="94" t="n"/>
      <c r="I1459" s="94" t="n"/>
      <c r="J1459" s="120">
        <f>IF(OR(G1459="",I1459="",G1459=0),"",I1459-G1459)</f>
        <v/>
      </c>
      <c r="K1459" s="120">
        <f>IF(G1459="","",IF(G1459=0,"不適用",IF(I1459="","待評核",IF(I1459&gt;=G1459,IF(I1459&gt;G1459,"超越","達標"),"待發展"))))</f>
        <v/>
      </c>
      <c r="L1459" s="91" t="n"/>
      <c r="M1459" s="91" t="n"/>
      <c r="N1459" s="88" t="n"/>
    </row>
    <row r="1460" ht="15.75" customHeight="1" s="64">
      <c r="A1460" s="88" t="n"/>
      <c r="B1460" s="120">
        <f t="array" ref="B1460:B1460">IF(A1460="","",IFERROR(INDEX('3.員工名單'!$B:$B,MATCH(A1460,'3.員工名單'!$A:$A,0)),"查無此員工"))</f>
        <v/>
      </c>
      <c r="C1460" s="120">
        <f t="array" ref="C1460:C1460">IF(A1460="","",IFERROR(INDEX('3.員工名單'!$C:$C,MATCH(A1460,'3.員工名單'!$A:$A,0)),""))</f>
        <v/>
      </c>
      <c r="D1460" s="120">
        <f t="array" ref="D1460:D1460">IF(A1460="","",IFERROR(INDEX('3.員工名單'!$D:$D,MATCH(A1460,'3.員工名單'!$A:$A,0)),""))</f>
        <v/>
      </c>
      <c r="E1460" s="120">
        <f t="array" ref="E1460:E1460">IF(F1460="","",IFERROR(INDEX('1.職能辭典'!$A:$A,MATCH(F1460,'1.職能辭典'!$C:$C,0)),""))</f>
        <v/>
      </c>
      <c r="F1460" s="94" t="n"/>
      <c r="G1460" s="120">
        <f t="array" ref="G1460:G1460">IF(OR(D1460="",F1460=""),"",IFERROR(IF(AND(OR(INDEX('1.職能辭典'!$J:$J,MATCH(F1460,'1.職能辭典'!$C:$C,0))="全部",INDEX('3.員工名單'!$H:$H,MATCH(A1460,'3.員工名單'!$A:$A,0))="兩款共用",INDEX('3.員工名單'!$H:$H,MATCH(A1460,'3.員工名單'!$A:$A,0))=INDEX('1.職能辭典'!$J:$J,MATCH(F1460,'1.職能辭典'!$C:$C,0))),OR(INDEX('1.職能辭典'!$K:$K,MATCH(F1460,'1.職能辭典'!$C:$C,0))="全部",SUMPRODUCT(ISNUMBER(SEARCH({"經營","管理","財務","企劃","營運","技術","數據","美術","測試","客服"},INDEX('3.員工名單'!$I:$I,MATCH(A1460,'3.員工名單'!$A:$A,0))))*ISNUMBER(SEARCH({"經營","管理","財務","企劃","營運","技術","數據","美術","測試","客服"},INDEX('1.職能辭典'!$K:$K,MATCH(F1460,'1.職能辭典'!$C:$C,0)))))&gt;0)),INDEX('2.職務職能需求'!$B$2:$F$28,MATCH(F1460,'2.職務職能需求'!$A$2:$A$28,0),MATCH(D1460,'2.職務職能需求'!$B$1:$F$1,0)),0),""))</f>
        <v/>
      </c>
      <c r="H1460" s="94" t="n"/>
      <c r="I1460" s="94" t="n"/>
      <c r="J1460" s="120">
        <f>IF(OR(G1460="",I1460="",G1460=0),"",I1460-G1460)</f>
        <v/>
      </c>
      <c r="K1460" s="120">
        <f>IF(G1460="","",IF(G1460=0,"不適用",IF(I1460="","待評核",IF(I1460&gt;=G1460,IF(I1460&gt;G1460,"超越","達標"),"待發展"))))</f>
        <v/>
      </c>
      <c r="L1460" s="91" t="n"/>
      <c r="M1460" s="91" t="n"/>
      <c r="N1460" s="88" t="n"/>
    </row>
    <row r="1461" ht="15.75" customHeight="1" s="64">
      <c r="A1461" s="88" t="n"/>
      <c r="B1461" s="120">
        <f t="array" ref="B1461:B1461">IF(A1461="","",IFERROR(INDEX('3.員工名單'!$B:$B,MATCH(A1461,'3.員工名單'!$A:$A,0)),"查無此員工"))</f>
        <v/>
      </c>
      <c r="C1461" s="120">
        <f t="array" ref="C1461:C1461">IF(A1461="","",IFERROR(INDEX('3.員工名單'!$C:$C,MATCH(A1461,'3.員工名單'!$A:$A,0)),""))</f>
        <v/>
      </c>
      <c r="D1461" s="120">
        <f t="array" ref="D1461:D1461">IF(A1461="","",IFERROR(INDEX('3.員工名單'!$D:$D,MATCH(A1461,'3.員工名單'!$A:$A,0)),""))</f>
        <v/>
      </c>
      <c r="E1461" s="120">
        <f t="array" ref="E1461:E1461">IF(F1461="","",IFERROR(INDEX('1.職能辭典'!$A:$A,MATCH(F1461,'1.職能辭典'!$C:$C,0)),""))</f>
        <v/>
      </c>
      <c r="F1461" s="94" t="n"/>
      <c r="G1461" s="120">
        <f t="array" ref="G1461:G1461">IF(OR(D1461="",F1461=""),"",IFERROR(IF(AND(OR(INDEX('1.職能辭典'!$J:$J,MATCH(F1461,'1.職能辭典'!$C:$C,0))="全部",INDEX('3.員工名單'!$H:$H,MATCH(A1461,'3.員工名單'!$A:$A,0))="兩款共用",INDEX('3.員工名單'!$H:$H,MATCH(A1461,'3.員工名單'!$A:$A,0))=INDEX('1.職能辭典'!$J:$J,MATCH(F1461,'1.職能辭典'!$C:$C,0))),OR(INDEX('1.職能辭典'!$K:$K,MATCH(F1461,'1.職能辭典'!$C:$C,0))="全部",SUMPRODUCT(ISNUMBER(SEARCH({"經營","管理","財務","企劃","營運","技術","數據","美術","測試","客服"},INDEX('3.員工名單'!$I:$I,MATCH(A1461,'3.員工名單'!$A:$A,0))))*ISNUMBER(SEARCH({"經營","管理","財務","企劃","營運","技術","數據","美術","測試","客服"},INDEX('1.職能辭典'!$K:$K,MATCH(F1461,'1.職能辭典'!$C:$C,0)))))&gt;0)),INDEX('2.職務職能需求'!$B$2:$F$28,MATCH(F1461,'2.職務職能需求'!$A$2:$A$28,0),MATCH(D1461,'2.職務職能需求'!$B$1:$F$1,0)),0),""))</f>
        <v/>
      </c>
      <c r="H1461" s="94" t="n"/>
      <c r="I1461" s="94" t="n"/>
      <c r="J1461" s="120">
        <f>IF(OR(G1461="",I1461="",G1461=0),"",I1461-G1461)</f>
        <v/>
      </c>
      <c r="K1461" s="120">
        <f>IF(G1461="","",IF(G1461=0,"不適用",IF(I1461="","待評核",IF(I1461&gt;=G1461,IF(I1461&gt;G1461,"超越","達標"),"待發展"))))</f>
        <v/>
      </c>
      <c r="L1461" s="91" t="n"/>
      <c r="M1461" s="91" t="n"/>
      <c r="N1461" s="88" t="n"/>
    </row>
    <row r="1462" ht="15.75" customHeight="1" s="64">
      <c r="A1462" s="88" t="n"/>
      <c r="B1462" s="120">
        <f t="array" ref="B1462:B1462">IF(A1462="","",IFERROR(INDEX('3.員工名單'!$B:$B,MATCH(A1462,'3.員工名單'!$A:$A,0)),"查無此員工"))</f>
        <v/>
      </c>
      <c r="C1462" s="120">
        <f t="array" ref="C1462:C1462">IF(A1462="","",IFERROR(INDEX('3.員工名單'!$C:$C,MATCH(A1462,'3.員工名單'!$A:$A,0)),""))</f>
        <v/>
      </c>
      <c r="D1462" s="120">
        <f t="array" ref="D1462:D1462">IF(A1462="","",IFERROR(INDEX('3.員工名單'!$D:$D,MATCH(A1462,'3.員工名單'!$A:$A,0)),""))</f>
        <v/>
      </c>
      <c r="E1462" s="120">
        <f t="array" ref="E1462:E1462">IF(F1462="","",IFERROR(INDEX('1.職能辭典'!$A:$A,MATCH(F1462,'1.職能辭典'!$C:$C,0)),""))</f>
        <v/>
      </c>
      <c r="F1462" s="94" t="n"/>
      <c r="G1462" s="120">
        <f t="array" ref="G1462:G1462">IF(OR(D1462="",F1462=""),"",IFERROR(IF(AND(OR(INDEX('1.職能辭典'!$J:$J,MATCH(F1462,'1.職能辭典'!$C:$C,0))="全部",INDEX('3.員工名單'!$H:$H,MATCH(A1462,'3.員工名單'!$A:$A,0))="兩款共用",INDEX('3.員工名單'!$H:$H,MATCH(A1462,'3.員工名單'!$A:$A,0))=INDEX('1.職能辭典'!$J:$J,MATCH(F1462,'1.職能辭典'!$C:$C,0))),OR(INDEX('1.職能辭典'!$K:$K,MATCH(F1462,'1.職能辭典'!$C:$C,0))="全部",SUMPRODUCT(ISNUMBER(SEARCH({"經營","管理","財務","企劃","營運","技術","數據","美術","測試","客服"},INDEX('3.員工名單'!$I:$I,MATCH(A1462,'3.員工名單'!$A:$A,0))))*ISNUMBER(SEARCH({"經營","管理","財務","企劃","營運","技術","數據","美術","測試","客服"},INDEX('1.職能辭典'!$K:$K,MATCH(F1462,'1.職能辭典'!$C:$C,0)))))&gt;0)),INDEX('2.職務職能需求'!$B$2:$F$28,MATCH(F1462,'2.職務職能需求'!$A$2:$A$28,0),MATCH(D1462,'2.職務職能需求'!$B$1:$F$1,0)),0),""))</f>
        <v/>
      </c>
      <c r="H1462" s="94" t="n"/>
      <c r="I1462" s="94" t="n"/>
      <c r="J1462" s="120">
        <f>IF(OR(G1462="",I1462="",G1462=0),"",I1462-G1462)</f>
        <v/>
      </c>
      <c r="K1462" s="120">
        <f>IF(G1462="","",IF(G1462=0,"不適用",IF(I1462="","待評核",IF(I1462&gt;=G1462,IF(I1462&gt;G1462,"超越","達標"),"待發展"))))</f>
        <v/>
      </c>
      <c r="L1462" s="91" t="n"/>
      <c r="M1462" s="91" t="n"/>
      <c r="N1462" s="88" t="n"/>
    </row>
    <row r="1463" ht="15.75" customHeight="1" s="64">
      <c r="A1463" s="88" t="n"/>
      <c r="B1463" s="120">
        <f t="array" ref="B1463:B1463">IF(A1463="","",IFERROR(INDEX('3.員工名單'!$B:$B,MATCH(A1463,'3.員工名單'!$A:$A,0)),"查無此員工"))</f>
        <v/>
      </c>
      <c r="C1463" s="120">
        <f t="array" ref="C1463:C1463">IF(A1463="","",IFERROR(INDEX('3.員工名單'!$C:$C,MATCH(A1463,'3.員工名單'!$A:$A,0)),""))</f>
        <v/>
      </c>
      <c r="D1463" s="120">
        <f t="array" ref="D1463:D1463">IF(A1463="","",IFERROR(INDEX('3.員工名單'!$D:$D,MATCH(A1463,'3.員工名單'!$A:$A,0)),""))</f>
        <v/>
      </c>
      <c r="E1463" s="120">
        <f t="array" ref="E1463:E1463">IF(F1463="","",IFERROR(INDEX('1.職能辭典'!$A:$A,MATCH(F1463,'1.職能辭典'!$C:$C,0)),""))</f>
        <v/>
      </c>
      <c r="F1463" s="94" t="n"/>
      <c r="G1463" s="120">
        <f t="array" ref="G1463:G1463">IF(OR(D1463="",F1463=""),"",IFERROR(IF(AND(OR(INDEX('1.職能辭典'!$J:$J,MATCH(F1463,'1.職能辭典'!$C:$C,0))="全部",INDEX('3.員工名單'!$H:$H,MATCH(A1463,'3.員工名單'!$A:$A,0))="兩款共用",INDEX('3.員工名單'!$H:$H,MATCH(A1463,'3.員工名單'!$A:$A,0))=INDEX('1.職能辭典'!$J:$J,MATCH(F1463,'1.職能辭典'!$C:$C,0))),OR(INDEX('1.職能辭典'!$K:$K,MATCH(F1463,'1.職能辭典'!$C:$C,0))="全部",SUMPRODUCT(ISNUMBER(SEARCH({"經營","管理","財務","企劃","營運","技術","數據","美術","測試","客服"},INDEX('3.員工名單'!$I:$I,MATCH(A1463,'3.員工名單'!$A:$A,0))))*ISNUMBER(SEARCH({"經營","管理","財務","企劃","營運","技術","數據","美術","測試","客服"},INDEX('1.職能辭典'!$K:$K,MATCH(F1463,'1.職能辭典'!$C:$C,0)))))&gt;0)),INDEX('2.職務職能需求'!$B$2:$F$28,MATCH(F1463,'2.職務職能需求'!$A$2:$A$28,0),MATCH(D1463,'2.職務職能需求'!$B$1:$F$1,0)),0),""))</f>
        <v/>
      </c>
      <c r="H1463" s="94" t="n"/>
      <c r="I1463" s="94" t="n"/>
      <c r="J1463" s="120">
        <f>IF(OR(G1463="",I1463="",G1463=0),"",I1463-G1463)</f>
        <v/>
      </c>
      <c r="K1463" s="120">
        <f>IF(G1463="","",IF(G1463=0,"不適用",IF(I1463="","待評核",IF(I1463&gt;=G1463,IF(I1463&gt;G1463,"超越","達標"),"待發展"))))</f>
        <v/>
      </c>
      <c r="L1463" s="91" t="n"/>
      <c r="M1463" s="91" t="n"/>
      <c r="N1463" s="88" t="n"/>
    </row>
    <row r="1464" ht="15.75" customHeight="1" s="64">
      <c r="A1464" s="88" t="n"/>
      <c r="B1464" s="120">
        <f t="array" ref="B1464:B1464">IF(A1464="","",IFERROR(INDEX('3.員工名單'!$B:$B,MATCH(A1464,'3.員工名單'!$A:$A,0)),"查無此員工"))</f>
        <v/>
      </c>
      <c r="C1464" s="120">
        <f t="array" ref="C1464:C1464">IF(A1464="","",IFERROR(INDEX('3.員工名單'!$C:$C,MATCH(A1464,'3.員工名單'!$A:$A,0)),""))</f>
        <v/>
      </c>
      <c r="D1464" s="120">
        <f t="array" ref="D1464:D1464">IF(A1464="","",IFERROR(INDEX('3.員工名單'!$D:$D,MATCH(A1464,'3.員工名單'!$A:$A,0)),""))</f>
        <v/>
      </c>
      <c r="E1464" s="120">
        <f t="array" ref="E1464:E1464">IF(F1464="","",IFERROR(INDEX('1.職能辭典'!$A:$A,MATCH(F1464,'1.職能辭典'!$C:$C,0)),""))</f>
        <v/>
      </c>
      <c r="F1464" s="94" t="n"/>
      <c r="G1464" s="120">
        <f t="array" ref="G1464:G1464">IF(OR(D1464="",F1464=""),"",IFERROR(IF(AND(OR(INDEX('1.職能辭典'!$J:$J,MATCH(F1464,'1.職能辭典'!$C:$C,0))="全部",INDEX('3.員工名單'!$H:$H,MATCH(A1464,'3.員工名單'!$A:$A,0))="兩款共用",INDEX('3.員工名單'!$H:$H,MATCH(A1464,'3.員工名單'!$A:$A,0))=INDEX('1.職能辭典'!$J:$J,MATCH(F1464,'1.職能辭典'!$C:$C,0))),OR(INDEX('1.職能辭典'!$K:$K,MATCH(F1464,'1.職能辭典'!$C:$C,0))="全部",SUMPRODUCT(ISNUMBER(SEARCH({"經營","管理","財務","企劃","營運","技術","數據","美術","測試","客服"},INDEX('3.員工名單'!$I:$I,MATCH(A1464,'3.員工名單'!$A:$A,0))))*ISNUMBER(SEARCH({"經營","管理","財務","企劃","營運","技術","數據","美術","測試","客服"},INDEX('1.職能辭典'!$K:$K,MATCH(F1464,'1.職能辭典'!$C:$C,0)))))&gt;0)),INDEX('2.職務職能需求'!$B$2:$F$28,MATCH(F1464,'2.職務職能需求'!$A$2:$A$28,0),MATCH(D1464,'2.職務職能需求'!$B$1:$F$1,0)),0),""))</f>
        <v/>
      </c>
      <c r="H1464" s="94" t="n"/>
      <c r="I1464" s="94" t="n"/>
      <c r="J1464" s="120">
        <f>IF(OR(G1464="",I1464="",G1464=0),"",I1464-G1464)</f>
        <v/>
      </c>
      <c r="K1464" s="120">
        <f>IF(G1464="","",IF(G1464=0,"不適用",IF(I1464="","待評核",IF(I1464&gt;=G1464,IF(I1464&gt;G1464,"超越","達標"),"待發展"))))</f>
        <v/>
      </c>
      <c r="L1464" s="91" t="n"/>
      <c r="M1464" s="91" t="n"/>
      <c r="N1464" s="88" t="n"/>
    </row>
    <row r="1465" ht="15.75" customHeight="1" s="64">
      <c r="A1465" s="88" t="n"/>
      <c r="B1465" s="120">
        <f t="array" ref="B1465:B1465">IF(A1465="","",IFERROR(INDEX('3.員工名單'!$B:$B,MATCH(A1465,'3.員工名單'!$A:$A,0)),"查無此員工"))</f>
        <v/>
      </c>
      <c r="C1465" s="120">
        <f t="array" ref="C1465:C1465">IF(A1465="","",IFERROR(INDEX('3.員工名單'!$C:$C,MATCH(A1465,'3.員工名單'!$A:$A,0)),""))</f>
        <v/>
      </c>
      <c r="D1465" s="120">
        <f t="array" ref="D1465:D1465">IF(A1465="","",IFERROR(INDEX('3.員工名單'!$D:$D,MATCH(A1465,'3.員工名單'!$A:$A,0)),""))</f>
        <v/>
      </c>
      <c r="E1465" s="120">
        <f t="array" ref="E1465:E1465">IF(F1465="","",IFERROR(INDEX('1.職能辭典'!$A:$A,MATCH(F1465,'1.職能辭典'!$C:$C,0)),""))</f>
        <v/>
      </c>
      <c r="F1465" s="94" t="n"/>
      <c r="G1465" s="120">
        <f t="array" ref="G1465:G1465">IF(OR(D1465="",F1465=""),"",IFERROR(IF(AND(OR(INDEX('1.職能辭典'!$J:$J,MATCH(F1465,'1.職能辭典'!$C:$C,0))="全部",INDEX('3.員工名單'!$H:$H,MATCH(A1465,'3.員工名單'!$A:$A,0))="兩款共用",INDEX('3.員工名單'!$H:$H,MATCH(A1465,'3.員工名單'!$A:$A,0))=INDEX('1.職能辭典'!$J:$J,MATCH(F1465,'1.職能辭典'!$C:$C,0))),OR(INDEX('1.職能辭典'!$K:$K,MATCH(F1465,'1.職能辭典'!$C:$C,0))="全部",SUMPRODUCT(ISNUMBER(SEARCH({"經營","管理","財務","企劃","營運","技術","數據","美術","測試","客服"},INDEX('3.員工名單'!$I:$I,MATCH(A1465,'3.員工名單'!$A:$A,0))))*ISNUMBER(SEARCH({"經營","管理","財務","企劃","營運","技術","數據","美術","測試","客服"},INDEX('1.職能辭典'!$K:$K,MATCH(F1465,'1.職能辭典'!$C:$C,0)))))&gt;0)),INDEX('2.職務職能需求'!$B$2:$F$28,MATCH(F1465,'2.職務職能需求'!$A$2:$A$28,0),MATCH(D1465,'2.職務職能需求'!$B$1:$F$1,0)),0),""))</f>
        <v/>
      </c>
      <c r="H1465" s="94" t="n"/>
      <c r="I1465" s="94" t="n"/>
      <c r="J1465" s="120">
        <f>IF(OR(G1465="",I1465="",G1465=0),"",I1465-G1465)</f>
        <v/>
      </c>
      <c r="K1465" s="120">
        <f>IF(G1465="","",IF(G1465=0,"不適用",IF(I1465="","待評核",IF(I1465&gt;=G1465,IF(I1465&gt;G1465,"超越","達標"),"待發展"))))</f>
        <v/>
      </c>
      <c r="L1465" s="91" t="n"/>
      <c r="M1465" s="91" t="n"/>
      <c r="N1465" s="88" t="n"/>
    </row>
    <row r="1466" ht="15.75" customHeight="1" s="64">
      <c r="A1466" s="88" t="n"/>
      <c r="B1466" s="120">
        <f t="array" ref="B1466:B1466">IF(A1466="","",IFERROR(INDEX('3.員工名單'!$B:$B,MATCH(A1466,'3.員工名單'!$A:$A,0)),"查無此員工"))</f>
        <v/>
      </c>
      <c r="C1466" s="120">
        <f t="array" ref="C1466:C1466">IF(A1466="","",IFERROR(INDEX('3.員工名單'!$C:$C,MATCH(A1466,'3.員工名單'!$A:$A,0)),""))</f>
        <v/>
      </c>
      <c r="D1466" s="120">
        <f t="array" ref="D1466:D1466">IF(A1466="","",IFERROR(INDEX('3.員工名單'!$D:$D,MATCH(A1466,'3.員工名單'!$A:$A,0)),""))</f>
        <v/>
      </c>
      <c r="E1466" s="120">
        <f t="array" ref="E1466:E1466">IF(F1466="","",IFERROR(INDEX('1.職能辭典'!$A:$A,MATCH(F1466,'1.職能辭典'!$C:$C,0)),""))</f>
        <v/>
      </c>
      <c r="F1466" s="94" t="n"/>
      <c r="G1466" s="120">
        <f t="array" ref="G1466:G1466">IF(OR(D1466="",F1466=""),"",IFERROR(IF(AND(OR(INDEX('1.職能辭典'!$J:$J,MATCH(F1466,'1.職能辭典'!$C:$C,0))="全部",INDEX('3.員工名單'!$H:$H,MATCH(A1466,'3.員工名單'!$A:$A,0))="兩款共用",INDEX('3.員工名單'!$H:$H,MATCH(A1466,'3.員工名單'!$A:$A,0))=INDEX('1.職能辭典'!$J:$J,MATCH(F1466,'1.職能辭典'!$C:$C,0))),OR(INDEX('1.職能辭典'!$K:$K,MATCH(F1466,'1.職能辭典'!$C:$C,0))="全部",SUMPRODUCT(ISNUMBER(SEARCH({"經營","管理","財務","企劃","營運","技術","數據","美術","測試","客服"},INDEX('3.員工名單'!$I:$I,MATCH(A1466,'3.員工名單'!$A:$A,0))))*ISNUMBER(SEARCH({"經營","管理","財務","企劃","營運","技術","數據","美術","測試","客服"},INDEX('1.職能辭典'!$K:$K,MATCH(F1466,'1.職能辭典'!$C:$C,0)))))&gt;0)),INDEX('2.職務職能需求'!$B$2:$F$28,MATCH(F1466,'2.職務職能需求'!$A$2:$A$28,0),MATCH(D1466,'2.職務職能需求'!$B$1:$F$1,0)),0),""))</f>
        <v/>
      </c>
      <c r="H1466" s="94" t="n"/>
      <c r="I1466" s="94" t="n"/>
      <c r="J1466" s="120">
        <f>IF(OR(G1466="",I1466="",G1466=0),"",I1466-G1466)</f>
        <v/>
      </c>
      <c r="K1466" s="120">
        <f>IF(G1466="","",IF(G1466=0,"不適用",IF(I1466="","待評核",IF(I1466&gt;=G1466,IF(I1466&gt;G1466,"超越","達標"),"待發展"))))</f>
        <v/>
      </c>
      <c r="L1466" s="91" t="n"/>
      <c r="M1466" s="91" t="n"/>
      <c r="N1466" s="88" t="n"/>
    </row>
    <row r="1467" ht="15.75" customHeight="1" s="64">
      <c r="A1467" s="88" t="n"/>
      <c r="B1467" s="120">
        <f t="array" ref="B1467:B1467">IF(A1467="","",IFERROR(INDEX('3.員工名單'!$B:$B,MATCH(A1467,'3.員工名單'!$A:$A,0)),"查無此員工"))</f>
        <v/>
      </c>
      <c r="C1467" s="120">
        <f t="array" ref="C1467:C1467">IF(A1467="","",IFERROR(INDEX('3.員工名單'!$C:$C,MATCH(A1467,'3.員工名單'!$A:$A,0)),""))</f>
        <v/>
      </c>
      <c r="D1467" s="120">
        <f t="array" ref="D1467:D1467">IF(A1467="","",IFERROR(INDEX('3.員工名單'!$D:$D,MATCH(A1467,'3.員工名單'!$A:$A,0)),""))</f>
        <v/>
      </c>
      <c r="E1467" s="120">
        <f t="array" ref="E1467:E1467">IF(F1467="","",IFERROR(INDEX('1.職能辭典'!$A:$A,MATCH(F1467,'1.職能辭典'!$C:$C,0)),""))</f>
        <v/>
      </c>
      <c r="F1467" s="94" t="n"/>
      <c r="G1467" s="120">
        <f t="array" ref="G1467:G1467">IF(OR(D1467="",F1467=""),"",IFERROR(IF(AND(OR(INDEX('1.職能辭典'!$J:$J,MATCH(F1467,'1.職能辭典'!$C:$C,0))="全部",INDEX('3.員工名單'!$H:$H,MATCH(A1467,'3.員工名單'!$A:$A,0))="兩款共用",INDEX('3.員工名單'!$H:$H,MATCH(A1467,'3.員工名單'!$A:$A,0))=INDEX('1.職能辭典'!$J:$J,MATCH(F1467,'1.職能辭典'!$C:$C,0))),OR(INDEX('1.職能辭典'!$K:$K,MATCH(F1467,'1.職能辭典'!$C:$C,0))="全部",SUMPRODUCT(ISNUMBER(SEARCH({"經營","管理","財務","企劃","營運","技術","數據","美術","測試","客服"},INDEX('3.員工名單'!$I:$I,MATCH(A1467,'3.員工名單'!$A:$A,0))))*ISNUMBER(SEARCH({"經營","管理","財務","企劃","營運","技術","數據","美術","測試","客服"},INDEX('1.職能辭典'!$K:$K,MATCH(F1467,'1.職能辭典'!$C:$C,0)))))&gt;0)),INDEX('2.職務職能需求'!$B$2:$F$28,MATCH(F1467,'2.職務職能需求'!$A$2:$A$28,0),MATCH(D1467,'2.職務職能需求'!$B$1:$F$1,0)),0),""))</f>
        <v/>
      </c>
      <c r="H1467" s="94" t="n"/>
      <c r="I1467" s="94" t="n"/>
      <c r="J1467" s="120">
        <f>IF(OR(G1467="",I1467="",G1467=0),"",I1467-G1467)</f>
        <v/>
      </c>
      <c r="K1467" s="120">
        <f>IF(G1467="","",IF(G1467=0,"不適用",IF(I1467="","待評核",IF(I1467&gt;=G1467,IF(I1467&gt;G1467,"超越","達標"),"待發展"))))</f>
        <v/>
      </c>
      <c r="L1467" s="91" t="n"/>
      <c r="M1467" s="91" t="n"/>
      <c r="N1467" s="88" t="n"/>
    </row>
    <row r="1468" ht="15.75" customHeight="1" s="64">
      <c r="A1468" s="88" t="n"/>
      <c r="B1468" s="120">
        <f t="array" ref="B1468:B1468">IF(A1468="","",IFERROR(INDEX('3.員工名單'!$B:$B,MATCH(A1468,'3.員工名單'!$A:$A,0)),"查無此員工"))</f>
        <v/>
      </c>
      <c r="C1468" s="120">
        <f t="array" ref="C1468:C1468">IF(A1468="","",IFERROR(INDEX('3.員工名單'!$C:$C,MATCH(A1468,'3.員工名單'!$A:$A,0)),""))</f>
        <v/>
      </c>
      <c r="D1468" s="120">
        <f t="array" ref="D1468:D1468">IF(A1468="","",IFERROR(INDEX('3.員工名單'!$D:$D,MATCH(A1468,'3.員工名單'!$A:$A,0)),""))</f>
        <v/>
      </c>
      <c r="E1468" s="120">
        <f t="array" ref="E1468:E1468">IF(F1468="","",IFERROR(INDEX('1.職能辭典'!$A:$A,MATCH(F1468,'1.職能辭典'!$C:$C,0)),""))</f>
        <v/>
      </c>
      <c r="F1468" s="94" t="n"/>
      <c r="G1468" s="120">
        <f t="array" ref="G1468:G1468">IF(OR(D1468="",F1468=""),"",IFERROR(IF(AND(OR(INDEX('1.職能辭典'!$J:$J,MATCH(F1468,'1.職能辭典'!$C:$C,0))="全部",INDEX('3.員工名單'!$H:$H,MATCH(A1468,'3.員工名單'!$A:$A,0))="兩款共用",INDEX('3.員工名單'!$H:$H,MATCH(A1468,'3.員工名單'!$A:$A,0))=INDEX('1.職能辭典'!$J:$J,MATCH(F1468,'1.職能辭典'!$C:$C,0))),OR(INDEX('1.職能辭典'!$K:$K,MATCH(F1468,'1.職能辭典'!$C:$C,0))="全部",SUMPRODUCT(ISNUMBER(SEARCH({"經營","管理","財務","企劃","營運","技術","數據","美術","測試","客服"},INDEX('3.員工名單'!$I:$I,MATCH(A1468,'3.員工名單'!$A:$A,0))))*ISNUMBER(SEARCH({"經營","管理","財務","企劃","營運","技術","數據","美術","測試","客服"},INDEX('1.職能辭典'!$K:$K,MATCH(F1468,'1.職能辭典'!$C:$C,0)))))&gt;0)),INDEX('2.職務職能需求'!$B$2:$F$28,MATCH(F1468,'2.職務職能需求'!$A$2:$A$28,0),MATCH(D1468,'2.職務職能需求'!$B$1:$F$1,0)),0),""))</f>
        <v/>
      </c>
      <c r="H1468" s="94" t="n"/>
      <c r="I1468" s="94" t="n"/>
      <c r="J1468" s="120">
        <f>IF(OR(G1468="",I1468="",G1468=0),"",I1468-G1468)</f>
        <v/>
      </c>
      <c r="K1468" s="120">
        <f>IF(G1468="","",IF(G1468=0,"不適用",IF(I1468="","待評核",IF(I1468&gt;=G1468,IF(I1468&gt;G1468,"超越","達標"),"待發展"))))</f>
        <v/>
      </c>
      <c r="L1468" s="91" t="n"/>
      <c r="M1468" s="91" t="n"/>
      <c r="N1468" s="88" t="n"/>
    </row>
    <row r="1469" ht="15.75" customHeight="1" s="64">
      <c r="A1469" s="88" t="n"/>
      <c r="B1469" s="120">
        <f t="array" ref="B1469:B1469">IF(A1469="","",IFERROR(INDEX('3.員工名單'!$B:$B,MATCH(A1469,'3.員工名單'!$A:$A,0)),"查無此員工"))</f>
        <v/>
      </c>
      <c r="C1469" s="120">
        <f t="array" ref="C1469:C1469">IF(A1469="","",IFERROR(INDEX('3.員工名單'!$C:$C,MATCH(A1469,'3.員工名單'!$A:$A,0)),""))</f>
        <v/>
      </c>
      <c r="D1469" s="120">
        <f t="array" ref="D1469:D1469">IF(A1469="","",IFERROR(INDEX('3.員工名單'!$D:$D,MATCH(A1469,'3.員工名單'!$A:$A,0)),""))</f>
        <v/>
      </c>
      <c r="E1469" s="120">
        <f t="array" ref="E1469:E1469">IF(F1469="","",IFERROR(INDEX('1.職能辭典'!$A:$A,MATCH(F1469,'1.職能辭典'!$C:$C,0)),""))</f>
        <v/>
      </c>
      <c r="F1469" s="94" t="n"/>
      <c r="G1469" s="120">
        <f t="array" ref="G1469:G1469">IF(OR(D1469="",F1469=""),"",IFERROR(IF(AND(OR(INDEX('1.職能辭典'!$J:$J,MATCH(F1469,'1.職能辭典'!$C:$C,0))="全部",INDEX('3.員工名單'!$H:$H,MATCH(A1469,'3.員工名單'!$A:$A,0))="兩款共用",INDEX('3.員工名單'!$H:$H,MATCH(A1469,'3.員工名單'!$A:$A,0))=INDEX('1.職能辭典'!$J:$J,MATCH(F1469,'1.職能辭典'!$C:$C,0))),OR(INDEX('1.職能辭典'!$K:$K,MATCH(F1469,'1.職能辭典'!$C:$C,0))="全部",SUMPRODUCT(ISNUMBER(SEARCH({"經營","管理","財務","企劃","營運","技術","數據","美術","測試","客服"},INDEX('3.員工名單'!$I:$I,MATCH(A1469,'3.員工名單'!$A:$A,0))))*ISNUMBER(SEARCH({"經營","管理","財務","企劃","營運","技術","數據","美術","測試","客服"},INDEX('1.職能辭典'!$K:$K,MATCH(F1469,'1.職能辭典'!$C:$C,0)))))&gt;0)),INDEX('2.職務職能需求'!$B$2:$F$28,MATCH(F1469,'2.職務職能需求'!$A$2:$A$28,0),MATCH(D1469,'2.職務職能需求'!$B$1:$F$1,0)),0),""))</f>
        <v/>
      </c>
      <c r="H1469" s="94" t="n"/>
      <c r="I1469" s="94" t="n"/>
      <c r="J1469" s="120">
        <f>IF(OR(G1469="",I1469="",G1469=0),"",I1469-G1469)</f>
        <v/>
      </c>
      <c r="K1469" s="120">
        <f>IF(G1469="","",IF(G1469=0,"不適用",IF(I1469="","待評核",IF(I1469&gt;=G1469,IF(I1469&gt;G1469,"超越","達標"),"待發展"))))</f>
        <v/>
      </c>
      <c r="L1469" s="91" t="n"/>
      <c r="M1469" s="91" t="n"/>
      <c r="N1469" s="88" t="n"/>
    </row>
    <row r="1470" ht="15.75" customHeight="1" s="64">
      <c r="A1470" s="88" t="n"/>
      <c r="B1470" s="120">
        <f t="array" ref="B1470:B1470">IF(A1470="","",IFERROR(INDEX('3.員工名單'!$B:$B,MATCH(A1470,'3.員工名單'!$A:$A,0)),"查無此員工"))</f>
        <v/>
      </c>
      <c r="C1470" s="120">
        <f t="array" ref="C1470:C1470">IF(A1470="","",IFERROR(INDEX('3.員工名單'!$C:$C,MATCH(A1470,'3.員工名單'!$A:$A,0)),""))</f>
        <v/>
      </c>
      <c r="D1470" s="120">
        <f t="array" ref="D1470:D1470">IF(A1470="","",IFERROR(INDEX('3.員工名單'!$D:$D,MATCH(A1470,'3.員工名單'!$A:$A,0)),""))</f>
        <v/>
      </c>
      <c r="E1470" s="120">
        <f t="array" ref="E1470:E1470">IF(F1470="","",IFERROR(INDEX('1.職能辭典'!$A:$A,MATCH(F1470,'1.職能辭典'!$C:$C,0)),""))</f>
        <v/>
      </c>
      <c r="F1470" s="94" t="n"/>
      <c r="G1470" s="120">
        <f t="array" ref="G1470:G1470">IF(OR(D1470="",F1470=""),"",IFERROR(IF(AND(OR(INDEX('1.職能辭典'!$J:$J,MATCH(F1470,'1.職能辭典'!$C:$C,0))="全部",INDEX('3.員工名單'!$H:$H,MATCH(A1470,'3.員工名單'!$A:$A,0))="兩款共用",INDEX('3.員工名單'!$H:$H,MATCH(A1470,'3.員工名單'!$A:$A,0))=INDEX('1.職能辭典'!$J:$J,MATCH(F1470,'1.職能辭典'!$C:$C,0))),OR(INDEX('1.職能辭典'!$K:$K,MATCH(F1470,'1.職能辭典'!$C:$C,0))="全部",SUMPRODUCT(ISNUMBER(SEARCH({"經營","管理","財務","企劃","營運","技術","數據","美術","測試","客服"},INDEX('3.員工名單'!$I:$I,MATCH(A1470,'3.員工名單'!$A:$A,0))))*ISNUMBER(SEARCH({"經營","管理","財務","企劃","營運","技術","數據","美術","測試","客服"},INDEX('1.職能辭典'!$K:$K,MATCH(F1470,'1.職能辭典'!$C:$C,0)))))&gt;0)),INDEX('2.職務職能需求'!$B$2:$F$28,MATCH(F1470,'2.職務職能需求'!$A$2:$A$28,0),MATCH(D1470,'2.職務職能需求'!$B$1:$F$1,0)),0),""))</f>
        <v/>
      </c>
      <c r="H1470" s="94" t="n"/>
      <c r="I1470" s="94" t="n"/>
      <c r="J1470" s="120">
        <f>IF(OR(G1470="",I1470="",G1470=0),"",I1470-G1470)</f>
        <v/>
      </c>
      <c r="K1470" s="120">
        <f>IF(G1470="","",IF(G1470=0,"不適用",IF(I1470="","待評核",IF(I1470&gt;=G1470,IF(I1470&gt;G1470,"超越","達標"),"待發展"))))</f>
        <v/>
      </c>
      <c r="L1470" s="91" t="n"/>
      <c r="M1470" s="91" t="n"/>
      <c r="N1470" s="88" t="n"/>
    </row>
    <row r="1471" ht="15.75" customHeight="1" s="64">
      <c r="A1471" s="88" t="n"/>
      <c r="B1471" s="120">
        <f t="array" ref="B1471:B1471">IF(A1471="","",IFERROR(INDEX('3.員工名單'!$B:$B,MATCH(A1471,'3.員工名單'!$A:$A,0)),"查無此員工"))</f>
        <v/>
      </c>
      <c r="C1471" s="120">
        <f t="array" ref="C1471:C1471">IF(A1471="","",IFERROR(INDEX('3.員工名單'!$C:$C,MATCH(A1471,'3.員工名單'!$A:$A,0)),""))</f>
        <v/>
      </c>
      <c r="D1471" s="120">
        <f t="array" ref="D1471:D1471">IF(A1471="","",IFERROR(INDEX('3.員工名單'!$D:$D,MATCH(A1471,'3.員工名單'!$A:$A,0)),""))</f>
        <v/>
      </c>
      <c r="E1471" s="120">
        <f t="array" ref="E1471:E1471">IF(F1471="","",IFERROR(INDEX('1.職能辭典'!$A:$A,MATCH(F1471,'1.職能辭典'!$C:$C,0)),""))</f>
        <v/>
      </c>
      <c r="F1471" s="94" t="n"/>
      <c r="G1471" s="120">
        <f t="array" ref="G1471:G1471">IF(OR(D1471="",F1471=""),"",IFERROR(IF(AND(OR(INDEX('1.職能辭典'!$J:$J,MATCH(F1471,'1.職能辭典'!$C:$C,0))="全部",INDEX('3.員工名單'!$H:$H,MATCH(A1471,'3.員工名單'!$A:$A,0))="兩款共用",INDEX('3.員工名單'!$H:$H,MATCH(A1471,'3.員工名單'!$A:$A,0))=INDEX('1.職能辭典'!$J:$J,MATCH(F1471,'1.職能辭典'!$C:$C,0))),OR(INDEX('1.職能辭典'!$K:$K,MATCH(F1471,'1.職能辭典'!$C:$C,0))="全部",SUMPRODUCT(ISNUMBER(SEARCH({"經營","管理","財務","企劃","營運","技術","數據","美術","測試","客服"},INDEX('3.員工名單'!$I:$I,MATCH(A1471,'3.員工名單'!$A:$A,0))))*ISNUMBER(SEARCH({"經營","管理","財務","企劃","營運","技術","數據","美術","測試","客服"},INDEX('1.職能辭典'!$K:$K,MATCH(F1471,'1.職能辭典'!$C:$C,0)))))&gt;0)),INDEX('2.職務職能需求'!$B$2:$F$28,MATCH(F1471,'2.職務職能需求'!$A$2:$A$28,0),MATCH(D1471,'2.職務職能需求'!$B$1:$F$1,0)),0),""))</f>
        <v/>
      </c>
      <c r="H1471" s="94" t="n"/>
      <c r="I1471" s="94" t="n"/>
      <c r="J1471" s="120">
        <f>IF(OR(G1471="",I1471="",G1471=0),"",I1471-G1471)</f>
        <v/>
      </c>
      <c r="K1471" s="120">
        <f>IF(G1471="","",IF(G1471=0,"不適用",IF(I1471="","待評核",IF(I1471&gt;=G1471,IF(I1471&gt;G1471,"超越","達標"),"待發展"))))</f>
        <v/>
      </c>
      <c r="L1471" s="91" t="n"/>
      <c r="M1471" s="91" t="n"/>
      <c r="N1471" s="88" t="n"/>
    </row>
    <row r="1472" ht="15.75" customHeight="1" s="64">
      <c r="A1472" s="88" t="n"/>
      <c r="B1472" s="120">
        <f t="array" ref="B1472:B1472">IF(A1472="","",IFERROR(INDEX('3.員工名單'!$B:$B,MATCH(A1472,'3.員工名單'!$A:$A,0)),"查無此員工"))</f>
        <v/>
      </c>
      <c r="C1472" s="120">
        <f t="array" ref="C1472:C1472">IF(A1472="","",IFERROR(INDEX('3.員工名單'!$C:$C,MATCH(A1472,'3.員工名單'!$A:$A,0)),""))</f>
        <v/>
      </c>
      <c r="D1472" s="120">
        <f t="array" ref="D1472:D1472">IF(A1472="","",IFERROR(INDEX('3.員工名單'!$D:$D,MATCH(A1472,'3.員工名單'!$A:$A,0)),""))</f>
        <v/>
      </c>
      <c r="E1472" s="120">
        <f t="array" ref="E1472:E1472">IF(F1472="","",IFERROR(INDEX('1.職能辭典'!$A:$A,MATCH(F1472,'1.職能辭典'!$C:$C,0)),""))</f>
        <v/>
      </c>
      <c r="F1472" s="94" t="n"/>
      <c r="G1472" s="120">
        <f t="array" ref="G1472:G1472">IF(OR(D1472="",F1472=""),"",IFERROR(IF(AND(OR(INDEX('1.職能辭典'!$J:$J,MATCH(F1472,'1.職能辭典'!$C:$C,0))="全部",INDEX('3.員工名單'!$H:$H,MATCH(A1472,'3.員工名單'!$A:$A,0))="兩款共用",INDEX('3.員工名單'!$H:$H,MATCH(A1472,'3.員工名單'!$A:$A,0))=INDEX('1.職能辭典'!$J:$J,MATCH(F1472,'1.職能辭典'!$C:$C,0))),OR(INDEX('1.職能辭典'!$K:$K,MATCH(F1472,'1.職能辭典'!$C:$C,0))="全部",SUMPRODUCT(ISNUMBER(SEARCH({"經營","管理","財務","企劃","營運","技術","數據","美術","測試","客服"},INDEX('3.員工名單'!$I:$I,MATCH(A1472,'3.員工名單'!$A:$A,0))))*ISNUMBER(SEARCH({"經營","管理","財務","企劃","營運","技術","數據","美術","測試","客服"},INDEX('1.職能辭典'!$K:$K,MATCH(F1472,'1.職能辭典'!$C:$C,0)))))&gt;0)),INDEX('2.職務職能需求'!$B$2:$F$28,MATCH(F1472,'2.職務職能需求'!$A$2:$A$28,0),MATCH(D1472,'2.職務職能需求'!$B$1:$F$1,0)),0),""))</f>
        <v/>
      </c>
      <c r="H1472" s="94" t="n"/>
      <c r="I1472" s="94" t="n"/>
      <c r="J1472" s="120">
        <f>IF(OR(G1472="",I1472="",G1472=0),"",I1472-G1472)</f>
        <v/>
      </c>
      <c r="K1472" s="120">
        <f>IF(G1472="","",IF(G1472=0,"不適用",IF(I1472="","待評核",IF(I1472&gt;=G1472,IF(I1472&gt;G1472,"超越","達標"),"待發展"))))</f>
        <v/>
      </c>
      <c r="L1472" s="91" t="n"/>
      <c r="M1472" s="91" t="n"/>
      <c r="N1472" s="88" t="n"/>
    </row>
    <row r="1473" ht="15.75" customHeight="1" s="64">
      <c r="A1473" s="88" t="n"/>
      <c r="B1473" s="120">
        <f t="array" ref="B1473:B1473">IF(A1473="","",IFERROR(INDEX('3.員工名單'!$B:$B,MATCH(A1473,'3.員工名單'!$A:$A,0)),"查無此員工"))</f>
        <v/>
      </c>
      <c r="C1473" s="120">
        <f t="array" ref="C1473:C1473">IF(A1473="","",IFERROR(INDEX('3.員工名單'!$C:$C,MATCH(A1473,'3.員工名單'!$A:$A,0)),""))</f>
        <v/>
      </c>
      <c r="D1473" s="120">
        <f t="array" ref="D1473:D1473">IF(A1473="","",IFERROR(INDEX('3.員工名單'!$D:$D,MATCH(A1473,'3.員工名單'!$A:$A,0)),""))</f>
        <v/>
      </c>
      <c r="E1473" s="120">
        <f t="array" ref="E1473:E1473">IF(F1473="","",IFERROR(INDEX('1.職能辭典'!$A:$A,MATCH(F1473,'1.職能辭典'!$C:$C,0)),""))</f>
        <v/>
      </c>
      <c r="F1473" s="94" t="n"/>
      <c r="G1473" s="120">
        <f t="array" ref="G1473:G1473">IF(OR(D1473="",F1473=""),"",IFERROR(IF(AND(OR(INDEX('1.職能辭典'!$J:$J,MATCH(F1473,'1.職能辭典'!$C:$C,0))="全部",INDEX('3.員工名單'!$H:$H,MATCH(A1473,'3.員工名單'!$A:$A,0))="兩款共用",INDEX('3.員工名單'!$H:$H,MATCH(A1473,'3.員工名單'!$A:$A,0))=INDEX('1.職能辭典'!$J:$J,MATCH(F1473,'1.職能辭典'!$C:$C,0))),OR(INDEX('1.職能辭典'!$K:$K,MATCH(F1473,'1.職能辭典'!$C:$C,0))="全部",SUMPRODUCT(ISNUMBER(SEARCH({"經營","管理","財務","企劃","營運","技術","數據","美術","測試","客服"},INDEX('3.員工名單'!$I:$I,MATCH(A1473,'3.員工名單'!$A:$A,0))))*ISNUMBER(SEARCH({"經營","管理","財務","企劃","營運","技術","數據","美術","測試","客服"},INDEX('1.職能辭典'!$K:$K,MATCH(F1473,'1.職能辭典'!$C:$C,0)))))&gt;0)),INDEX('2.職務職能需求'!$B$2:$F$28,MATCH(F1473,'2.職務職能需求'!$A$2:$A$28,0),MATCH(D1473,'2.職務職能需求'!$B$1:$F$1,0)),0),""))</f>
        <v/>
      </c>
      <c r="H1473" s="94" t="n"/>
      <c r="I1473" s="94" t="n"/>
      <c r="J1473" s="120">
        <f>IF(OR(G1473="",I1473="",G1473=0),"",I1473-G1473)</f>
        <v/>
      </c>
      <c r="K1473" s="120">
        <f>IF(G1473="","",IF(G1473=0,"不適用",IF(I1473="","待評核",IF(I1473&gt;=G1473,IF(I1473&gt;G1473,"超越","達標"),"待發展"))))</f>
        <v/>
      </c>
      <c r="L1473" s="91" t="n"/>
      <c r="M1473" s="91" t="n"/>
      <c r="N1473" s="88" t="n"/>
    </row>
    <row r="1474" ht="15.75" customHeight="1" s="64">
      <c r="A1474" s="88" t="n"/>
      <c r="B1474" s="120">
        <f t="array" ref="B1474:B1474">IF(A1474="","",IFERROR(INDEX('3.員工名單'!$B:$B,MATCH(A1474,'3.員工名單'!$A:$A,0)),"查無此員工"))</f>
        <v/>
      </c>
      <c r="C1474" s="120">
        <f t="array" ref="C1474:C1474">IF(A1474="","",IFERROR(INDEX('3.員工名單'!$C:$C,MATCH(A1474,'3.員工名單'!$A:$A,0)),""))</f>
        <v/>
      </c>
      <c r="D1474" s="120">
        <f t="array" ref="D1474:D1474">IF(A1474="","",IFERROR(INDEX('3.員工名單'!$D:$D,MATCH(A1474,'3.員工名單'!$A:$A,0)),""))</f>
        <v/>
      </c>
      <c r="E1474" s="120">
        <f t="array" ref="E1474:E1474">IF(F1474="","",IFERROR(INDEX('1.職能辭典'!$A:$A,MATCH(F1474,'1.職能辭典'!$C:$C,0)),""))</f>
        <v/>
      </c>
      <c r="F1474" s="94" t="n"/>
      <c r="G1474" s="120">
        <f t="array" ref="G1474:G1474">IF(OR(D1474="",F1474=""),"",IFERROR(IF(AND(OR(INDEX('1.職能辭典'!$J:$J,MATCH(F1474,'1.職能辭典'!$C:$C,0))="全部",INDEX('3.員工名單'!$H:$H,MATCH(A1474,'3.員工名單'!$A:$A,0))="兩款共用",INDEX('3.員工名單'!$H:$H,MATCH(A1474,'3.員工名單'!$A:$A,0))=INDEX('1.職能辭典'!$J:$J,MATCH(F1474,'1.職能辭典'!$C:$C,0))),OR(INDEX('1.職能辭典'!$K:$K,MATCH(F1474,'1.職能辭典'!$C:$C,0))="全部",SUMPRODUCT(ISNUMBER(SEARCH({"經營","管理","財務","企劃","營運","技術","數據","美術","測試","客服"},INDEX('3.員工名單'!$I:$I,MATCH(A1474,'3.員工名單'!$A:$A,0))))*ISNUMBER(SEARCH({"經營","管理","財務","企劃","營運","技術","數據","美術","測試","客服"},INDEX('1.職能辭典'!$K:$K,MATCH(F1474,'1.職能辭典'!$C:$C,0)))))&gt;0)),INDEX('2.職務職能需求'!$B$2:$F$28,MATCH(F1474,'2.職務職能需求'!$A$2:$A$28,0),MATCH(D1474,'2.職務職能需求'!$B$1:$F$1,0)),0),""))</f>
        <v/>
      </c>
      <c r="H1474" s="94" t="n"/>
      <c r="I1474" s="94" t="n"/>
      <c r="J1474" s="120">
        <f>IF(OR(G1474="",I1474="",G1474=0),"",I1474-G1474)</f>
        <v/>
      </c>
      <c r="K1474" s="120">
        <f>IF(G1474="","",IF(G1474=0,"不適用",IF(I1474="","待評核",IF(I1474&gt;=G1474,IF(I1474&gt;G1474,"超越","達標"),"待發展"))))</f>
        <v/>
      </c>
      <c r="L1474" s="91" t="n"/>
      <c r="M1474" s="91" t="n"/>
      <c r="N1474" s="88" t="n"/>
    </row>
    <row r="1475" ht="15.75" customHeight="1" s="64">
      <c r="A1475" s="88" t="n"/>
      <c r="B1475" s="120">
        <f t="array" ref="B1475:B1475">IF(A1475="","",IFERROR(INDEX('3.員工名單'!$B:$B,MATCH(A1475,'3.員工名單'!$A:$A,0)),"查無此員工"))</f>
        <v/>
      </c>
      <c r="C1475" s="120">
        <f t="array" ref="C1475:C1475">IF(A1475="","",IFERROR(INDEX('3.員工名單'!$C:$C,MATCH(A1475,'3.員工名單'!$A:$A,0)),""))</f>
        <v/>
      </c>
      <c r="D1475" s="120">
        <f t="array" ref="D1475:D1475">IF(A1475="","",IFERROR(INDEX('3.員工名單'!$D:$D,MATCH(A1475,'3.員工名單'!$A:$A,0)),""))</f>
        <v/>
      </c>
      <c r="E1475" s="120">
        <f t="array" ref="E1475:E1475">IF(F1475="","",IFERROR(INDEX('1.職能辭典'!$A:$A,MATCH(F1475,'1.職能辭典'!$C:$C,0)),""))</f>
        <v/>
      </c>
      <c r="F1475" s="94" t="n"/>
      <c r="G1475" s="120">
        <f t="array" ref="G1475:G1475">IF(OR(D1475="",F1475=""),"",IFERROR(IF(AND(OR(INDEX('1.職能辭典'!$J:$J,MATCH(F1475,'1.職能辭典'!$C:$C,0))="全部",INDEX('3.員工名單'!$H:$H,MATCH(A1475,'3.員工名單'!$A:$A,0))="兩款共用",INDEX('3.員工名單'!$H:$H,MATCH(A1475,'3.員工名單'!$A:$A,0))=INDEX('1.職能辭典'!$J:$J,MATCH(F1475,'1.職能辭典'!$C:$C,0))),OR(INDEX('1.職能辭典'!$K:$K,MATCH(F1475,'1.職能辭典'!$C:$C,0))="全部",SUMPRODUCT(ISNUMBER(SEARCH({"經營","管理","財務","企劃","營運","技術","數據","美術","測試","客服"},INDEX('3.員工名單'!$I:$I,MATCH(A1475,'3.員工名單'!$A:$A,0))))*ISNUMBER(SEARCH({"經營","管理","財務","企劃","營運","技術","數據","美術","測試","客服"},INDEX('1.職能辭典'!$K:$K,MATCH(F1475,'1.職能辭典'!$C:$C,0)))))&gt;0)),INDEX('2.職務職能需求'!$B$2:$F$28,MATCH(F1475,'2.職務職能需求'!$A$2:$A$28,0),MATCH(D1475,'2.職務職能需求'!$B$1:$F$1,0)),0),""))</f>
        <v/>
      </c>
      <c r="H1475" s="94" t="n"/>
      <c r="I1475" s="94" t="n"/>
      <c r="J1475" s="120">
        <f>IF(OR(G1475="",I1475="",G1475=0),"",I1475-G1475)</f>
        <v/>
      </c>
      <c r="K1475" s="120">
        <f>IF(G1475="","",IF(G1475=0,"不適用",IF(I1475="","待評核",IF(I1475&gt;=G1475,IF(I1475&gt;G1475,"超越","達標"),"待發展"))))</f>
        <v/>
      </c>
      <c r="L1475" s="91" t="n"/>
      <c r="M1475" s="91" t="n"/>
      <c r="N1475" s="88" t="n"/>
    </row>
    <row r="1476" ht="15.75" customHeight="1" s="64">
      <c r="A1476" s="88" t="n"/>
      <c r="B1476" s="120">
        <f t="array" ref="B1476:B1476">IF(A1476="","",IFERROR(INDEX('3.員工名單'!$B:$B,MATCH(A1476,'3.員工名單'!$A:$A,0)),"查無此員工"))</f>
        <v/>
      </c>
      <c r="C1476" s="120">
        <f t="array" ref="C1476:C1476">IF(A1476="","",IFERROR(INDEX('3.員工名單'!$C:$C,MATCH(A1476,'3.員工名單'!$A:$A,0)),""))</f>
        <v/>
      </c>
      <c r="D1476" s="120">
        <f t="array" ref="D1476:D1476">IF(A1476="","",IFERROR(INDEX('3.員工名單'!$D:$D,MATCH(A1476,'3.員工名單'!$A:$A,0)),""))</f>
        <v/>
      </c>
      <c r="E1476" s="120">
        <f t="array" ref="E1476:E1476">IF(F1476="","",IFERROR(INDEX('1.職能辭典'!$A:$A,MATCH(F1476,'1.職能辭典'!$C:$C,0)),""))</f>
        <v/>
      </c>
      <c r="F1476" s="94" t="n"/>
      <c r="G1476" s="120">
        <f t="array" ref="G1476:G1476">IF(OR(D1476="",F1476=""),"",IFERROR(IF(AND(OR(INDEX('1.職能辭典'!$J:$J,MATCH(F1476,'1.職能辭典'!$C:$C,0))="全部",INDEX('3.員工名單'!$H:$H,MATCH(A1476,'3.員工名單'!$A:$A,0))="兩款共用",INDEX('3.員工名單'!$H:$H,MATCH(A1476,'3.員工名單'!$A:$A,0))=INDEX('1.職能辭典'!$J:$J,MATCH(F1476,'1.職能辭典'!$C:$C,0))),OR(INDEX('1.職能辭典'!$K:$K,MATCH(F1476,'1.職能辭典'!$C:$C,0))="全部",SUMPRODUCT(ISNUMBER(SEARCH({"經營","管理","財務","企劃","營運","技術","數據","美術","測試","客服"},INDEX('3.員工名單'!$I:$I,MATCH(A1476,'3.員工名單'!$A:$A,0))))*ISNUMBER(SEARCH({"經營","管理","財務","企劃","營運","技術","數據","美術","測試","客服"},INDEX('1.職能辭典'!$K:$K,MATCH(F1476,'1.職能辭典'!$C:$C,0)))))&gt;0)),INDEX('2.職務職能需求'!$B$2:$F$28,MATCH(F1476,'2.職務職能需求'!$A$2:$A$28,0),MATCH(D1476,'2.職務職能需求'!$B$1:$F$1,0)),0),""))</f>
        <v/>
      </c>
      <c r="H1476" s="94" t="n"/>
      <c r="I1476" s="94" t="n"/>
      <c r="J1476" s="120">
        <f>IF(OR(G1476="",I1476="",G1476=0),"",I1476-G1476)</f>
        <v/>
      </c>
      <c r="K1476" s="120">
        <f>IF(G1476="","",IF(G1476=0,"不適用",IF(I1476="","待評核",IF(I1476&gt;=G1476,IF(I1476&gt;G1476,"超越","達標"),"待發展"))))</f>
        <v/>
      </c>
      <c r="L1476" s="91" t="n"/>
      <c r="M1476" s="91" t="n"/>
      <c r="N1476" s="88" t="n"/>
    </row>
    <row r="1477" ht="15.75" customHeight="1" s="64">
      <c r="A1477" s="88" t="n"/>
      <c r="B1477" s="120">
        <f t="array" ref="B1477:B1477">IF(A1477="","",IFERROR(INDEX('3.員工名單'!$B:$B,MATCH(A1477,'3.員工名單'!$A:$A,0)),"查無此員工"))</f>
        <v/>
      </c>
      <c r="C1477" s="120">
        <f t="array" ref="C1477:C1477">IF(A1477="","",IFERROR(INDEX('3.員工名單'!$C:$C,MATCH(A1477,'3.員工名單'!$A:$A,0)),""))</f>
        <v/>
      </c>
      <c r="D1477" s="120">
        <f t="array" ref="D1477:D1477">IF(A1477="","",IFERROR(INDEX('3.員工名單'!$D:$D,MATCH(A1477,'3.員工名單'!$A:$A,0)),""))</f>
        <v/>
      </c>
      <c r="E1477" s="120">
        <f t="array" ref="E1477:E1477">IF(F1477="","",IFERROR(INDEX('1.職能辭典'!$A:$A,MATCH(F1477,'1.職能辭典'!$C:$C,0)),""))</f>
        <v/>
      </c>
      <c r="F1477" s="94" t="n"/>
      <c r="G1477" s="120">
        <f t="array" ref="G1477:G1477">IF(OR(D1477="",F1477=""),"",IFERROR(IF(AND(OR(INDEX('1.職能辭典'!$J:$J,MATCH(F1477,'1.職能辭典'!$C:$C,0))="全部",INDEX('3.員工名單'!$H:$H,MATCH(A1477,'3.員工名單'!$A:$A,0))="兩款共用",INDEX('3.員工名單'!$H:$H,MATCH(A1477,'3.員工名單'!$A:$A,0))=INDEX('1.職能辭典'!$J:$J,MATCH(F1477,'1.職能辭典'!$C:$C,0))),OR(INDEX('1.職能辭典'!$K:$K,MATCH(F1477,'1.職能辭典'!$C:$C,0))="全部",SUMPRODUCT(ISNUMBER(SEARCH({"經營","管理","財務","企劃","營運","技術","數據","美術","測試","客服"},INDEX('3.員工名單'!$I:$I,MATCH(A1477,'3.員工名單'!$A:$A,0))))*ISNUMBER(SEARCH({"經營","管理","財務","企劃","營運","技術","數據","美術","測試","客服"},INDEX('1.職能辭典'!$K:$K,MATCH(F1477,'1.職能辭典'!$C:$C,0)))))&gt;0)),INDEX('2.職務職能需求'!$B$2:$F$28,MATCH(F1477,'2.職務職能需求'!$A$2:$A$28,0),MATCH(D1477,'2.職務職能需求'!$B$1:$F$1,0)),0),""))</f>
        <v/>
      </c>
      <c r="H1477" s="94" t="n"/>
      <c r="I1477" s="94" t="n"/>
      <c r="J1477" s="120">
        <f>IF(OR(G1477="",I1477="",G1477=0),"",I1477-G1477)</f>
        <v/>
      </c>
      <c r="K1477" s="120">
        <f>IF(G1477="","",IF(G1477=0,"不適用",IF(I1477="","待評核",IF(I1477&gt;=G1477,IF(I1477&gt;G1477,"超越","達標"),"待發展"))))</f>
        <v/>
      </c>
      <c r="L1477" s="91" t="n"/>
      <c r="M1477" s="91" t="n"/>
      <c r="N1477" s="88" t="n"/>
    </row>
    <row r="1478" ht="15.75" customHeight="1" s="64">
      <c r="A1478" s="88" t="n"/>
      <c r="B1478" s="120">
        <f t="array" ref="B1478:B1478">IF(A1478="","",IFERROR(INDEX('3.員工名單'!$B:$B,MATCH(A1478,'3.員工名單'!$A:$A,0)),"查無此員工"))</f>
        <v/>
      </c>
      <c r="C1478" s="120">
        <f t="array" ref="C1478:C1478">IF(A1478="","",IFERROR(INDEX('3.員工名單'!$C:$C,MATCH(A1478,'3.員工名單'!$A:$A,0)),""))</f>
        <v/>
      </c>
      <c r="D1478" s="120">
        <f t="array" ref="D1478:D1478">IF(A1478="","",IFERROR(INDEX('3.員工名單'!$D:$D,MATCH(A1478,'3.員工名單'!$A:$A,0)),""))</f>
        <v/>
      </c>
      <c r="E1478" s="120">
        <f t="array" ref="E1478:E1478">IF(F1478="","",IFERROR(INDEX('1.職能辭典'!$A:$A,MATCH(F1478,'1.職能辭典'!$C:$C,0)),""))</f>
        <v/>
      </c>
      <c r="F1478" s="94" t="n"/>
      <c r="G1478" s="120">
        <f t="array" ref="G1478:G1478">IF(OR(D1478="",F1478=""),"",IFERROR(IF(AND(OR(INDEX('1.職能辭典'!$J:$J,MATCH(F1478,'1.職能辭典'!$C:$C,0))="全部",INDEX('3.員工名單'!$H:$H,MATCH(A1478,'3.員工名單'!$A:$A,0))="兩款共用",INDEX('3.員工名單'!$H:$H,MATCH(A1478,'3.員工名單'!$A:$A,0))=INDEX('1.職能辭典'!$J:$J,MATCH(F1478,'1.職能辭典'!$C:$C,0))),OR(INDEX('1.職能辭典'!$K:$K,MATCH(F1478,'1.職能辭典'!$C:$C,0))="全部",SUMPRODUCT(ISNUMBER(SEARCH({"經營","管理","財務","企劃","營運","技術","數據","美術","測試","客服"},INDEX('3.員工名單'!$I:$I,MATCH(A1478,'3.員工名單'!$A:$A,0))))*ISNUMBER(SEARCH({"經營","管理","財務","企劃","營運","技術","數據","美術","測試","客服"},INDEX('1.職能辭典'!$K:$K,MATCH(F1478,'1.職能辭典'!$C:$C,0)))))&gt;0)),INDEX('2.職務職能需求'!$B$2:$F$28,MATCH(F1478,'2.職務職能需求'!$A$2:$A$28,0),MATCH(D1478,'2.職務職能需求'!$B$1:$F$1,0)),0),""))</f>
        <v/>
      </c>
      <c r="H1478" s="94" t="n"/>
      <c r="I1478" s="94" t="n"/>
      <c r="J1478" s="120">
        <f>IF(OR(G1478="",I1478="",G1478=0),"",I1478-G1478)</f>
        <v/>
      </c>
      <c r="K1478" s="120">
        <f>IF(G1478="","",IF(G1478=0,"不適用",IF(I1478="","待評核",IF(I1478&gt;=G1478,IF(I1478&gt;G1478,"超越","達標"),"待發展"))))</f>
        <v/>
      </c>
      <c r="L1478" s="91" t="n"/>
      <c r="M1478" s="91" t="n"/>
      <c r="N1478" s="88" t="n"/>
    </row>
    <row r="1479" ht="15.75" customHeight="1" s="64">
      <c r="A1479" s="88" t="n"/>
      <c r="B1479" s="120">
        <f t="array" ref="B1479:B1479">IF(A1479="","",IFERROR(INDEX('3.員工名單'!$B:$B,MATCH(A1479,'3.員工名單'!$A:$A,0)),"查無此員工"))</f>
        <v/>
      </c>
      <c r="C1479" s="120">
        <f t="array" ref="C1479:C1479">IF(A1479="","",IFERROR(INDEX('3.員工名單'!$C:$C,MATCH(A1479,'3.員工名單'!$A:$A,0)),""))</f>
        <v/>
      </c>
      <c r="D1479" s="120">
        <f t="array" ref="D1479:D1479">IF(A1479="","",IFERROR(INDEX('3.員工名單'!$D:$D,MATCH(A1479,'3.員工名單'!$A:$A,0)),""))</f>
        <v/>
      </c>
      <c r="E1479" s="120">
        <f t="array" ref="E1479:E1479">IF(F1479="","",IFERROR(INDEX('1.職能辭典'!$A:$A,MATCH(F1479,'1.職能辭典'!$C:$C,0)),""))</f>
        <v/>
      </c>
      <c r="F1479" s="94" t="n"/>
      <c r="G1479" s="120">
        <f t="array" ref="G1479:G1479">IF(OR(D1479="",F1479=""),"",IFERROR(IF(AND(OR(INDEX('1.職能辭典'!$J:$J,MATCH(F1479,'1.職能辭典'!$C:$C,0))="全部",INDEX('3.員工名單'!$H:$H,MATCH(A1479,'3.員工名單'!$A:$A,0))="兩款共用",INDEX('3.員工名單'!$H:$H,MATCH(A1479,'3.員工名單'!$A:$A,0))=INDEX('1.職能辭典'!$J:$J,MATCH(F1479,'1.職能辭典'!$C:$C,0))),OR(INDEX('1.職能辭典'!$K:$K,MATCH(F1479,'1.職能辭典'!$C:$C,0))="全部",SUMPRODUCT(ISNUMBER(SEARCH({"經營","管理","財務","企劃","營運","技術","數據","美術","測試","客服"},INDEX('3.員工名單'!$I:$I,MATCH(A1479,'3.員工名單'!$A:$A,0))))*ISNUMBER(SEARCH({"經營","管理","財務","企劃","營運","技術","數據","美術","測試","客服"},INDEX('1.職能辭典'!$K:$K,MATCH(F1479,'1.職能辭典'!$C:$C,0)))))&gt;0)),INDEX('2.職務職能需求'!$B$2:$F$28,MATCH(F1479,'2.職務職能需求'!$A$2:$A$28,0),MATCH(D1479,'2.職務職能需求'!$B$1:$F$1,0)),0),""))</f>
        <v/>
      </c>
      <c r="H1479" s="94" t="n"/>
      <c r="I1479" s="94" t="n"/>
      <c r="J1479" s="120">
        <f>IF(OR(G1479="",I1479="",G1479=0),"",I1479-G1479)</f>
        <v/>
      </c>
      <c r="K1479" s="120">
        <f>IF(G1479="","",IF(G1479=0,"不適用",IF(I1479="","待評核",IF(I1479&gt;=G1479,IF(I1479&gt;G1479,"超越","達標"),"待發展"))))</f>
        <v/>
      </c>
      <c r="L1479" s="91" t="n"/>
      <c r="M1479" s="91" t="n"/>
      <c r="N1479" s="88" t="n"/>
    </row>
    <row r="1480" ht="15.75" customHeight="1" s="64">
      <c r="A1480" s="88" t="n"/>
      <c r="B1480" s="120">
        <f t="array" ref="B1480:B1480">IF(A1480="","",IFERROR(INDEX('3.員工名單'!$B:$B,MATCH(A1480,'3.員工名單'!$A:$A,0)),"查無此員工"))</f>
        <v/>
      </c>
      <c r="C1480" s="120">
        <f t="array" ref="C1480:C1480">IF(A1480="","",IFERROR(INDEX('3.員工名單'!$C:$C,MATCH(A1480,'3.員工名單'!$A:$A,0)),""))</f>
        <v/>
      </c>
      <c r="D1480" s="120">
        <f t="array" ref="D1480:D1480">IF(A1480="","",IFERROR(INDEX('3.員工名單'!$D:$D,MATCH(A1480,'3.員工名單'!$A:$A,0)),""))</f>
        <v/>
      </c>
      <c r="E1480" s="120">
        <f t="array" ref="E1480:E1480">IF(F1480="","",IFERROR(INDEX('1.職能辭典'!$A:$A,MATCH(F1480,'1.職能辭典'!$C:$C,0)),""))</f>
        <v/>
      </c>
      <c r="F1480" s="94" t="n"/>
      <c r="G1480" s="120">
        <f t="array" ref="G1480:G1480">IF(OR(D1480="",F1480=""),"",IFERROR(IF(AND(OR(INDEX('1.職能辭典'!$J:$J,MATCH(F1480,'1.職能辭典'!$C:$C,0))="全部",INDEX('3.員工名單'!$H:$H,MATCH(A1480,'3.員工名單'!$A:$A,0))="兩款共用",INDEX('3.員工名單'!$H:$H,MATCH(A1480,'3.員工名單'!$A:$A,0))=INDEX('1.職能辭典'!$J:$J,MATCH(F1480,'1.職能辭典'!$C:$C,0))),OR(INDEX('1.職能辭典'!$K:$K,MATCH(F1480,'1.職能辭典'!$C:$C,0))="全部",SUMPRODUCT(ISNUMBER(SEARCH({"經營","管理","財務","企劃","營運","技術","數據","美術","測試","客服"},INDEX('3.員工名單'!$I:$I,MATCH(A1480,'3.員工名單'!$A:$A,0))))*ISNUMBER(SEARCH({"經營","管理","財務","企劃","營運","技術","數據","美術","測試","客服"},INDEX('1.職能辭典'!$K:$K,MATCH(F1480,'1.職能辭典'!$C:$C,0)))))&gt;0)),INDEX('2.職務職能需求'!$B$2:$F$28,MATCH(F1480,'2.職務職能需求'!$A$2:$A$28,0),MATCH(D1480,'2.職務職能需求'!$B$1:$F$1,0)),0),""))</f>
        <v/>
      </c>
      <c r="H1480" s="94" t="n"/>
      <c r="I1480" s="94" t="n"/>
      <c r="J1480" s="120">
        <f>IF(OR(G1480="",I1480="",G1480=0),"",I1480-G1480)</f>
        <v/>
      </c>
      <c r="K1480" s="120">
        <f>IF(G1480="","",IF(G1480=0,"不適用",IF(I1480="","待評核",IF(I1480&gt;=G1480,IF(I1480&gt;G1480,"超越","達標"),"待發展"))))</f>
        <v/>
      </c>
      <c r="L1480" s="91" t="n"/>
      <c r="M1480" s="91" t="n"/>
      <c r="N1480" s="88" t="n"/>
    </row>
    <row r="1481" ht="15.75" customHeight="1" s="64">
      <c r="A1481" s="88" t="n"/>
      <c r="B1481" s="120">
        <f t="array" ref="B1481:B1481">IF(A1481="","",IFERROR(INDEX('3.員工名單'!$B:$B,MATCH(A1481,'3.員工名單'!$A:$A,0)),"查無此員工"))</f>
        <v/>
      </c>
      <c r="C1481" s="120">
        <f t="array" ref="C1481:C1481">IF(A1481="","",IFERROR(INDEX('3.員工名單'!$C:$C,MATCH(A1481,'3.員工名單'!$A:$A,0)),""))</f>
        <v/>
      </c>
      <c r="D1481" s="120">
        <f t="array" ref="D1481:D1481">IF(A1481="","",IFERROR(INDEX('3.員工名單'!$D:$D,MATCH(A1481,'3.員工名單'!$A:$A,0)),""))</f>
        <v/>
      </c>
      <c r="E1481" s="120">
        <f t="array" ref="E1481:E1481">IF(F1481="","",IFERROR(INDEX('1.職能辭典'!$A:$A,MATCH(F1481,'1.職能辭典'!$C:$C,0)),""))</f>
        <v/>
      </c>
      <c r="F1481" s="94" t="n"/>
      <c r="G1481" s="120">
        <f t="array" ref="G1481:G1481">IF(OR(D1481="",F1481=""),"",IFERROR(IF(AND(OR(INDEX('1.職能辭典'!$J:$J,MATCH(F1481,'1.職能辭典'!$C:$C,0))="全部",INDEX('3.員工名單'!$H:$H,MATCH(A1481,'3.員工名單'!$A:$A,0))="兩款共用",INDEX('3.員工名單'!$H:$H,MATCH(A1481,'3.員工名單'!$A:$A,0))=INDEX('1.職能辭典'!$J:$J,MATCH(F1481,'1.職能辭典'!$C:$C,0))),OR(INDEX('1.職能辭典'!$K:$K,MATCH(F1481,'1.職能辭典'!$C:$C,0))="全部",SUMPRODUCT(ISNUMBER(SEARCH({"經營","管理","財務","企劃","營運","技術","數據","美術","測試","客服"},INDEX('3.員工名單'!$I:$I,MATCH(A1481,'3.員工名單'!$A:$A,0))))*ISNUMBER(SEARCH({"經營","管理","財務","企劃","營運","技術","數據","美術","測試","客服"},INDEX('1.職能辭典'!$K:$K,MATCH(F1481,'1.職能辭典'!$C:$C,0)))))&gt;0)),INDEX('2.職務職能需求'!$B$2:$F$28,MATCH(F1481,'2.職務職能需求'!$A$2:$A$28,0),MATCH(D1481,'2.職務職能需求'!$B$1:$F$1,0)),0),""))</f>
        <v/>
      </c>
      <c r="H1481" s="94" t="n"/>
      <c r="I1481" s="94" t="n"/>
      <c r="J1481" s="120">
        <f>IF(OR(G1481="",I1481="",G1481=0),"",I1481-G1481)</f>
        <v/>
      </c>
      <c r="K1481" s="120">
        <f>IF(G1481="","",IF(G1481=0,"不適用",IF(I1481="","待評核",IF(I1481&gt;=G1481,IF(I1481&gt;G1481,"超越","達標"),"待發展"))))</f>
        <v/>
      </c>
      <c r="L1481" s="91" t="n"/>
      <c r="M1481" s="91" t="n"/>
      <c r="N1481" s="88" t="n"/>
    </row>
    <row r="1482" ht="15.75" customHeight="1" s="64">
      <c r="A1482" s="88" t="n"/>
      <c r="B1482" s="120">
        <f t="array" ref="B1482:B1482">IF(A1482="","",IFERROR(INDEX('3.員工名單'!$B:$B,MATCH(A1482,'3.員工名單'!$A:$A,0)),"查無此員工"))</f>
        <v/>
      </c>
      <c r="C1482" s="120">
        <f t="array" ref="C1482:C1482">IF(A1482="","",IFERROR(INDEX('3.員工名單'!$C:$C,MATCH(A1482,'3.員工名單'!$A:$A,0)),""))</f>
        <v/>
      </c>
      <c r="D1482" s="120">
        <f t="array" ref="D1482:D1482">IF(A1482="","",IFERROR(INDEX('3.員工名單'!$D:$D,MATCH(A1482,'3.員工名單'!$A:$A,0)),""))</f>
        <v/>
      </c>
      <c r="E1482" s="120">
        <f t="array" ref="E1482:E1482">IF(F1482="","",IFERROR(INDEX('1.職能辭典'!$A:$A,MATCH(F1482,'1.職能辭典'!$C:$C,0)),""))</f>
        <v/>
      </c>
      <c r="F1482" s="94" t="n"/>
      <c r="G1482" s="120">
        <f t="array" ref="G1482:G1482">IF(OR(D1482="",F1482=""),"",IFERROR(IF(AND(OR(INDEX('1.職能辭典'!$J:$J,MATCH(F1482,'1.職能辭典'!$C:$C,0))="全部",INDEX('3.員工名單'!$H:$H,MATCH(A1482,'3.員工名單'!$A:$A,0))="兩款共用",INDEX('3.員工名單'!$H:$H,MATCH(A1482,'3.員工名單'!$A:$A,0))=INDEX('1.職能辭典'!$J:$J,MATCH(F1482,'1.職能辭典'!$C:$C,0))),OR(INDEX('1.職能辭典'!$K:$K,MATCH(F1482,'1.職能辭典'!$C:$C,0))="全部",SUMPRODUCT(ISNUMBER(SEARCH({"經營","管理","財務","企劃","營運","技術","數據","美術","測試","客服"},INDEX('3.員工名單'!$I:$I,MATCH(A1482,'3.員工名單'!$A:$A,0))))*ISNUMBER(SEARCH({"經營","管理","財務","企劃","營運","技術","數據","美術","測試","客服"},INDEX('1.職能辭典'!$K:$K,MATCH(F1482,'1.職能辭典'!$C:$C,0)))))&gt;0)),INDEX('2.職務職能需求'!$B$2:$F$28,MATCH(F1482,'2.職務職能需求'!$A$2:$A$28,0),MATCH(D1482,'2.職務職能需求'!$B$1:$F$1,0)),0),""))</f>
        <v/>
      </c>
      <c r="H1482" s="94" t="n"/>
      <c r="I1482" s="94" t="n"/>
      <c r="J1482" s="120">
        <f>IF(OR(G1482="",I1482="",G1482=0),"",I1482-G1482)</f>
        <v/>
      </c>
      <c r="K1482" s="120">
        <f>IF(G1482="","",IF(G1482=0,"不適用",IF(I1482="","待評核",IF(I1482&gt;=G1482,IF(I1482&gt;G1482,"超越","達標"),"待發展"))))</f>
        <v/>
      </c>
      <c r="L1482" s="91" t="n"/>
      <c r="M1482" s="91" t="n"/>
      <c r="N1482" s="88" t="n"/>
    </row>
    <row r="1483" ht="15.75" customHeight="1" s="64">
      <c r="A1483" s="88" t="n"/>
      <c r="B1483" s="120">
        <f t="array" ref="B1483:B1483">IF(A1483="","",IFERROR(INDEX('3.員工名單'!$B:$B,MATCH(A1483,'3.員工名單'!$A:$A,0)),"查無此員工"))</f>
        <v/>
      </c>
      <c r="C1483" s="120">
        <f t="array" ref="C1483:C1483">IF(A1483="","",IFERROR(INDEX('3.員工名單'!$C:$C,MATCH(A1483,'3.員工名單'!$A:$A,0)),""))</f>
        <v/>
      </c>
      <c r="D1483" s="120">
        <f t="array" ref="D1483:D1483">IF(A1483="","",IFERROR(INDEX('3.員工名單'!$D:$D,MATCH(A1483,'3.員工名單'!$A:$A,0)),""))</f>
        <v/>
      </c>
      <c r="E1483" s="120">
        <f t="array" ref="E1483:E1483">IF(F1483="","",IFERROR(INDEX('1.職能辭典'!$A:$A,MATCH(F1483,'1.職能辭典'!$C:$C,0)),""))</f>
        <v/>
      </c>
      <c r="F1483" s="94" t="n"/>
      <c r="G1483" s="120">
        <f t="array" ref="G1483:G1483">IF(OR(D1483="",F1483=""),"",IFERROR(IF(AND(OR(INDEX('1.職能辭典'!$J:$J,MATCH(F1483,'1.職能辭典'!$C:$C,0))="全部",INDEX('3.員工名單'!$H:$H,MATCH(A1483,'3.員工名單'!$A:$A,0))="兩款共用",INDEX('3.員工名單'!$H:$H,MATCH(A1483,'3.員工名單'!$A:$A,0))=INDEX('1.職能辭典'!$J:$J,MATCH(F1483,'1.職能辭典'!$C:$C,0))),OR(INDEX('1.職能辭典'!$K:$K,MATCH(F1483,'1.職能辭典'!$C:$C,0))="全部",SUMPRODUCT(ISNUMBER(SEARCH({"經營","管理","財務","企劃","營運","技術","數據","美術","測試","客服"},INDEX('3.員工名單'!$I:$I,MATCH(A1483,'3.員工名單'!$A:$A,0))))*ISNUMBER(SEARCH({"經營","管理","財務","企劃","營運","技術","數據","美術","測試","客服"},INDEX('1.職能辭典'!$K:$K,MATCH(F1483,'1.職能辭典'!$C:$C,0)))))&gt;0)),INDEX('2.職務職能需求'!$B$2:$F$28,MATCH(F1483,'2.職務職能需求'!$A$2:$A$28,0),MATCH(D1483,'2.職務職能需求'!$B$1:$F$1,0)),0),""))</f>
        <v/>
      </c>
      <c r="H1483" s="94" t="n"/>
      <c r="I1483" s="94" t="n"/>
      <c r="J1483" s="120">
        <f>IF(OR(G1483="",I1483="",G1483=0),"",I1483-G1483)</f>
        <v/>
      </c>
      <c r="K1483" s="120">
        <f>IF(G1483="","",IF(G1483=0,"不適用",IF(I1483="","待評核",IF(I1483&gt;=G1483,IF(I1483&gt;G1483,"超越","達標"),"待發展"))))</f>
        <v/>
      </c>
      <c r="L1483" s="91" t="n"/>
      <c r="M1483" s="91" t="n"/>
      <c r="N1483" s="88" t="n"/>
    </row>
    <row r="1484" ht="15.75" customHeight="1" s="64">
      <c r="A1484" s="88" t="n"/>
      <c r="B1484" s="120">
        <f t="array" ref="B1484:B1484">IF(A1484="","",IFERROR(INDEX('3.員工名單'!$B:$B,MATCH(A1484,'3.員工名單'!$A:$A,0)),"查無此員工"))</f>
        <v/>
      </c>
      <c r="C1484" s="120">
        <f t="array" ref="C1484:C1484">IF(A1484="","",IFERROR(INDEX('3.員工名單'!$C:$C,MATCH(A1484,'3.員工名單'!$A:$A,0)),""))</f>
        <v/>
      </c>
      <c r="D1484" s="120">
        <f t="array" ref="D1484:D1484">IF(A1484="","",IFERROR(INDEX('3.員工名單'!$D:$D,MATCH(A1484,'3.員工名單'!$A:$A,0)),""))</f>
        <v/>
      </c>
      <c r="E1484" s="120">
        <f t="array" ref="E1484:E1484">IF(F1484="","",IFERROR(INDEX('1.職能辭典'!$A:$A,MATCH(F1484,'1.職能辭典'!$C:$C,0)),""))</f>
        <v/>
      </c>
      <c r="F1484" s="94" t="n"/>
      <c r="G1484" s="120">
        <f t="array" ref="G1484:G1484">IF(OR(D1484="",F1484=""),"",IFERROR(IF(AND(OR(INDEX('1.職能辭典'!$J:$J,MATCH(F1484,'1.職能辭典'!$C:$C,0))="全部",INDEX('3.員工名單'!$H:$H,MATCH(A1484,'3.員工名單'!$A:$A,0))="兩款共用",INDEX('3.員工名單'!$H:$H,MATCH(A1484,'3.員工名單'!$A:$A,0))=INDEX('1.職能辭典'!$J:$J,MATCH(F1484,'1.職能辭典'!$C:$C,0))),OR(INDEX('1.職能辭典'!$K:$K,MATCH(F1484,'1.職能辭典'!$C:$C,0))="全部",SUMPRODUCT(ISNUMBER(SEARCH({"經營","管理","財務","企劃","營運","技術","數據","美術","測試","客服"},INDEX('3.員工名單'!$I:$I,MATCH(A1484,'3.員工名單'!$A:$A,0))))*ISNUMBER(SEARCH({"經營","管理","財務","企劃","營運","技術","數據","美術","測試","客服"},INDEX('1.職能辭典'!$K:$K,MATCH(F1484,'1.職能辭典'!$C:$C,0)))))&gt;0)),INDEX('2.職務職能需求'!$B$2:$F$28,MATCH(F1484,'2.職務職能需求'!$A$2:$A$28,0),MATCH(D1484,'2.職務職能需求'!$B$1:$F$1,0)),0),""))</f>
        <v/>
      </c>
      <c r="H1484" s="94" t="n"/>
      <c r="I1484" s="94" t="n"/>
      <c r="J1484" s="120">
        <f>IF(OR(G1484="",I1484="",G1484=0),"",I1484-G1484)</f>
        <v/>
      </c>
      <c r="K1484" s="120">
        <f>IF(G1484="","",IF(G1484=0,"不適用",IF(I1484="","待評核",IF(I1484&gt;=G1484,IF(I1484&gt;G1484,"超越","達標"),"待發展"))))</f>
        <v/>
      </c>
      <c r="L1484" s="91" t="n"/>
      <c r="M1484" s="91" t="n"/>
      <c r="N1484" s="88" t="n"/>
    </row>
    <row r="1485" ht="15.75" customHeight="1" s="64">
      <c r="A1485" s="88" t="n"/>
      <c r="B1485" s="120">
        <f t="array" ref="B1485:B1485">IF(A1485="","",IFERROR(INDEX('3.員工名單'!$B:$B,MATCH(A1485,'3.員工名單'!$A:$A,0)),"查無此員工"))</f>
        <v/>
      </c>
      <c r="C1485" s="120">
        <f t="array" ref="C1485:C1485">IF(A1485="","",IFERROR(INDEX('3.員工名單'!$C:$C,MATCH(A1485,'3.員工名單'!$A:$A,0)),""))</f>
        <v/>
      </c>
      <c r="D1485" s="120">
        <f t="array" ref="D1485:D1485">IF(A1485="","",IFERROR(INDEX('3.員工名單'!$D:$D,MATCH(A1485,'3.員工名單'!$A:$A,0)),""))</f>
        <v/>
      </c>
      <c r="E1485" s="120">
        <f t="array" ref="E1485:E1485">IF(F1485="","",IFERROR(INDEX('1.職能辭典'!$A:$A,MATCH(F1485,'1.職能辭典'!$C:$C,0)),""))</f>
        <v/>
      </c>
      <c r="F1485" s="94" t="n"/>
      <c r="G1485" s="120">
        <f t="array" ref="G1485:G1485">IF(OR(D1485="",F1485=""),"",IFERROR(IF(AND(OR(INDEX('1.職能辭典'!$J:$J,MATCH(F1485,'1.職能辭典'!$C:$C,0))="全部",INDEX('3.員工名單'!$H:$H,MATCH(A1485,'3.員工名單'!$A:$A,0))="兩款共用",INDEX('3.員工名單'!$H:$H,MATCH(A1485,'3.員工名單'!$A:$A,0))=INDEX('1.職能辭典'!$J:$J,MATCH(F1485,'1.職能辭典'!$C:$C,0))),OR(INDEX('1.職能辭典'!$K:$K,MATCH(F1485,'1.職能辭典'!$C:$C,0))="全部",SUMPRODUCT(ISNUMBER(SEARCH({"經營","管理","財務","企劃","營運","技術","數據","美術","測試","客服"},INDEX('3.員工名單'!$I:$I,MATCH(A1485,'3.員工名單'!$A:$A,0))))*ISNUMBER(SEARCH({"經營","管理","財務","企劃","營運","技術","數據","美術","測試","客服"},INDEX('1.職能辭典'!$K:$K,MATCH(F1485,'1.職能辭典'!$C:$C,0)))))&gt;0)),INDEX('2.職務職能需求'!$B$2:$F$28,MATCH(F1485,'2.職務職能需求'!$A$2:$A$28,0),MATCH(D1485,'2.職務職能需求'!$B$1:$F$1,0)),0),""))</f>
        <v/>
      </c>
      <c r="H1485" s="94" t="n"/>
      <c r="I1485" s="94" t="n"/>
      <c r="J1485" s="120">
        <f>IF(OR(G1485="",I1485="",G1485=0),"",I1485-G1485)</f>
        <v/>
      </c>
      <c r="K1485" s="120">
        <f>IF(G1485="","",IF(G1485=0,"不適用",IF(I1485="","待評核",IF(I1485&gt;=G1485,IF(I1485&gt;G1485,"超越","達標"),"待發展"))))</f>
        <v/>
      </c>
      <c r="L1485" s="91" t="n"/>
      <c r="M1485" s="91" t="n"/>
      <c r="N1485" s="88" t="n"/>
    </row>
    <row r="1486" ht="15.75" customHeight="1" s="64">
      <c r="A1486" s="88" t="n"/>
      <c r="B1486" s="120">
        <f t="array" ref="B1486:B1486">IF(A1486="","",IFERROR(INDEX('3.員工名單'!$B:$B,MATCH(A1486,'3.員工名單'!$A:$A,0)),"查無此員工"))</f>
        <v/>
      </c>
      <c r="C1486" s="120">
        <f t="array" ref="C1486:C1486">IF(A1486="","",IFERROR(INDEX('3.員工名單'!$C:$C,MATCH(A1486,'3.員工名單'!$A:$A,0)),""))</f>
        <v/>
      </c>
      <c r="D1486" s="120">
        <f t="array" ref="D1486:D1486">IF(A1486="","",IFERROR(INDEX('3.員工名單'!$D:$D,MATCH(A1486,'3.員工名單'!$A:$A,0)),""))</f>
        <v/>
      </c>
      <c r="E1486" s="120">
        <f t="array" ref="E1486:E1486">IF(F1486="","",IFERROR(INDEX('1.職能辭典'!$A:$A,MATCH(F1486,'1.職能辭典'!$C:$C,0)),""))</f>
        <v/>
      </c>
      <c r="F1486" s="94" t="n"/>
      <c r="G1486" s="120">
        <f t="array" ref="G1486:G1486">IF(OR(D1486="",F1486=""),"",IFERROR(IF(AND(OR(INDEX('1.職能辭典'!$J:$J,MATCH(F1486,'1.職能辭典'!$C:$C,0))="全部",INDEX('3.員工名單'!$H:$H,MATCH(A1486,'3.員工名單'!$A:$A,0))="兩款共用",INDEX('3.員工名單'!$H:$H,MATCH(A1486,'3.員工名單'!$A:$A,0))=INDEX('1.職能辭典'!$J:$J,MATCH(F1486,'1.職能辭典'!$C:$C,0))),OR(INDEX('1.職能辭典'!$K:$K,MATCH(F1486,'1.職能辭典'!$C:$C,0))="全部",SUMPRODUCT(ISNUMBER(SEARCH({"經營","管理","財務","企劃","營運","技術","數據","美術","測試","客服"},INDEX('3.員工名單'!$I:$I,MATCH(A1486,'3.員工名單'!$A:$A,0))))*ISNUMBER(SEARCH({"經營","管理","財務","企劃","營運","技術","數據","美術","測試","客服"},INDEX('1.職能辭典'!$K:$K,MATCH(F1486,'1.職能辭典'!$C:$C,0)))))&gt;0)),INDEX('2.職務職能需求'!$B$2:$F$28,MATCH(F1486,'2.職務職能需求'!$A$2:$A$28,0),MATCH(D1486,'2.職務職能需求'!$B$1:$F$1,0)),0),""))</f>
        <v/>
      </c>
      <c r="H1486" s="94" t="n"/>
      <c r="I1486" s="94" t="n"/>
      <c r="J1486" s="120">
        <f>IF(OR(G1486="",I1486="",G1486=0),"",I1486-G1486)</f>
        <v/>
      </c>
      <c r="K1486" s="120">
        <f>IF(G1486="","",IF(G1486=0,"不適用",IF(I1486="","待評核",IF(I1486&gt;=G1486,IF(I1486&gt;G1486,"超越","達標"),"待發展"))))</f>
        <v/>
      </c>
      <c r="L1486" s="91" t="n"/>
      <c r="M1486" s="91" t="n"/>
      <c r="N1486" s="88" t="n"/>
    </row>
  </sheetData>
  <autoFilter ref="A1:N1486"/>
  <conditionalFormatting sqref="K2:K1486">
    <cfRule type="cellIs" rank="0" priority="2" equalAverage="0" operator="equal" aboveAverage="0" dxfId="5" text="" percent="0" bottom="0">
      <formula>"待發展"</formula>
    </cfRule>
    <cfRule type="cellIs" rank="0" priority="3" equalAverage="0" operator="equal" aboveAverage="0" dxfId="6" text="" percent="0" bottom="0">
      <formula>"超越"</formula>
    </cfRule>
    <cfRule type="cellIs" rank="0" priority="4" equalAverage="0" operator="equal" aboveAverage="0" dxfId="7" text="" percent="0" bottom="0">
      <formula>"達標"</formula>
    </cfRule>
  </conditionalFormatting>
  <dataValidations count="2">
    <dataValidation sqref="H2:I1486" showDropDown="0" showInputMessage="1" showErrorMessage="1" allowBlank="1" prompt="請輸入 1–5" type="decimal" errorStyle="stop" operator="between">
      <formula1>1</formula1>
      <formula2>5</formula2>
    </dataValidation>
    <dataValidation sqref="F2:F1486" showDropDown="0" showInputMessage="1" showErrorMessage="1" allowBlank="1" prompt="請從職能辭典選擇" type="list" errorStyle="stop" operator="between">
      <formula1>'1.職能辭典'!$C$2:$C$28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baseColWidth="8" defaultColWidth="14.43359375" defaultRowHeight="15" zeroHeight="0" outlineLevelRow="0"/>
  <cols>
    <col width="11" customWidth="1" style="63" min="1" max="1"/>
    <col width="14" customWidth="1" style="63" min="2" max="2"/>
    <col width="18.71" customWidth="1" style="63" min="3" max="3"/>
    <col width="12" customWidth="1" style="63" min="4" max="4"/>
    <col width="10" customWidth="1" style="63" min="5" max="5"/>
    <col width="11" customWidth="1" style="63" min="6" max="6"/>
    <col width="9" customWidth="1" style="63" min="7" max="7"/>
    <col width="10" customWidth="1" style="63" min="8" max="8"/>
    <col width="9" customWidth="1" style="63" min="9" max="9"/>
    <col width="12" customWidth="1" style="63" min="10" max="13"/>
    <col width="8.710000000000001" customWidth="1" style="63" min="14" max="26"/>
  </cols>
  <sheetData>
    <row r="1" ht="31.5" customHeight="1" s="64">
      <c r="A1" s="86" t="inlineStr">
        <is>
          <t>員工編號</t>
        </is>
      </c>
      <c r="B1" s="86" t="inlineStr">
        <is>
          <t>姓名</t>
        </is>
      </c>
      <c r="C1" s="86" t="inlineStr">
        <is>
          <t>部門</t>
        </is>
      </c>
      <c r="D1" s="86" t="inlineStr">
        <is>
          <t>職稱</t>
        </is>
      </c>
      <c r="E1" s="86" t="inlineStr">
        <is>
          <t>已評項目數</t>
        </is>
      </c>
      <c r="F1" s="86" t="inlineStr">
        <is>
          <t>達標＋超越數</t>
        </is>
      </c>
      <c r="G1" s="86" t="inlineStr">
        <is>
          <t>待發展數</t>
        </is>
      </c>
      <c r="H1" s="86" t="inlineStr">
        <is>
          <t>職能達成率</t>
        </is>
      </c>
      <c r="I1" s="86" t="inlineStr">
        <is>
          <t>平均差距</t>
        </is>
      </c>
      <c r="J1" s="86" t="inlineStr">
        <is>
          <t>核心職能平均(主管評)</t>
        </is>
      </c>
      <c r="K1" s="86" t="inlineStr">
        <is>
          <t>管理職能平均(主管評)</t>
        </is>
      </c>
      <c r="L1" s="86" t="inlineStr">
        <is>
          <t>專業職能平均(主管評)</t>
        </is>
      </c>
      <c r="M1" s="86" t="inlineStr">
        <is>
          <t>盤點結果</t>
        </is>
      </c>
    </row>
    <row r="2" ht="15" customHeight="1" s="64">
      <c r="A2" s="120">
        <f>IF('3.員工名單'!A2="","",'3.員工名單'!A2)</f>
        <v/>
      </c>
      <c r="B2" s="120">
        <f>IF(A2="","",'3.員工名單'!B2)</f>
        <v/>
      </c>
      <c r="C2" s="120">
        <f>IF(A2="","",'3.員工名單'!C2)</f>
        <v/>
      </c>
      <c r="D2" s="120">
        <f>IF(A2="","",'3.員工名單'!D2)</f>
        <v/>
      </c>
      <c r="E2" s="120">
        <f>IF(A2="","",COUNTIFS('4.個人職能盤點'!$A$2:$A$1486,A2,'4.個人職能盤點'!$K$2:$K$1486,"達標")+COUNTIFS('4.個人職能盤點'!$A$2:$A$1486,A2,'4.個人職能盤點'!$K$2:$K$1486,"超越")+COUNTIFS('4.個人職能盤點'!$A$2:$A$1486,A2,'4.個人職能盤點'!$K$2:$K$1486,"待發展"))</f>
        <v/>
      </c>
      <c r="F2" s="120">
        <f>IF(A2="","",COUNTIFS('4.個人職能盤點'!$A$2:$A$1486,A2,'4.個人職能盤點'!$K$2:$K$1486,"達標")+COUNTIFS('4.個人職能盤點'!$A$2:$A$1486,A2,'4.個人職能盤點'!$K$2:$K$1486,"超越"))</f>
        <v/>
      </c>
      <c r="G2" s="120">
        <f>IF(A2="","",COUNTIFS('4.個人職能盤點'!$A$2:$A$1486,A2,'4.個人職能盤點'!$K$2:$K$1486,"待發展"))</f>
        <v/>
      </c>
      <c r="H2" s="121">
        <f>IF(OR(A2="",E2=0),"",F2/E2)</f>
        <v/>
      </c>
      <c r="I2" s="122">
        <f>IF(OR(A2="",E2=0),"",IFERROR(AVERAGEIFS('4.個人職能盤點'!$J$2:$J$1486,'4.個人職能盤點'!$A$2:$A$1486,A2),""))</f>
        <v/>
      </c>
      <c r="J2" s="123">
        <f>IF(A2="","",IFERROR(AVERAGEIFS('4.個人職能盤點'!$I$2:$I$1486,'4.個人職能盤點'!$A$2:$A$1486,A2,'4.個人職能盤點'!$E$2:$E$1486,"核心職能",'4.個人職能盤點'!$G$2:$G$1486,"&gt;0"),"-"))</f>
        <v/>
      </c>
      <c r="K2" s="123">
        <f>IF(A2="","",IFERROR(AVERAGEIFS('4.個人職能盤點'!$I$2:$I$1486,'4.個人職能盤點'!$A$2:$A$1486,A2,'4.個人職能盤點'!$E$2:$E$1486,"管理職能",'4.個人職能盤點'!$G$2:$G$1486,"&gt;0"),"-"))</f>
        <v/>
      </c>
      <c r="L2" s="123">
        <f>IF(A2="","",IFERROR(AVERAGEIFS('4.個人職能盤點'!$I$2:$I$1486,'4.個人職能盤點'!$A$2:$A$1486,A2,'4.個人職能盤點'!$E$2:$E$1486,"專業職能",'4.個人職能盤點'!$G$2:$G$1486,"&gt;0"),"-"))</f>
        <v/>
      </c>
      <c r="M2" s="120">
        <f>IF(H2="","",IF(H2&gt;=0.9,"優秀",IF(H2&gt;=0.7,"符合期待","需加強發展")))</f>
        <v/>
      </c>
    </row>
    <row r="3" ht="29.85" customHeight="1" s="64">
      <c r="A3" s="120">
        <f>IF('3.員工名單'!A4="","",'3.員工名單'!A4)</f>
        <v/>
      </c>
      <c r="B3" s="120">
        <f>IF(A3="","",'3.員工名單'!B4)</f>
        <v/>
      </c>
      <c r="C3" s="120">
        <f>IF(A3="","",'3.員工名單'!C4)</f>
        <v/>
      </c>
      <c r="D3" s="120">
        <f>IF(A3="","",'3.員工名單'!D4)</f>
        <v/>
      </c>
      <c r="E3" s="120">
        <f>IF(A3="","",COUNTIFS('4.個人職能盤點'!$A$2:$A$1486,A3,'4.個人職能盤點'!$K$2:$K$1486,"達標")+COUNTIFS('4.個人職能盤點'!$A$2:$A$1486,A3,'4.個人職能盤點'!$K$2:$K$1486,"超越")+COUNTIFS('4.個人職能盤點'!$A$2:$A$1486,A3,'4.個人職能盤點'!$K$2:$K$1486,"待發展"))</f>
        <v/>
      </c>
      <c r="F3" s="120">
        <f>IF(A3="","",COUNTIFS('4.個人職能盤點'!$A$2:$A$1486,A3,'4.個人職能盤點'!$K$2:$K$1486,"達標")+COUNTIFS('4.個人職能盤點'!$A$2:$A$1486,A3,'4.個人職能盤點'!$K$2:$K$1486,"超越"))</f>
        <v/>
      </c>
      <c r="G3" s="120">
        <f>IF(A3="","",COUNTIFS('4.個人職能盤點'!$A$2:$A$1486,A3,'4.個人職能盤點'!$K$2:$K$1486,"待發展"))</f>
        <v/>
      </c>
      <c r="H3" s="121">
        <f>IF(OR(A3="",E3=0),"",F3/E3)</f>
        <v/>
      </c>
      <c r="I3" s="122">
        <f>IF(OR(A3="",E3=0),"",IFERROR(AVERAGEIFS('4.個人職能盤點'!$J$2:$J$1486,'4.個人職能盤點'!$A$2:$A$1486,A3),""))</f>
        <v/>
      </c>
      <c r="J3" s="123">
        <f>IF(A3="","",IFERROR(AVERAGEIFS('4.個人職能盤點'!$I$2:$I$1486,'4.個人職能盤點'!$A$2:$A$1486,A3,'4.個人職能盤點'!$E$2:$E$1486,"核心職能",'4.個人職能盤點'!$G$2:$G$1486,"&gt;0"),"-"))</f>
        <v/>
      </c>
      <c r="K3" s="123">
        <f>IF(A3="","",IFERROR(AVERAGEIFS('4.個人職能盤點'!$I$2:$I$1486,'4.個人職能盤點'!$A$2:$A$1486,A3,'4.個人職能盤點'!$E$2:$E$1486,"管理職能",'4.個人職能盤點'!$G$2:$G$1486,"&gt;0"),"-"))</f>
        <v/>
      </c>
      <c r="L3" s="123">
        <f>IF(A3="","",IFERROR(AVERAGEIFS('4.個人職能盤點'!$I$2:$I$1486,'4.個人職能盤點'!$A$2:$A$1486,A3,'4.個人職能盤點'!$E$2:$E$1486,"專業職能",'4.個人職能盤點'!$G$2:$G$1486,"&gt;0"),"-"))</f>
        <v/>
      </c>
      <c r="M3" s="120">
        <f>IF(H3="","",IF(H3&gt;=0.9,"優秀",IF(H3&gt;=0.7,"符合期待","需加強發展")))</f>
        <v/>
      </c>
    </row>
    <row r="4" ht="15" customHeight="1" s="64">
      <c r="A4" s="120">
        <f>IF('3.員工名單'!A5="","",'3.員工名單'!A5)</f>
        <v/>
      </c>
      <c r="B4" s="120">
        <f>IF(A4="","",'3.員工名單'!B5)</f>
        <v/>
      </c>
      <c r="C4" s="120">
        <f>IF(A4="","",'3.員工名單'!C5)</f>
        <v/>
      </c>
      <c r="D4" s="120">
        <f>IF(A4="","",'3.員工名單'!D5)</f>
        <v/>
      </c>
      <c r="E4" s="120">
        <f>IF(A4="","",COUNTIFS('4.個人職能盤點'!$A$2:$A$1486,A4,'4.個人職能盤點'!$K$2:$K$1486,"達標")+COUNTIFS('4.個人職能盤點'!$A$2:$A$1486,A4,'4.個人職能盤點'!$K$2:$K$1486,"超越")+COUNTIFS('4.個人職能盤點'!$A$2:$A$1486,A4,'4.個人職能盤點'!$K$2:$K$1486,"待發展"))</f>
        <v/>
      </c>
      <c r="F4" s="120">
        <f>IF(A4="","",COUNTIFS('4.個人職能盤點'!$A$2:$A$1486,A4,'4.個人職能盤點'!$K$2:$K$1486,"達標")+COUNTIFS('4.個人職能盤點'!$A$2:$A$1486,A4,'4.個人職能盤點'!$K$2:$K$1486,"超越"))</f>
        <v/>
      </c>
      <c r="G4" s="120">
        <f>IF(A4="","",COUNTIFS('4.個人職能盤點'!$A$2:$A$1486,A4,'4.個人職能盤點'!$K$2:$K$1486,"待發展"))</f>
        <v/>
      </c>
      <c r="H4" s="121">
        <f>IF(OR(A4="",E4=0),"",F4/E4)</f>
        <v/>
      </c>
      <c r="I4" s="122">
        <f>IF(OR(A4="",E4=0),"",IFERROR(AVERAGEIFS('4.個人職能盤點'!$J$2:$J$1486,'4.個人職能盤點'!$A$2:$A$1486,A4),""))</f>
        <v/>
      </c>
      <c r="J4" s="123">
        <f>IF(A4="","",IFERROR(AVERAGEIFS('4.個人職能盤點'!$I$2:$I$1486,'4.個人職能盤點'!$A$2:$A$1486,A4,'4.個人職能盤點'!$E$2:$E$1486,"核心職能",'4.個人職能盤點'!$G$2:$G$1486,"&gt;0"),"-"))</f>
        <v/>
      </c>
      <c r="K4" s="123">
        <f>IF(A4="","",IFERROR(AVERAGEIFS('4.個人職能盤點'!$I$2:$I$1486,'4.個人職能盤點'!$A$2:$A$1486,A4,'4.個人職能盤點'!$E$2:$E$1486,"管理職能",'4.個人職能盤點'!$G$2:$G$1486,"&gt;0"),"-"))</f>
        <v/>
      </c>
      <c r="L4" s="123">
        <f>IF(A4="","",IFERROR(AVERAGEIFS('4.個人職能盤點'!$I$2:$I$1486,'4.個人職能盤點'!$A$2:$A$1486,A4,'4.個人職能盤點'!$E$2:$E$1486,"專業職能",'4.個人職能盤點'!$G$2:$G$1486,"&gt;0"),"-"))</f>
        <v/>
      </c>
      <c r="M4" s="120">
        <f>IF(H4="","",IF(H4&gt;=0.9,"優秀",IF(H4&gt;=0.7,"符合期待","需加強發展")))</f>
        <v/>
      </c>
    </row>
    <row r="5" ht="15" customHeight="1" s="64">
      <c r="A5" s="120">
        <f>IF('3.員工名單'!A6="","",'3.員工名單'!A6)</f>
        <v/>
      </c>
      <c r="B5" s="120">
        <f>IF(A5="","",'3.員工名單'!B6)</f>
        <v/>
      </c>
      <c r="C5" s="120">
        <f>IF(A5="","",'3.員工名單'!C6)</f>
        <v/>
      </c>
      <c r="D5" s="120">
        <f>IF(A5="","",'3.員工名單'!D6)</f>
        <v/>
      </c>
      <c r="E5" s="120">
        <f>IF(A5="","",COUNTIFS('4.個人職能盤點'!$A$2:$A$1486,A5,'4.個人職能盤點'!$K$2:$K$1486,"達標")+COUNTIFS('4.個人職能盤點'!$A$2:$A$1486,A5,'4.個人職能盤點'!$K$2:$K$1486,"超越")+COUNTIFS('4.個人職能盤點'!$A$2:$A$1486,A5,'4.個人職能盤點'!$K$2:$K$1486,"待發展"))</f>
        <v/>
      </c>
      <c r="F5" s="120">
        <f>IF(A5="","",COUNTIFS('4.個人職能盤點'!$A$2:$A$1486,A5,'4.個人職能盤點'!$K$2:$K$1486,"達標")+COUNTIFS('4.個人職能盤點'!$A$2:$A$1486,A5,'4.個人職能盤點'!$K$2:$K$1486,"超越"))</f>
        <v/>
      </c>
      <c r="G5" s="120">
        <f>IF(A5="","",COUNTIFS('4.個人職能盤點'!$A$2:$A$1486,A5,'4.個人職能盤點'!$K$2:$K$1486,"待發展"))</f>
        <v/>
      </c>
      <c r="H5" s="121">
        <f>IF(OR(A5="",E5=0),"",F5/E5)</f>
        <v/>
      </c>
      <c r="I5" s="122">
        <f>IF(OR(A5="",E5=0),"",IFERROR(AVERAGEIFS('4.個人職能盤點'!$J$2:$J$1486,'4.個人職能盤點'!$A$2:$A$1486,A5),""))</f>
        <v/>
      </c>
      <c r="J5" s="123">
        <f>IF(A5="","",IFERROR(AVERAGEIFS('4.個人職能盤點'!$I$2:$I$1486,'4.個人職能盤點'!$A$2:$A$1486,A5,'4.個人職能盤點'!$E$2:$E$1486,"核心職能",'4.個人職能盤點'!$G$2:$G$1486,"&gt;0"),"-"))</f>
        <v/>
      </c>
      <c r="K5" s="123">
        <f>IF(A5="","",IFERROR(AVERAGEIFS('4.個人職能盤點'!$I$2:$I$1486,'4.個人職能盤點'!$A$2:$A$1486,A5,'4.個人職能盤點'!$E$2:$E$1486,"管理職能",'4.個人職能盤點'!$G$2:$G$1486,"&gt;0"),"-"))</f>
        <v/>
      </c>
      <c r="L5" s="123">
        <f>IF(A5="","",IFERROR(AVERAGEIFS('4.個人職能盤點'!$I$2:$I$1486,'4.個人職能盤點'!$A$2:$A$1486,A5,'4.個人職能盤點'!$E$2:$E$1486,"專業職能",'4.個人職能盤點'!$G$2:$G$1486,"&gt;0"),"-"))</f>
        <v/>
      </c>
      <c r="M5" s="120">
        <f>IF(H5="","",IF(H5&gt;=0.9,"優秀",IF(H5&gt;=0.7,"符合期待","需加強發展")))</f>
        <v/>
      </c>
    </row>
    <row r="6" ht="15" customHeight="1" s="64">
      <c r="A6" s="120">
        <f>IF('3.員工名單'!A7="","",'3.員工名單'!A7)</f>
        <v/>
      </c>
      <c r="B6" s="120">
        <f>IF(A6="","",'3.員工名單'!B7)</f>
        <v/>
      </c>
      <c r="C6" s="120">
        <f>IF(A6="","",'3.員工名單'!C7)</f>
        <v/>
      </c>
      <c r="D6" s="120">
        <f>IF(A6="","",'3.員工名單'!D7)</f>
        <v/>
      </c>
      <c r="E6" s="120">
        <f>IF(A6="","",COUNTIFS('4.個人職能盤點'!$A$2:$A$1486,A6,'4.個人職能盤點'!$K$2:$K$1486,"達標")+COUNTIFS('4.個人職能盤點'!$A$2:$A$1486,A6,'4.個人職能盤點'!$K$2:$K$1486,"超越")+COUNTIFS('4.個人職能盤點'!$A$2:$A$1486,A6,'4.個人職能盤點'!$K$2:$K$1486,"待發展"))</f>
        <v/>
      </c>
      <c r="F6" s="120">
        <f>IF(A6="","",COUNTIFS('4.個人職能盤點'!$A$2:$A$1486,A6,'4.個人職能盤點'!$K$2:$K$1486,"達標")+COUNTIFS('4.個人職能盤點'!$A$2:$A$1486,A6,'4.個人職能盤點'!$K$2:$K$1486,"超越"))</f>
        <v/>
      </c>
      <c r="G6" s="120">
        <f>IF(A6="","",COUNTIFS('4.個人職能盤點'!$A$2:$A$1486,A6,'4.個人職能盤點'!$K$2:$K$1486,"待發展"))</f>
        <v/>
      </c>
      <c r="H6" s="121">
        <f>IF(OR(A6="",E6=0),"",F6/E6)</f>
        <v/>
      </c>
      <c r="I6" s="122">
        <f>IF(OR(A6="",E6=0),"",IFERROR(AVERAGEIFS('4.個人職能盤點'!$J$2:$J$1486,'4.個人職能盤點'!$A$2:$A$1486,A6),""))</f>
        <v/>
      </c>
      <c r="J6" s="123">
        <f>IF(A6="","",IFERROR(AVERAGEIFS('4.個人職能盤點'!$I$2:$I$1486,'4.個人職能盤點'!$A$2:$A$1486,A6,'4.個人職能盤點'!$E$2:$E$1486,"核心職能",'4.個人職能盤點'!$G$2:$G$1486,"&gt;0"),"-"))</f>
        <v/>
      </c>
      <c r="K6" s="123">
        <f>IF(A6="","",IFERROR(AVERAGEIFS('4.個人職能盤點'!$I$2:$I$1486,'4.個人職能盤點'!$A$2:$A$1486,A6,'4.個人職能盤點'!$E$2:$E$1486,"管理職能",'4.個人職能盤點'!$G$2:$G$1486,"&gt;0"),"-"))</f>
        <v/>
      </c>
      <c r="L6" s="123">
        <f>IF(A6="","",IFERROR(AVERAGEIFS('4.個人職能盤點'!$I$2:$I$1486,'4.個人職能盤點'!$A$2:$A$1486,A6,'4.個人職能盤點'!$E$2:$E$1486,"專業職能",'4.個人職能盤點'!$G$2:$G$1486,"&gt;0"),"-"))</f>
        <v/>
      </c>
      <c r="M6" s="120">
        <f>IF(H6="","",IF(H6&gt;=0.9,"優秀",IF(H6&gt;=0.7,"符合期待","需加強發展")))</f>
        <v/>
      </c>
    </row>
    <row r="7" ht="15" customHeight="1" s="64">
      <c r="A7" s="120">
        <f>IF('3.員工名單'!A8="","",'3.員工名單'!A8)</f>
        <v/>
      </c>
      <c r="B7" s="120">
        <f>IF(A7="","",'3.員工名單'!B8)</f>
        <v/>
      </c>
      <c r="C7" s="120">
        <f>IF(A7="","",'3.員工名單'!C8)</f>
        <v/>
      </c>
      <c r="D7" s="120">
        <f>IF(A7="","",'3.員工名單'!D8)</f>
        <v/>
      </c>
      <c r="E7" s="120">
        <f>IF(A7="","",COUNTIFS('4.個人職能盤點'!$A$2:$A$1486,A7,'4.個人職能盤點'!$K$2:$K$1486,"達標")+COUNTIFS('4.個人職能盤點'!$A$2:$A$1486,A7,'4.個人職能盤點'!$K$2:$K$1486,"超越")+COUNTIFS('4.個人職能盤點'!$A$2:$A$1486,A7,'4.個人職能盤點'!$K$2:$K$1486,"待發展"))</f>
        <v/>
      </c>
      <c r="F7" s="120">
        <f>IF(A7="","",COUNTIFS('4.個人職能盤點'!$A$2:$A$1486,A7,'4.個人職能盤點'!$K$2:$K$1486,"達標")+COUNTIFS('4.個人職能盤點'!$A$2:$A$1486,A7,'4.個人職能盤點'!$K$2:$K$1486,"超越"))</f>
        <v/>
      </c>
      <c r="G7" s="120">
        <f>IF(A7="","",COUNTIFS('4.個人職能盤點'!$A$2:$A$1486,A7,'4.個人職能盤點'!$K$2:$K$1486,"待發展"))</f>
        <v/>
      </c>
      <c r="H7" s="121">
        <f>IF(OR(A7="",E7=0),"",F7/E7)</f>
        <v/>
      </c>
      <c r="I7" s="122">
        <f>IF(OR(A7="",E7=0),"",IFERROR(AVERAGEIFS('4.個人職能盤點'!$J$2:$J$1486,'4.個人職能盤點'!$A$2:$A$1486,A7),""))</f>
        <v/>
      </c>
      <c r="J7" s="123">
        <f>IF(A7="","",IFERROR(AVERAGEIFS('4.個人職能盤點'!$I$2:$I$1486,'4.個人職能盤點'!$A$2:$A$1486,A7,'4.個人職能盤點'!$E$2:$E$1486,"核心職能",'4.個人職能盤點'!$G$2:$G$1486,"&gt;0"),"-"))</f>
        <v/>
      </c>
      <c r="K7" s="123">
        <f>IF(A7="","",IFERROR(AVERAGEIFS('4.個人職能盤點'!$I$2:$I$1486,'4.個人職能盤點'!$A$2:$A$1486,A7,'4.個人職能盤點'!$E$2:$E$1486,"管理職能",'4.個人職能盤點'!$G$2:$G$1486,"&gt;0"),"-"))</f>
        <v/>
      </c>
      <c r="L7" s="123">
        <f>IF(A7="","",IFERROR(AVERAGEIFS('4.個人職能盤點'!$I$2:$I$1486,'4.個人職能盤點'!$A$2:$A$1486,A7,'4.個人職能盤點'!$E$2:$E$1486,"專業職能",'4.個人職能盤點'!$G$2:$G$1486,"&gt;0"),"-"))</f>
        <v/>
      </c>
      <c r="M7" s="120">
        <f>IF(H7="","",IF(H7&gt;=0.9,"優秀",IF(H7&gt;=0.7,"符合期待","需加強發展")))</f>
        <v/>
      </c>
    </row>
    <row r="8" ht="15" customHeight="1" s="64">
      <c r="A8" s="120">
        <f>IF('3.員工名單'!A9="","",'3.員工名單'!A9)</f>
        <v/>
      </c>
      <c r="B8" s="120">
        <f>IF(A8="","",'3.員工名單'!B9)</f>
        <v/>
      </c>
      <c r="C8" s="120">
        <f>IF(A8="","",'3.員工名單'!C9)</f>
        <v/>
      </c>
      <c r="D8" s="120">
        <f>IF(A8="","",'3.員工名單'!D9)</f>
        <v/>
      </c>
      <c r="E8" s="120">
        <f>IF(A8="","",COUNTIFS('4.個人職能盤點'!$A$2:$A$1486,A8,'4.個人職能盤點'!$K$2:$K$1486,"達標")+COUNTIFS('4.個人職能盤點'!$A$2:$A$1486,A8,'4.個人職能盤點'!$K$2:$K$1486,"超越")+COUNTIFS('4.個人職能盤點'!$A$2:$A$1486,A8,'4.個人職能盤點'!$K$2:$K$1486,"待發展"))</f>
        <v/>
      </c>
      <c r="F8" s="120">
        <f>IF(A8="","",COUNTIFS('4.個人職能盤點'!$A$2:$A$1486,A8,'4.個人職能盤點'!$K$2:$K$1486,"達標")+COUNTIFS('4.個人職能盤點'!$A$2:$A$1486,A8,'4.個人職能盤點'!$K$2:$K$1486,"超越"))</f>
        <v/>
      </c>
      <c r="G8" s="120">
        <f>IF(A8="","",COUNTIFS('4.個人職能盤點'!$A$2:$A$1486,A8,'4.個人職能盤點'!$K$2:$K$1486,"待發展"))</f>
        <v/>
      </c>
      <c r="H8" s="121">
        <f>IF(OR(A8="",E8=0),"",F8/E8)</f>
        <v/>
      </c>
      <c r="I8" s="122">
        <f>IF(OR(A8="",E8=0),"",IFERROR(AVERAGEIFS('4.個人職能盤點'!$J$2:$J$1486,'4.個人職能盤點'!$A$2:$A$1486,A8),""))</f>
        <v/>
      </c>
      <c r="J8" s="123">
        <f>IF(A8="","",IFERROR(AVERAGEIFS('4.個人職能盤點'!$I$2:$I$1486,'4.個人職能盤點'!$A$2:$A$1486,A8,'4.個人職能盤點'!$E$2:$E$1486,"核心職能",'4.個人職能盤點'!$G$2:$G$1486,"&gt;0"),"-"))</f>
        <v/>
      </c>
      <c r="K8" s="123">
        <f>IF(A8="","",IFERROR(AVERAGEIFS('4.個人職能盤點'!$I$2:$I$1486,'4.個人職能盤點'!$A$2:$A$1486,A8,'4.個人職能盤點'!$E$2:$E$1486,"管理職能",'4.個人職能盤點'!$G$2:$G$1486,"&gt;0"),"-"))</f>
        <v/>
      </c>
      <c r="L8" s="123">
        <f>IF(A8="","",IFERROR(AVERAGEIFS('4.個人職能盤點'!$I$2:$I$1486,'4.個人職能盤點'!$A$2:$A$1486,A8,'4.個人職能盤點'!$E$2:$E$1486,"專業職能",'4.個人職能盤點'!$G$2:$G$1486,"&gt;0"),"-"))</f>
        <v/>
      </c>
      <c r="M8" s="120">
        <f>IF(H8="","",IF(H8&gt;=0.9,"優秀",IF(H8&gt;=0.7,"符合期待","需加強發展")))</f>
        <v/>
      </c>
    </row>
    <row r="9" ht="15" customHeight="1" s="64">
      <c r="A9" s="120">
        <f>IF('3.員工名單'!A10="","",'3.員工名單'!A10)</f>
        <v/>
      </c>
      <c r="B9" s="120">
        <f>IF(A9="","",'3.員工名單'!B10)</f>
        <v/>
      </c>
      <c r="C9" s="120">
        <f>IF(A9="","",'3.員工名單'!C10)</f>
        <v/>
      </c>
      <c r="D9" s="120">
        <f>IF(A9="","",'3.員工名單'!D10)</f>
        <v/>
      </c>
      <c r="E9" s="120">
        <f>IF(A9="","",COUNTIFS('4.個人職能盤點'!$A$2:$A$1486,A9,'4.個人職能盤點'!$K$2:$K$1486,"達標")+COUNTIFS('4.個人職能盤點'!$A$2:$A$1486,A9,'4.個人職能盤點'!$K$2:$K$1486,"超越")+COUNTIFS('4.個人職能盤點'!$A$2:$A$1486,A9,'4.個人職能盤點'!$K$2:$K$1486,"待發展"))</f>
        <v/>
      </c>
      <c r="F9" s="120">
        <f>IF(A9="","",COUNTIFS('4.個人職能盤點'!$A$2:$A$1486,A9,'4.個人職能盤點'!$K$2:$K$1486,"達標")+COUNTIFS('4.個人職能盤點'!$A$2:$A$1486,A9,'4.個人職能盤點'!$K$2:$K$1486,"超越"))</f>
        <v/>
      </c>
      <c r="G9" s="120">
        <f>IF(A9="","",COUNTIFS('4.個人職能盤點'!$A$2:$A$1486,A9,'4.個人職能盤點'!$K$2:$K$1486,"待發展"))</f>
        <v/>
      </c>
      <c r="H9" s="121">
        <f>IF(OR(A9="",E9=0),"",F9/E9)</f>
        <v/>
      </c>
      <c r="I9" s="122">
        <f>IF(OR(A9="",E9=0),"",IFERROR(AVERAGEIFS('4.個人職能盤點'!$J$2:$J$1486,'4.個人職能盤點'!$A$2:$A$1486,A9),""))</f>
        <v/>
      </c>
      <c r="J9" s="123">
        <f>IF(A9="","",IFERROR(AVERAGEIFS('4.個人職能盤點'!$I$2:$I$1486,'4.個人職能盤點'!$A$2:$A$1486,A9,'4.個人職能盤點'!$E$2:$E$1486,"核心職能",'4.個人職能盤點'!$G$2:$G$1486,"&gt;0"),"-"))</f>
        <v/>
      </c>
      <c r="K9" s="123">
        <f>IF(A9="","",IFERROR(AVERAGEIFS('4.個人職能盤點'!$I$2:$I$1486,'4.個人職能盤點'!$A$2:$A$1486,A9,'4.個人職能盤點'!$E$2:$E$1486,"管理職能",'4.個人職能盤點'!$G$2:$G$1486,"&gt;0"),"-"))</f>
        <v/>
      </c>
      <c r="L9" s="123">
        <f>IF(A9="","",IFERROR(AVERAGEIFS('4.個人職能盤點'!$I$2:$I$1486,'4.個人職能盤點'!$A$2:$A$1486,A9,'4.個人職能盤點'!$E$2:$E$1486,"專業職能",'4.個人職能盤點'!$G$2:$G$1486,"&gt;0"),"-"))</f>
        <v/>
      </c>
      <c r="M9" s="120">
        <f>IF(H9="","",IF(H9&gt;=0.9,"優秀",IF(H9&gt;=0.7,"符合期待","需加強發展")))</f>
        <v/>
      </c>
    </row>
    <row r="10" ht="15" customHeight="1" s="64">
      <c r="A10" s="120">
        <f>IF('3.員工名單'!A11="","",'3.員工名單'!A11)</f>
        <v/>
      </c>
      <c r="B10" s="120">
        <f>IF(A10="","",'3.員工名單'!B11)</f>
        <v/>
      </c>
      <c r="C10" s="120">
        <f>IF(A10="","",'3.員工名單'!C11)</f>
        <v/>
      </c>
      <c r="D10" s="120">
        <f>IF(A10="","",'3.員工名單'!D11)</f>
        <v/>
      </c>
      <c r="E10" s="120">
        <f>IF(A10="","",COUNTIFS('4.個人職能盤點'!$A$2:$A$1486,A10,'4.個人職能盤點'!$K$2:$K$1486,"達標")+COUNTIFS('4.個人職能盤點'!$A$2:$A$1486,A10,'4.個人職能盤點'!$K$2:$K$1486,"超越")+COUNTIFS('4.個人職能盤點'!$A$2:$A$1486,A10,'4.個人職能盤點'!$K$2:$K$1486,"待發展"))</f>
        <v/>
      </c>
      <c r="F10" s="120">
        <f>IF(A10="","",COUNTIFS('4.個人職能盤點'!$A$2:$A$1486,A10,'4.個人職能盤點'!$K$2:$K$1486,"達標")+COUNTIFS('4.個人職能盤點'!$A$2:$A$1486,A10,'4.個人職能盤點'!$K$2:$K$1486,"超越"))</f>
        <v/>
      </c>
      <c r="G10" s="120">
        <f>IF(A10="","",COUNTIFS('4.個人職能盤點'!$A$2:$A$1486,A10,'4.個人職能盤點'!$K$2:$K$1486,"待發展"))</f>
        <v/>
      </c>
      <c r="H10" s="121">
        <f>IF(OR(A10="",E10=0),"",F10/E10)</f>
        <v/>
      </c>
      <c r="I10" s="122">
        <f>IF(OR(A10="",E10=0),"",IFERROR(AVERAGEIFS('4.個人職能盤點'!$J$2:$J$1486,'4.個人職能盤點'!$A$2:$A$1486,A10),""))</f>
        <v/>
      </c>
      <c r="J10" s="123">
        <f>IF(A10="","",IFERROR(AVERAGEIFS('4.個人職能盤點'!$I$2:$I$1486,'4.個人職能盤點'!$A$2:$A$1486,A10,'4.個人職能盤點'!$E$2:$E$1486,"核心職能",'4.個人職能盤點'!$G$2:$G$1486,"&gt;0"),"-"))</f>
        <v/>
      </c>
      <c r="K10" s="123">
        <f>IF(A10="","",IFERROR(AVERAGEIFS('4.個人職能盤點'!$I$2:$I$1486,'4.個人職能盤點'!$A$2:$A$1486,A10,'4.個人職能盤點'!$E$2:$E$1486,"管理職能",'4.個人職能盤點'!$G$2:$G$1486,"&gt;0"),"-"))</f>
        <v/>
      </c>
      <c r="L10" s="123">
        <f>IF(A10="","",IFERROR(AVERAGEIFS('4.個人職能盤點'!$I$2:$I$1486,'4.個人職能盤點'!$A$2:$A$1486,A10,'4.個人職能盤點'!$E$2:$E$1486,"專業職能",'4.個人職能盤點'!$G$2:$G$1486,"&gt;0"),"-"))</f>
        <v/>
      </c>
      <c r="M10" s="120">
        <f>IF(H10="","",IF(H10&gt;=0.9,"優秀",IF(H10&gt;=0.7,"符合期待","需加強發展")))</f>
        <v/>
      </c>
    </row>
    <row r="11" ht="15" customHeight="1" s="64">
      <c r="A11" s="120">
        <f>IF('3.員工名單'!A12="","",'3.員工名單'!A12)</f>
        <v/>
      </c>
      <c r="B11" s="120">
        <f>IF(A11="","",'3.員工名單'!B12)</f>
        <v/>
      </c>
      <c r="C11" s="120">
        <f>IF(A11="","",'3.員工名單'!C12)</f>
        <v/>
      </c>
      <c r="D11" s="120">
        <f>IF(A11="","",'3.員工名單'!D12)</f>
        <v/>
      </c>
      <c r="E11" s="120">
        <f>IF(A11="","",COUNTIFS('4.個人職能盤點'!$A$2:$A$1486,A11,'4.個人職能盤點'!$K$2:$K$1486,"達標")+COUNTIFS('4.個人職能盤點'!$A$2:$A$1486,A11,'4.個人職能盤點'!$K$2:$K$1486,"超越")+COUNTIFS('4.個人職能盤點'!$A$2:$A$1486,A11,'4.個人職能盤點'!$K$2:$K$1486,"待發展"))</f>
        <v/>
      </c>
      <c r="F11" s="120">
        <f>IF(A11="","",COUNTIFS('4.個人職能盤點'!$A$2:$A$1486,A11,'4.個人職能盤點'!$K$2:$K$1486,"達標")+COUNTIFS('4.個人職能盤點'!$A$2:$A$1486,A11,'4.個人職能盤點'!$K$2:$K$1486,"超越"))</f>
        <v/>
      </c>
      <c r="G11" s="120">
        <f>IF(A11="","",COUNTIFS('4.個人職能盤點'!$A$2:$A$1486,A11,'4.個人職能盤點'!$K$2:$K$1486,"待發展"))</f>
        <v/>
      </c>
      <c r="H11" s="121">
        <f>IF(OR(A11="",E11=0),"",F11/E11)</f>
        <v/>
      </c>
      <c r="I11" s="122">
        <f>IF(OR(A11="",E11=0),"",IFERROR(AVERAGEIFS('4.個人職能盤點'!$J$2:$J$1486,'4.個人職能盤點'!$A$2:$A$1486,A11),""))</f>
        <v/>
      </c>
      <c r="J11" s="123">
        <f>IF(A11="","",IFERROR(AVERAGEIFS('4.個人職能盤點'!$I$2:$I$1486,'4.個人職能盤點'!$A$2:$A$1486,A11,'4.個人職能盤點'!$E$2:$E$1486,"核心職能",'4.個人職能盤點'!$G$2:$G$1486,"&gt;0"),"-"))</f>
        <v/>
      </c>
      <c r="K11" s="123">
        <f>IF(A11="","",IFERROR(AVERAGEIFS('4.個人職能盤點'!$I$2:$I$1486,'4.個人職能盤點'!$A$2:$A$1486,A11,'4.個人職能盤點'!$E$2:$E$1486,"管理職能",'4.個人職能盤點'!$G$2:$G$1486,"&gt;0"),"-"))</f>
        <v/>
      </c>
      <c r="L11" s="123">
        <f>IF(A11="","",IFERROR(AVERAGEIFS('4.個人職能盤點'!$I$2:$I$1486,'4.個人職能盤點'!$A$2:$A$1486,A11,'4.個人職能盤點'!$E$2:$E$1486,"專業職能",'4.個人職能盤點'!$G$2:$G$1486,"&gt;0"),"-"))</f>
        <v/>
      </c>
      <c r="M11" s="120">
        <f>IF(H11="","",IF(H11&gt;=0.9,"優秀",IF(H11&gt;=0.7,"符合期待","需加強發展")))</f>
        <v/>
      </c>
    </row>
    <row r="12" ht="15" customHeight="1" s="64">
      <c r="A12" s="120">
        <f>IF('3.員工名單'!A13="","",'3.員工名單'!A13)</f>
        <v/>
      </c>
      <c r="B12" s="120">
        <f>IF(A12="","",'3.員工名單'!B13)</f>
        <v/>
      </c>
      <c r="C12" s="120">
        <f>IF(A12="","",'3.員工名單'!C13)</f>
        <v/>
      </c>
      <c r="D12" s="120">
        <f>IF(A12="","",'3.員工名單'!D13)</f>
        <v/>
      </c>
      <c r="E12" s="120">
        <f>IF(A12="","",COUNTIFS('4.個人職能盤點'!$A$2:$A$1486,A12,'4.個人職能盤點'!$K$2:$K$1486,"達標")+COUNTIFS('4.個人職能盤點'!$A$2:$A$1486,A12,'4.個人職能盤點'!$K$2:$K$1486,"超越")+COUNTIFS('4.個人職能盤點'!$A$2:$A$1486,A12,'4.個人職能盤點'!$K$2:$K$1486,"待發展"))</f>
        <v/>
      </c>
      <c r="F12" s="120">
        <f>IF(A12="","",COUNTIFS('4.個人職能盤點'!$A$2:$A$1486,A12,'4.個人職能盤點'!$K$2:$K$1486,"達標")+COUNTIFS('4.個人職能盤點'!$A$2:$A$1486,A12,'4.個人職能盤點'!$K$2:$K$1486,"超越"))</f>
        <v/>
      </c>
      <c r="G12" s="120">
        <f>IF(A12="","",COUNTIFS('4.個人職能盤點'!$A$2:$A$1486,A12,'4.個人職能盤點'!$K$2:$K$1486,"待發展"))</f>
        <v/>
      </c>
      <c r="H12" s="121">
        <f>IF(OR(A12="",E12=0),"",F12/E12)</f>
        <v/>
      </c>
      <c r="I12" s="122">
        <f>IF(OR(A12="",E12=0),"",IFERROR(AVERAGEIFS('4.個人職能盤點'!$J$2:$J$1486,'4.個人職能盤點'!$A$2:$A$1486,A12),""))</f>
        <v/>
      </c>
      <c r="J12" s="123">
        <f>IF(A12="","",IFERROR(AVERAGEIFS('4.個人職能盤點'!$I$2:$I$1486,'4.個人職能盤點'!$A$2:$A$1486,A12,'4.個人職能盤點'!$E$2:$E$1486,"核心職能",'4.個人職能盤點'!$G$2:$G$1486,"&gt;0"),"-"))</f>
        <v/>
      </c>
      <c r="K12" s="123">
        <f>IF(A12="","",IFERROR(AVERAGEIFS('4.個人職能盤點'!$I$2:$I$1486,'4.個人職能盤點'!$A$2:$A$1486,A12,'4.個人職能盤點'!$E$2:$E$1486,"管理職能",'4.個人職能盤點'!$G$2:$G$1486,"&gt;0"),"-"))</f>
        <v/>
      </c>
      <c r="L12" s="123">
        <f>IF(A12="","",IFERROR(AVERAGEIFS('4.個人職能盤點'!$I$2:$I$1486,'4.個人職能盤點'!$A$2:$A$1486,A12,'4.個人職能盤點'!$E$2:$E$1486,"專業職能",'4.個人職能盤點'!$G$2:$G$1486,"&gt;0"),"-"))</f>
        <v/>
      </c>
      <c r="M12" s="120">
        <f>IF(H12="","",IF(H12&gt;=0.9,"優秀",IF(H12&gt;=0.7,"符合期待","需加強發展")))</f>
        <v/>
      </c>
    </row>
    <row r="13" ht="15" customHeight="1" s="64">
      <c r="A13" s="120">
        <f>IF('3.員工名單'!A14="","",'3.員工名單'!A14)</f>
        <v/>
      </c>
      <c r="B13" s="120">
        <f>IF(A13="","",'3.員工名單'!B14)</f>
        <v/>
      </c>
      <c r="C13" s="120">
        <f>IF(A13="","",'3.員工名單'!C14)</f>
        <v/>
      </c>
      <c r="D13" s="120">
        <f>IF(A13="","",'3.員工名單'!D14)</f>
        <v/>
      </c>
      <c r="E13" s="120">
        <f>IF(A13="","",COUNTIFS('4.個人職能盤點'!$A$2:$A$1486,A13,'4.個人職能盤點'!$K$2:$K$1486,"達標")+COUNTIFS('4.個人職能盤點'!$A$2:$A$1486,A13,'4.個人職能盤點'!$K$2:$K$1486,"超越")+COUNTIFS('4.個人職能盤點'!$A$2:$A$1486,A13,'4.個人職能盤點'!$K$2:$K$1486,"待發展"))</f>
        <v/>
      </c>
      <c r="F13" s="120">
        <f>IF(A13="","",COUNTIFS('4.個人職能盤點'!$A$2:$A$1486,A13,'4.個人職能盤點'!$K$2:$K$1486,"達標")+COUNTIFS('4.個人職能盤點'!$A$2:$A$1486,A13,'4.個人職能盤點'!$K$2:$K$1486,"超越"))</f>
        <v/>
      </c>
      <c r="G13" s="120">
        <f>IF(A13="","",COUNTIFS('4.個人職能盤點'!$A$2:$A$1486,A13,'4.個人職能盤點'!$K$2:$K$1486,"待發展"))</f>
        <v/>
      </c>
      <c r="H13" s="121">
        <f>IF(OR(A13="",E13=0),"",F13/E13)</f>
        <v/>
      </c>
      <c r="I13" s="122">
        <f>IF(OR(A13="",E13=0),"",IFERROR(AVERAGEIFS('4.個人職能盤點'!$J$2:$J$1486,'4.個人職能盤點'!$A$2:$A$1486,A13),""))</f>
        <v/>
      </c>
      <c r="J13" s="123">
        <f>IF(A13="","",IFERROR(AVERAGEIFS('4.個人職能盤點'!$I$2:$I$1486,'4.個人職能盤點'!$A$2:$A$1486,A13,'4.個人職能盤點'!$E$2:$E$1486,"核心職能",'4.個人職能盤點'!$G$2:$G$1486,"&gt;0"),"-"))</f>
        <v/>
      </c>
      <c r="K13" s="123">
        <f>IF(A13="","",IFERROR(AVERAGEIFS('4.個人職能盤點'!$I$2:$I$1486,'4.個人職能盤點'!$A$2:$A$1486,A13,'4.個人職能盤點'!$E$2:$E$1486,"管理職能",'4.個人職能盤點'!$G$2:$G$1486,"&gt;0"),"-"))</f>
        <v/>
      </c>
      <c r="L13" s="123">
        <f>IF(A13="","",IFERROR(AVERAGEIFS('4.個人職能盤點'!$I$2:$I$1486,'4.個人職能盤點'!$A$2:$A$1486,A13,'4.個人職能盤點'!$E$2:$E$1486,"專業職能",'4.個人職能盤點'!$G$2:$G$1486,"&gt;0"),"-"))</f>
        <v/>
      </c>
      <c r="M13" s="120">
        <f>IF(H13="","",IF(H13&gt;=0.9,"優秀",IF(H13&gt;=0.7,"符合期待","需加強發展")))</f>
        <v/>
      </c>
    </row>
    <row r="14" ht="15" customHeight="1" s="64">
      <c r="A14" s="120">
        <f>IF('3.員工名單'!A15="","",'3.員工名單'!A15)</f>
        <v/>
      </c>
      <c r="B14" s="120">
        <f>IF(A14="","",'3.員工名單'!B15)</f>
        <v/>
      </c>
      <c r="C14" s="120">
        <f>IF(A14="","",'3.員工名單'!C15)</f>
        <v/>
      </c>
      <c r="D14" s="120">
        <f>IF(A14="","",'3.員工名單'!D15)</f>
        <v/>
      </c>
      <c r="E14" s="120">
        <f>IF(A14="","",COUNTIFS('4.個人職能盤點'!$A$2:$A$1486,A14,'4.個人職能盤點'!$K$2:$K$1486,"達標")+COUNTIFS('4.個人職能盤點'!$A$2:$A$1486,A14,'4.個人職能盤點'!$K$2:$K$1486,"超越")+COUNTIFS('4.個人職能盤點'!$A$2:$A$1486,A14,'4.個人職能盤點'!$K$2:$K$1486,"待發展"))</f>
        <v/>
      </c>
      <c r="F14" s="120">
        <f>IF(A14="","",COUNTIFS('4.個人職能盤點'!$A$2:$A$1486,A14,'4.個人職能盤點'!$K$2:$K$1486,"達標")+COUNTIFS('4.個人職能盤點'!$A$2:$A$1486,A14,'4.個人職能盤點'!$K$2:$K$1486,"超越"))</f>
        <v/>
      </c>
      <c r="G14" s="120">
        <f>IF(A14="","",COUNTIFS('4.個人職能盤點'!$A$2:$A$1486,A14,'4.個人職能盤點'!$K$2:$K$1486,"待發展"))</f>
        <v/>
      </c>
      <c r="H14" s="121">
        <f>IF(OR(A14="",E14=0),"",F14/E14)</f>
        <v/>
      </c>
      <c r="I14" s="122">
        <f>IF(OR(A14="",E14=0),"",IFERROR(AVERAGEIFS('4.個人職能盤點'!$J$2:$J$1486,'4.個人職能盤點'!$A$2:$A$1486,A14),""))</f>
        <v/>
      </c>
      <c r="J14" s="123">
        <f>IF(A14="","",IFERROR(AVERAGEIFS('4.個人職能盤點'!$I$2:$I$1486,'4.個人職能盤點'!$A$2:$A$1486,A14,'4.個人職能盤點'!$E$2:$E$1486,"核心職能",'4.個人職能盤點'!$G$2:$G$1486,"&gt;0"),"-"))</f>
        <v/>
      </c>
      <c r="K14" s="123">
        <f>IF(A14="","",IFERROR(AVERAGEIFS('4.個人職能盤點'!$I$2:$I$1486,'4.個人職能盤點'!$A$2:$A$1486,A14,'4.個人職能盤點'!$E$2:$E$1486,"管理職能",'4.個人職能盤點'!$G$2:$G$1486,"&gt;0"),"-"))</f>
        <v/>
      </c>
      <c r="L14" s="123">
        <f>IF(A14="","",IFERROR(AVERAGEIFS('4.個人職能盤點'!$I$2:$I$1486,'4.個人職能盤點'!$A$2:$A$1486,A14,'4.個人職能盤點'!$E$2:$E$1486,"專業職能",'4.個人職能盤點'!$G$2:$G$1486,"&gt;0"),"-"))</f>
        <v/>
      </c>
      <c r="M14" s="120">
        <f>IF(H14="","",IF(H14&gt;=0.9,"優秀",IF(H14&gt;=0.7,"符合期待","需加強發展")))</f>
        <v/>
      </c>
    </row>
    <row r="15" ht="29.85" customHeight="1" s="64">
      <c r="A15" s="120">
        <f>IF('3.員工名單'!A16="","",'3.員工名單'!A16)</f>
        <v/>
      </c>
      <c r="B15" s="120">
        <f>IF(A15="","",'3.員工名單'!B16)</f>
        <v/>
      </c>
      <c r="C15" s="120">
        <f>IF(A15="","",'3.員工名單'!C16)</f>
        <v/>
      </c>
      <c r="D15" s="120">
        <f>IF(A15="","",'3.員工名單'!D16)</f>
        <v/>
      </c>
      <c r="E15" s="120">
        <f>IF(A15="","",COUNTIFS('4.個人職能盤點'!$A$2:$A$1486,A15,'4.個人職能盤點'!$K$2:$K$1486,"達標")+COUNTIFS('4.個人職能盤點'!$A$2:$A$1486,A15,'4.個人職能盤點'!$K$2:$K$1486,"超越")+COUNTIFS('4.個人職能盤點'!$A$2:$A$1486,A15,'4.個人職能盤點'!$K$2:$K$1486,"待發展"))</f>
        <v/>
      </c>
      <c r="F15" s="120">
        <f>IF(A15="","",COUNTIFS('4.個人職能盤點'!$A$2:$A$1486,A15,'4.個人職能盤點'!$K$2:$K$1486,"達標")+COUNTIFS('4.個人職能盤點'!$A$2:$A$1486,A15,'4.個人職能盤點'!$K$2:$K$1486,"超越"))</f>
        <v/>
      </c>
      <c r="G15" s="120">
        <f>IF(A15="","",COUNTIFS('4.個人職能盤點'!$A$2:$A$1486,A15,'4.個人職能盤點'!$K$2:$K$1486,"待發展"))</f>
        <v/>
      </c>
      <c r="H15" s="121">
        <f>IF(OR(A15="",E15=0),"",F15/E15)</f>
        <v/>
      </c>
      <c r="I15" s="122">
        <f>IF(OR(A15="",E15=0),"",IFERROR(AVERAGEIFS('4.個人職能盤點'!$J$2:$J$1486,'4.個人職能盤點'!$A$2:$A$1486,A15),""))</f>
        <v/>
      </c>
      <c r="J15" s="123">
        <f>IF(A15="","",IFERROR(AVERAGEIFS('4.個人職能盤點'!$I$2:$I$1486,'4.個人職能盤點'!$A$2:$A$1486,A15,'4.個人職能盤點'!$E$2:$E$1486,"核心職能",'4.個人職能盤點'!$G$2:$G$1486,"&gt;0"),"-"))</f>
        <v/>
      </c>
      <c r="K15" s="123">
        <f>IF(A15="","",IFERROR(AVERAGEIFS('4.個人職能盤點'!$I$2:$I$1486,'4.個人職能盤點'!$A$2:$A$1486,A15,'4.個人職能盤點'!$E$2:$E$1486,"管理職能",'4.個人職能盤點'!$G$2:$G$1486,"&gt;0"),"-"))</f>
        <v/>
      </c>
      <c r="L15" s="123">
        <f>IF(A15="","",IFERROR(AVERAGEIFS('4.個人職能盤點'!$I$2:$I$1486,'4.個人職能盤點'!$A$2:$A$1486,A15,'4.個人職能盤點'!$E$2:$E$1486,"專業職能",'4.個人職能盤點'!$G$2:$G$1486,"&gt;0"),"-"))</f>
        <v/>
      </c>
      <c r="M15" s="120">
        <f>IF(H15="","",IF(H15&gt;=0.9,"優秀",IF(H15&gt;=0.7,"符合期待","需加強發展")))</f>
        <v/>
      </c>
    </row>
    <row r="16" ht="15" customHeight="1" s="64">
      <c r="A16" s="120">
        <f>IF('3.員工名單'!A17="","",'3.員工名單'!A17)</f>
        <v/>
      </c>
      <c r="B16" s="120">
        <f>IF(A16="","",'3.員工名單'!B17)</f>
        <v/>
      </c>
      <c r="C16" s="120">
        <f>IF(A16="","",'3.員工名單'!C17)</f>
        <v/>
      </c>
      <c r="D16" s="120">
        <f>IF(A16="","",'3.員工名單'!D17)</f>
        <v/>
      </c>
      <c r="E16" s="120">
        <f>IF(A16="","",COUNTIFS('4.個人職能盤點'!$A$2:$A$1486,A16,'4.個人職能盤點'!$K$2:$K$1486,"達標")+COUNTIFS('4.個人職能盤點'!$A$2:$A$1486,A16,'4.個人職能盤點'!$K$2:$K$1486,"超越")+COUNTIFS('4.個人職能盤點'!$A$2:$A$1486,A16,'4.個人職能盤點'!$K$2:$K$1486,"待發展"))</f>
        <v/>
      </c>
      <c r="F16" s="120">
        <f>IF(A16="","",COUNTIFS('4.個人職能盤點'!$A$2:$A$1486,A16,'4.個人職能盤點'!$K$2:$K$1486,"達標")+COUNTIFS('4.個人職能盤點'!$A$2:$A$1486,A16,'4.個人職能盤點'!$K$2:$K$1486,"超越"))</f>
        <v/>
      </c>
      <c r="G16" s="120">
        <f>IF(A16="","",COUNTIFS('4.個人職能盤點'!$A$2:$A$1486,A16,'4.個人職能盤點'!$K$2:$K$1486,"待發展"))</f>
        <v/>
      </c>
      <c r="H16" s="121">
        <f>IF(OR(A16="",E16=0),"",F16/E16)</f>
        <v/>
      </c>
      <c r="I16" s="122">
        <f>IF(OR(A16="",E16=0),"",IFERROR(AVERAGEIFS('4.個人職能盤點'!$J$2:$J$1486,'4.個人職能盤點'!$A$2:$A$1486,A16),""))</f>
        <v/>
      </c>
      <c r="J16" s="123">
        <f>IF(A16="","",IFERROR(AVERAGEIFS('4.個人職能盤點'!$I$2:$I$1486,'4.個人職能盤點'!$A$2:$A$1486,A16,'4.個人職能盤點'!$E$2:$E$1486,"核心職能",'4.個人職能盤點'!$G$2:$G$1486,"&gt;0"),"-"))</f>
        <v/>
      </c>
      <c r="K16" s="123">
        <f>IF(A16="","",IFERROR(AVERAGEIFS('4.個人職能盤點'!$I$2:$I$1486,'4.個人職能盤點'!$A$2:$A$1486,A16,'4.個人職能盤點'!$E$2:$E$1486,"管理職能",'4.個人職能盤點'!$G$2:$G$1486,"&gt;0"),"-"))</f>
        <v/>
      </c>
      <c r="L16" s="123">
        <f>IF(A16="","",IFERROR(AVERAGEIFS('4.個人職能盤點'!$I$2:$I$1486,'4.個人職能盤點'!$A$2:$A$1486,A16,'4.個人職能盤點'!$E$2:$E$1486,"專業職能",'4.個人職能盤點'!$G$2:$G$1486,"&gt;0"),"-"))</f>
        <v/>
      </c>
      <c r="M16" s="120">
        <f>IF(H16="","",IF(H16&gt;=0.9,"優秀",IF(H16&gt;=0.7,"符合期待","需加強發展")))</f>
        <v/>
      </c>
    </row>
    <row r="17" ht="15" customHeight="1" s="64">
      <c r="A17" s="120">
        <f>IF('3.員工名單'!A18="","",'3.員工名單'!A18)</f>
        <v/>
      </c>
      <c r="B17" s="120">
        <f>IF(A17="","",'3.員工名單'!B18)</f>
        <v/>
      </c>
      <c r="C17" s="120">
        <f>IF(A17="","",'3.員工名單'!C18)</f>
        <v/>
      </c>
      <c r="D17" s="120">
        <f>IF(A17="","",'3.員工名單'!D18)</f>
        <v/>
      </c>
      <c r="E17" s="120">
        <f>IF(A17="","",COUNTIFS('4.個人職能盤點'!$A$2:$A$1486,A17,'4.個人職能盤點'!$K$2:$K$1486,"達標")+COUNTIFS('4.個人職能盤點'!$A$2:$A$1486,A17,'4.個人職能盤點'!$K$2:$K$1486,"超越")+COUNTIFS('4.個人職能盤點'!$A$2:$A$1486,A17,'4.個人職能盤點'!$K$2:$K$1486,"待發展"))</f>
        <v/>
      </c>
      <c r="F17" s="120">
        <f>IF(A17="","",COUNTIFS('4.個人職能盤點'!$A$2:$A$1486,A17,'4.個人職能盤點'!$K$2:$K$1486,"達標")+COUNTIFS('4.個人職能盤點'!$A$2:$A$1486,A17,'4.個人職能盤點'!$K$2:$K$1486,"超越"))</f>
        <v/>
      </c>
      <c r="G17" s="120">
        <f>IF(A17="","",COUNTIFS('4.個人職能盤點'!$A$2:$A$1486,A17,'4.個人職能盤點'!$K$2:$K$1486,"待發展"))</f>
        <v/>
      </c>
      <c r="H17" s="121">
        <f>IF(OR(A17="",E17=0),"",F17/E17)</f>
        <v/>
      </c>
      <c r="I17" s="122">
        <f>IF(OR(A17="",E17=0),"",IFERROR(AVERAGEIFS('4.個人職能盤點'!$J$2:$J$1486,'4.個人職能盤點'!$A$2:$A$1486,A17),""))</f>
        <v/>
      </c>
      <c r="J17" s="123">
        <f>IF(A17="","",IFERROR(AVERAGEIFS('4.個人職能盤點'!$I$2:$I$1486,'4.個人職能盤點'!$A$2:$A$1486,A17,'4.個人職能盤點'!$E$2:$E$1486,"核心職能",'4.個人職能盤點'!$G$2:$G$1486,"&gt;0"),"-"))</f>
        <v/>
      </c>
      <c r="K17" s="123">
        <f>IF(A17="","",IFERROR(AVERAGEIFS('4.個人職能盤點'!$I$2:$I$1486,'4.個人職能盤點'!$A$2:$A$1486,A17,'4.個人職能盤點'!$E$2:$E$1486,"管理職能",'4.個人職能盤點'!$G$2:$G$1486,"&gt;0"),"-"))</f>
        <v/>
      </c>
      <c r="L17" s="123">
        <f>IF(A17="","",IFERROR(AVERAGEIFS('4.個人職能盤點'!$I$2:$I$1486,'4.個人職能盤點'!$A$2:$A$1486,A17,'4.個人職能盤點'!$E$2:$E$1486,"專業職能",'4.個人職能盤點'!$G$2:$G$1486,"&gt;0"),"-"))</f>
        <v/>
      </c>
      <c r="M17" s="120">
        <f>IF(H17="","",IF(H17&gt;=0.9,"優秀",IF(H17&gt;=0.7,"符合期待","需加強發展")))</f>
        <v/>
      </c>
    </row>
    <row r="18" ht="15" customHeight="1" s="64">
      <c r="A18" s="120">
        <f>IF('3.員工名單'!A19="","",'3.員工名單'!A19)</f>
        <v/>
      </c>
      <c r="B18" s="120">
        <f>IF(A18="","",'3.員工名單'!B19)</f>
        <v/>
      </c>
      <c r="C18" s="120">
        <f>IF(A18="","",'3.員工名單'!C19)</f>
        <v/>
      </c>
      <c r="D18" s="120">
        <f>IF(A18="","",'3.員工名單'!D19)</f>
        <v/>
      </c>
      <c r="E18" s="120">
        <f>IF(A18="","",COUNTIFS('4.個人職能盤點'!$A$2:$A$1486,A18,'4.個人職能盤點'!$K$2:$K$1486,"達標")+COUNTIFS('4.個人職能盤點'!$A$2:$A$1486,A18,'4.個人職能盤點'!$K$2:$K$1486,"超越")+COUNTIFS('4.個人職能盤點'!$A$2:$A$1486,A18,'4.個人職能盤點'!$K$2:$K$1486,"待發展"))</f>
        <v/>
      </c>
      <c r="F18" s="120">
        <f>IF(A18="","",COUNTIFS('4.個人職能盤點'!$A$2:$A$1486,A18,'4.個人職能盤點'!$K$2:$K$1486,"達標")+COUNTIFS('4.個人職能盤點'!$A$2:$A$1486,A18,'4.個人職能盤點'!$K$2:$K$1486,"超越"))</f>
        <v/>
      </c>
      <c r="G18" s="120">
        <f>IF(A18="","",COUNTIFS('4.個人職能盤點'!$A$2:$A$1486,A18,'4.個人職能盤點'!$K$2:$K$1486,"待發展"))</f>
        <v/>
      </c>
      <c r="H18" s="121">
        <f>IF(OR(A18="",E18=0),"",F18/E18)</f>
        <v/>
      </c>
      <c r="I18" s="122">
        <f>IF(OR(A18="",E18=0),"",IFERROR(AVERAGEIFS('4.個人職能盤點'!$J$2:$J$1486,'4.個人職能盤點'!$A$2:$A$1486,A18),""))</f>
        <v/>
      </c>
      <c r="J18" s="123">
        <f>IF(A18="","",IFERROR(AVERAGEIFS('4.個人職能盤點'!$I$2:$I$1486,'4.個人職能盤點'!$A$2:$A$1486,A18,'4.個人職能盤點'!$E$2:$E$1486,"核心職能",'4.個人職能盤點'!$G$2:$G$1486,"&gt;0"),"-"))</f>
        <v/>
      </c>
      <c r="K18" s="123">
        <f>IF(A18="","",IFERROR(AVERAGEIFS('4.個人職能盤點'!$I$2:$I$1486,'4.個人職能盤點'!$A$2:$A$1486,A18,'4.個人職能盤點'!$E$2:$E$1486,"管理職能",'4.個人職能盤點'!$G$2:$G$1486,"&gt;0"),"-"))</f>
        <v/>
      </c>
      <c r="L18" s="123">
        <f>IF(A18="","",IFERROR(AVERAGEIFS('4.個人職能盤點'!$I$2:$I$1486,'4.個人職能盤點'!$A$2:$A$1486,A18,'4.個人職能盤點'!$E$2:$E$1486,"專業職能",'4.個人職能盤點'!$G$2:$G$1486,"&gt;0"),"-"))</f>
        <v/>
      </c>
      <c r="M18" s="120">
        <f>IF(H18="","",IF(H18&gt;=0.9,"優秀",IF(H18&gt;=0.7,"符合期待","需加強發展")))</f>
        <v/>
      </c>
    </row>
    <row r="19" ht="15" customHeight="1" s="64">
      <c r="A19" s="120">
        <f>IF('3.員工名單'!A20="","",'3.員工名單'!A20)</f>
        <v/>
      </c>
      <c r="B19" s="120">
        <f>IF(A19="","",'3.員工名單'!B20)</f>
        <v/>
      </c>
      <c r="C19" s="120">
        <f>IF(A19="","",'3.員工名單'!C20)</f>
        <v/>
      </c>
      <c r="D19" s="120">
        <f>IF(A19="","",'3.員工名單'!D20)</f>
        <v/>
      </c>
      <c r="E19" s="120">
        <f>IF(A19="","",COUNTIFS('4.個人職能盤點'!$A$2:$A$1486,A19,'4.個人職能盤點'!$K$2:$K$1486,"達標")+COUNTIFS('4.個人職能盤點'!$A$2:$A$1486,A19,'4.個人職能盤點'!$K$2:$K$1486,"超越")+COUNTIFS('4.個人職能盤點'!$A$2:$A$1486,A19,'4.個人職能盤點'!$K$2:$K$1486,"待發展"))</f>
        <v/>
      </c>
      <c r="F19" s="120">
        <f>IF(A19="","",COUNTIFS('4.個人職能盤點'!$A$2:$A$1486,A19,'4.個人職能盤點'!$K$2:$K$1486,"達標")+COUNTIFS('4.個人職能盤點'!$A$2:$A$1486,A19,'4.個人職能盤點'!$K$2:$K$1486,"超越"))</f>
        <v/>
      </c>
      <c r="G19" s="120">
        <f>IF(A19="","",COUNTIFS('4.個人職能盤點'!$A$2:$A$1486,A19,'4.個人職能盤點'!$K$2:$K$1486,"待發展"))</f>
        <v/>
      </c>
      <c r="H19" s="121">
        <f>IF(OR(A19="",E19=0),"",F19/E19)</f>
        <v/>
      </c>
      <c r="I19" s="122">
        <f>IF(OR(A19="",E19=0),"",IFERROR(AVERAGEIFS('4.個人職能盤點'!$J$2:$J$1486,'4.個人職能盤點'!$A$2:$A$1486,A19),""))</f>
        <v/>
      </c>
      <c r="J19" s="123">
        <f>IF(A19="","",IFERROR(AVERAGEIFS('4.個人職能盤點'!$I$2:$I$1486,'4.個人職能盤點'!$A$2:$A$1486,A19,'4.個人職能盤點'!$E$2:$E$1486,"核心職能",'4.個人職能盤點'!$G$2:$G$1486,"&gt;0"),"-"))</f>
        <v/>
      </c>
      <c r="K19" s="123">
        <f>IF(A19="","",IFERROR(AVERAGEIFS('4.個人職能盤點'!$I$2:$I$1486,'4.個人職能盤點'!$A$2:$A$1486,A19,'4.個人職能盤點'!$E$2:$E$1486,"管理職能",'4.個人職能盤點'!$G$2:$G$1486,"&gt;0"),"-"))</f>
        <v/>
      </c>
      <c r="L19" s="123">
        <f>IF(A19="","",IFERROR(AVERAGEIFS('4.個人職能盤點'!$I$2:$I$1486,'4.個人職能盤點'!$A$2:$A$1486,A19,'4.個人職能盤點'!$E$2:$E$1486,"專業職能",'4.個人職能盤點'!$G$2:$G$1486,"&gt;0"),"-"))</f>
        <v/>
      </c>
      <c r="M19" s="120">
        <f>IF(H19="","",IF(H19&gt;=0.9,"優秀",IF(H19&gt;=0.7,"符合期待","需加強發展")))</f>
        <v/>
      </c>
    </row>
    <row r="20" ht="15" customHeight="1" s="64">
      <c r="A20" s="120">
        <f>IF('3.員工名單'!A21="","",'3.員工名單'!A21)</f>
        <v/>
      </c>
      <c r="B20" s="120">
        <f>IF(A20="","",'3.員工名單'!B21)</f>
        <v/>
      </c>
      <c r="C20" s="120">
        <f>IF(A20="","",'3.員工名單'!C21)</f>
        <v/>
      </c>
      <c r="D20" s="120">
        <f>IF(A20="","",'3.員工名單'!D21)</f>
        <v/>
      </c>
      <c r="E20" s="120">
        <f>IF(A20="","",COUNTIFS('4.個人職能盤點'!$A$2:$A$1486,A20,'4.個人職能盤點'!$K$2:$K$1486,"達標")+COUNTIFS('4.個人職能盤點'!$A$2:$A$1486,A20,'4.個人職能盤點'!$K$2:$K$1486,"超越")+COUNTIFS('4.個人職能盤點'!$A$2:$A$1486,A20,'4.個人職能盤點'!$K$2:$K$1486,"待發展"))</f>
        <v/>
      </c>
      <c r="F20" s="120">
        <f>IF(A20="","",COUNTIFS('4.個人職能盤點'!$A$2:$A$1486,A20,'4.個人職能盤點'!$K$2:$K$1486,"達標")+COUNTIFS('4.個人職能盤點'!$A$2:$A$1486,A20,'4.個人職能盤點'!$K$2:$K$1486,"超越"))</f>
        <v/>
      </c>
      <c r="G20" s="120">
        <f>IF(A20="","",COUNTIFS('4.個人職能盤點'!$A$2:$A$1486,A20,'4.個人職能盤點'!$K$2:$K$1486,"待發展"))</f>
        <v/>
      </c>
      <c r="H20" s="121">
        <f>IF(OR(A20="",E20=0),"",F20/E20)</f>
        <v/>
      </c>
      <c r="I20" s="122">
        <f>IF(OR(A20="",E20=0),"",IFERROR(AVERAGEIFS('4.個人職能盤點'!$J$2:$J$1486,'4.個人職能盤點'!$A$2:$A$1486,A20),""))</f>
        <v/>
      </c>
      <c r="J20" s="123">
        <f>IF(A20="","",IFERROR(AVERAGEIFS('4.個人職能盤點'!$I$2:$I$1486,'4.個人職能盤點'!$A$2:$A$1486,A20,'4.個人職能盤點'!$E$2:$E$1486,"核心職能",'4.個人職能盤點'!$G$2:$G$1486,"&gt;0"),"-"))</f>
        <v/>
      </c>
      <c r="K20" s="123">
        <f>IF(A20="","",IFERROR(AVERAGEIFS('4.個人職能盤點'!$I$2:$I$1486,'4.個人職能盤點'!$A$2:$A$1486,A20,'4.個人職能盤點'!$E$2:$E$1486,"管理職能",'4.個人職能盤點'!$G$2:$G$1486,"&gt;0"),"-"))</f>
        <v/>
      </c>
      <c r="L20" s="123">
        <f>IF(A20="","",IFERROR(AVERAGEIFS('4.個人職能盤點'!$I$2:$I$1486,'4.個人職能盤點'!$A$2:$A$1486,A20,'4.個人職能盤點'!$E$2:$E$1486,"專業職能",'4.個人職能盤點'!$G$2:$G$1486,"&gt;0"),"-"))</f>
        <v/>
      </c>
      <c r="M20" s="120">
        <f>IF(H20="","",IF(H20&gt;=0.9,"優秀",IF(H20&gt;=0.7,"符合期待","需加強發展")))</f>
        <v/>
      </c>
    </row>
    <row r="21" ht="15.75" customHeight="1" s="64">
      <c r="A21" s="120">
        <f>IF('3.員工名單'!A22="","",'3.員工名單'!A22)</f>
        <v/>
      </c>
      <c r="B21" s="120">
        <f>IF(A21="","",'3.員工名單'!B22)</f>
        <v/>
      </c>
      <c r="C21" s="120">
        <f>IF(A21="","",'3.員工名單'!C22)</f>
        <v/>
      </c>
      <c r="D21" s="120">
        <f>IF(A21="","",'3.員工名單'!D22)</f>
        <v/>
      </c>
      <c r="E21" s="120">
        <f>IF(A21="","",COUNTIFS('4.個人職能盤點'!$A$2:$A$1486,A21,'4.個人職能盤點'!$K$2:$K$1486,"達標")+COUNTIFS('4.個人職能盤點'!$A$2:$A$1486,A21,'4.個人職能盤點'!$K$2:$K$1486,"超越")+COUNTIFS('4.個人職能盤點'!$A$2:$A$1486,A21,'4.個人職能盤點'!$K$2:$K$1486,"待發展"))</f>
        <v/>
      </c>
      <c r="F21" s="120">
        <f>IF(A21="","",COUNTIFS('4.個人職能盤點'!$A$2:$A$1486,A21,'4.個人職能盤點'!$K$2:$K$1486,"達標")+COUNTIFS('4.個人職能盤點'!$A$2:$A$1486,A21,'4.個人職能盤點'!$K$2:$K$1486,"超越"))</f>
        <v/>
      </c>
      <c r="G21" s="120">
        <f>IF(A21="","",COUNTIFS('4.個人職能盤點'!$A$2:$A$1486,A21,'4.個人職能盤點'!$K$2:$K$1486,"待發展"))</f>
        <v/>
      </c>
      <c r="H21" s="121">
        <f>IF(OR(A21="",E21=0),"",F21/E21)</f>
        <v/>
      </c>
      <c r="I21" s="122">
        <f>IF(OR(A21="",E21=0),"",IFERROR(AVERAGEIFS('4.個人職能盤點'!$J$2:$J$1486,'4.個人職能盤點'!$A$2:$A$1486,A21),""))</f>
        <v/>
      </c>
      <c r="J21" s="123">
        <f>IF(A21="","",IFERROR(AVERAGEIFS('4.個人職能盤點'!$I$2:$I$1486,'4.個人職能盤點'!$A$2:$A$1486,A21,'4.個人職能盤點'!$E$2:$E$1486,"核心職能",'4.個人職能盤點'!$G$2:$G$1486,"&gt;0"),"-"))</f>
        <v/>
      </c>
      <c r="K21" s="123">
        <f>IF(A21="","",IFERROR(AVERAGEIFS('4.個人職能盤點'!$I$2:$I$1486,'4.個人職能盤點'!$A$2:$A$1486,A21,'4.個人職能盤點'!$E$2:$E$1486,"管理職能",'4.個人職能盤點'!$G$2:$G$1486,"&gt;0"),"-"))</f>
        <v/>
      </c>
      <c r="L21" s="123">
        <f>IF(A21="","",IFERROR(AVERAGEIFS('4.個人職能盤點'!$I$2:$I$1486,'4.個人職能盤點'!$A$2:$A$1486,A21,'4.個人職能盤點'!$E$2:$E$1486,"專業職能",'4.個人職能盤點'!$G$2:$G$1486,"&gt;0"),"-"))</f>
        <v/>
      </c>
      <c r="M21" s="120">
        <f>IF(H21="","",IF(H21&gt;=0.9,"優秀",IF(H21&gt;=0.7,"符合期待","需加強發展")))</f>
        <v/>
      </c>
    </row>
    <row r="22" ht="15.75" customHeight="1" s="64">
      <c r="A22" s="120">
        <f>IF('3.員工名單'!A23="","",'3.員工名單'!A23)</f>
        <v/>
      </c>
      <c r="B22" s="120">
        <f>IF(A22="","",'3.員工名單'!B23)</f>
        <v/>
      </c>
      <c r="C22" s="120">
        <f>IF(A22="","",'3.員工名單'!C23)</f>
        <v/>
      </c>
      <c r="D22" s="120">
        <f>IF(A22="","",'3.員工名單'!D23)</f>
        <v/>
      </c>
      <c r="E22" s="120">
        <f>IF(A22="","",COUNTIFS('4.個人職能盤點'!$A$2:$A$1486,A22,'4.個人職能盤點'!$K$2:$K$1486,"達標")+COUNTIFS('4.個人職能盤點'!$A$2:$A$1486,A22,'4.個人職能盤點'!$K$2:$K$1486,"超越")+COUNTIFS('4.個人職能盤點'!$A$2:$A$1486,A22,'4.個人職能盤點'!$K$2:$K$1486,"待發展"))</f>
        <v/>
      </c>
      <c r="F22" s="120">
        <f>IF(A22="","",COUNTIFS('4.個人職能盤點'!$A$2:$A$1486,A22,'4.個人職能盤點'!$K$2:$K$1486,"達標")+COUNTIFS('4.個人職能盤點'!$A$2:$A$1486,A22,'4.個人職能盤點'!$K$2:$K$1486,"超越"))</f>
        <v/>
      </c>
      <c r="G22" s="120">
        <f>IF(A22="","",COUNTIFS('4.個人職能盤點'!$A$2:$A$1486,A22,'4.個人職能盤點'!$K$2:$K$1486,"待發展"))</f>
        <v/>
      </c>
      <c r="H22" s="121">
        <f>IF(OR(A22="",E22=0),"",F22/E22)</f>
        <v/>
      </c>
      <c r="I22" s="122">
        <f>IF(OR(A22="",E22=0),"",IFERROR(AVERAGEIFS('4.個人職能盤點'!$J$2:$J$1486,'4.個人職能盤點'!$A$2:$A$1486,A22),""))</f>
        <v/>
      </c>
      <c r="J22" s="123">
        <f>IF(A22="","",IFERROR(AVERAGEIFS('4.個人職能盤點'!$I$2:$I$1486,'4.個人職能盤點'!$A$2:$A$1486,A22,'4.個人職能盤點'!$E$2:$E$1486,"核心職能",'4.個人職能盤點'!$G$2:$G$1486,"&gt;0"),"-"))</f>
        <v/>
      </c>
      <c r="K22" s="123">
        <f>IF(A22="","",IFERROR(AVERAGEIFS('4.個人職能盤點'!$I$2:$I$1486,'4.個人職能盤點'!$A$2:$A$1486,A22,'4.個人職能盤點'!$E$2:$E$1486,"管理職能",'4.個人職能盤點'!$G$2:$G$1486,"&gt;0"),"-"))</f>
        <v/>
      </c>
      <c r="L22" s="123">
        <f>IF(A22="","",IFERROR(AVERAGEIFS('4.個人職能盤點'!$I$2:$I$1486,'4.個人職能盤點'!$A$2:$A$1486,A22,'4.個人職能盤點'!$E$2:$E$1486,"專業職能",'4.個人職能盤點'!$G$2:$G$1486,"&gt;0"),"-"))</f>
        <v/>
      </c>
      <c r="M22" s="120">
        <f>IF(H22="","",IF(H22&gt;=0.9,"優秀",IF(H22&gt;=0.7,"符合期待","需加強發展")))</f>
        <v/>
      </c>
    </row>
    <row r="23" ht="15.75" customHeight="1" s="64">
      <c r="A23" s="120">
        <f>IF('3.員工名單'!A24="","",'3.員工名單'!A24)</f>
        <v/>
      </c>
      <c r="B23" s="120">
        <f>IF(A23="","",'3.員工名單'!B24)</f>
        <v/>
      </c>
      <c r="C23" s="120">
        <f>IF(A23="","",'3.員工名單'!C24)</f>
        <v/>
      </c>
      <c r="D23" s="120">
        <f>IF(A23="","",'3.員工名單'!D24)</f>
        <v/>
      </c>
      <c r="E23" s="120">
        <f>IF(A23="","",COUNTIFS('4.個人職能盤點'!$A$2:$A$1486,A23,'4.個人職能盤點'!$K$2:$K$1486,"達標")+COUNTIFS('4.個人職能盤點'!$A$2:$A$1486,A23,'4.個人職能盤點'!$K$2:$K$1486,"超越")+COUNTIFS('4.個人職能盤點'!$A$2:$A$1486,A23,'4.個人職能盤點'!$K$2:$K$1486,"待發展"))</f>
        <v/>
      </c>
      <c r="F23" s="120">
        <f>IF(A23="","",COUNTIFS('4.個人職能盤點'!$A$2:$A$1486,A23,'4.個人職能盤點'!$K$2:$K$1486,"達標")+COUNTIFS('4.個人職能盤點'!$A$2:$A$1486,A23,'4.個人職能盤點'!$K$2:$K$1486,"超越"))</f>
        <v/>
      </c>
      <c r="G23" s="120">
        <f>IF(A23="","",COUNTIFS('4.個人職能盤點'!$A$2:$A$1486,A23,'4.個人職能盤點'!$K$2:$K$1486,"待發展"))</f>
        <v/>
      </c>
      <c r="H23" s="121">
        <f>IF(OR(A23="",E23=0),"",F23/E23)</f>
        <v/>
      </c>
      <c r="I23" s="122">
        <f>IF(OR(A23="",E23=0),"",IFERROR(AVERAGEIFS('4.個人職能盤點'!$J$2:$J$1486,'4.個人職能盤點'!$A$2:$A$1486,A23),""))</f>
        <v/>
      </c>
      <c r="J23" s="123">
        <f>IF(A23="","",IFERROR(AVERAGEIFS('4.個人職能盤點'!$I$2:$I$1486,'4.個人職能盤點'!$A$2:$A$1486,A23,'4.個人職能盤點'!$E$2:$E$1486,"核心職能",'4.個人職能盤點'!$G$2:$G$1486,"&gt;0"),"-"))</f>
        <v/>
      </c>
      <c r="K23" s="123">
        <f>IF(A23="","",IFERROR(AVERAGEIFS('4.個人職能盤點'!$I$2:$I$1486,'4.個人職能盤點'!$A$2:$A$1486,A23,'4.個人職能盤點'!$E$2:$E$1486,"管理職能",'4.個人職能盤點'!$G$2:$G$1486,"&gt;0"),"-"))</f>
        <v/>
      </c>
      <c r="L23" s="123">
        <f>IF(A23="","",IFERROR(AVERAGEIFS('4.個人職能盤點'!$I$2:$I$1486,'4.個人職能盤點'!$A$2:$A$1486,A23,'4.個人職能盤點'!$E$2:$E$1486,"專業職能",'4.個人職能盤點'!$G$2:$G$1486,"&gt;0"),"-"))</f>
        <v/>
      </c>
      <c r="M23" s="120">
        <f>IF(H23="","",IF(H23&gt;=0.9,"優秀",IF(H23&gt;=0.7,"符合期待","需加強發展")))</f>
        <v/>
      </c>
    </row>
    <row r="24" ht="15.75" customHeight="1" s="64">
      <c r="A24" s="120">
        <f>IF('3.員工名單'!A3="","",'3.員工名單'!A3)</f>
        <v/>
      </c>
      <c r="B24" s="120">
        <f>IF(A24="","",'3.員工名單'!B3)</f>
        <v/>
      </c>
      <c r="C24" s="120">
        <f>IF(A24="","",'3.員工名單'!C3)</f>
        <v/>
      </c>
      <c r="D24" s="120">
        <f>IF(A24="","",'3.員工名單'!D3)</f>
        <v/>
      </c>
      <c r="E24" s="120">
        <f>IF(A24="","",COUNTIFS('4.個人職能盤點'!$A$2:$A$1486,A24,'4.個人職能盤點'!$K$2:$K$1486,"達標")+COUNTIFS('4.個人職能盤點'!$A$2:$A$1486,A24,'4.個人職能盤點'!$K$2:$K$1486,"超越")+COUNTIFS('4.個人職能盤點'!$A$2:$A$1486,A24,'4.個人職能盤點'!$K$2:$K$1486,"待發展"))</f>
        <v/>
      </c>
      <c r="F24" s="120">
        <f>IF(A24="","",COUNTIFS('4.個人職能盤點'!$A$2:$A$1486,A24,'4.個人職能盤點'!$K$2:$K$1486,"達標")+COUNTIFS('4.個人職能盤點'!$A$2:$A$1486,A24,'4.個人職能盤點'!$K$2:$K$1486,"超越"))</f>
        <v/>
      </c>
      <c r="G24" s="120">
        <f>IF(A24="","",COUNTIFS('4.個人職能盤點'!$A$2:$A$1486,A24,'4.個人職能盤點'!$K$2:$K$1486,"待發展"))</f>
        <v/>
      </c>
      <c r="H24" s="121">
        <f>IF(OR(A24="",E24=0),"",F24/E24)</f>
        <v/>
      </c>
      <c r="I24" s="122">
        <f>IF(OR(A24="",E24=0),"",IFERROR(AVERAGEIFS('4.個人職能盤點'!$J$2:$J$1486,'4.個人職能盤點'!$A$2:$A$1486,A24),""))</f>
        <v/>
      </c>
      <c r="J24" s="123">
        <f>IF(A24="","",IFERROR(AVERAGEIFS('4.個人職能盤點'!$I$2:$I$1486,'4.個人職能盤點'!$A$2:$A$1486,A24,'4.個人職能盤點'!$E$2:$E$1486,"核心職能",'4.個人職能盤點'!$G$2:$G$1486,"&gt;0"),"-"))</f>
        <v/>
      </c>
      <c r="K24" s="123">
        <f>IF(A24="","",IFERROR(AVERAGEIFS('4.個人職能盤點'!$I$2:$I$1486,'4.個人職能盤點'!$A$2:$A$1486,A24,'4.個人職能盤點'!$E$2:$E$1486,"管理職能",'4.個人職能盤點'!$G$2:$G$1486,"&gt;0"),"-"))</f>
        <v/>
      </c>
      <c r="L24" s="123">
        <f>IF(A24="","",IFERROR(AVERAGEIFS('4.個人職能盤點'!$I$2:$I$1486,'4.個人職能盤點'!$A$2:$A$1486,A24,'4.個人職能盤點'!$E$2:$E$1486,"專業職能",'4.個人職能盤點'!$G$2:$G$1486,"&gt;0"),"-"))</f>
        <v/>
      </c>
      <c r="M24" s="120">
        <f>IF(H24="","",IF(H24&gt;=0.9,"優秀",IF(H24&gt;=0.7,"符合期待","需加強發展")))</f>
        <v/>
      </c>
    </row>
    <row r="25" ht="15.75" customHeight="1" s="64">
      <c r="A25" s="120">
        <f>IF('3.員工名單'!A25="","",'3.員工名單'!A25)</f>
        <v/>
      </c>
      <c r="B25" s="120">
        <f>IF(A25="","",'3.員工名單'!B25)</f>
        <v/>
      </c>
      <c r="C25" s="120">
        <f>IF(A25="","",'3.員工名單'!C25)</f>
        <v/>
      </c>
      <c r="D25" s="120">
        <f>IF(A25="","",'3.員工名單'!D25)</f>
        <v/>
      </c>
      <c r="E25" s="120">
        <f>IF(A25="","",COUNTIFS('4.個人職能盤點'!$A$2:$A$1486,A25,'4.個人職能盤點'!$K$2:$K$1486,"達標")+COUNTIFS('4.個人職能盤點'!$A$2:$A$1486,A25,'4.個人職能盤點'!$K$2:$K$1486,"超越")+COUNTIFS('4.個人職能盤點'!$A$2:$A$1486,A25,'4.個人職能盤點'!$K$2:$K$1486,"待發展"))</f>
        <v/>
      </c>
      <c r="F25" s="120">
        <f>IF(A25="","",COUNTIFS('4.個人職能盤點'!$A$2:$A$1486,A25,'4.個人職能盤點'!$K$2:$K$1486,"達標")+COUNTIFS('4.個人職能盤點'!$A$2:$A$1486,A25,'4.個人職能盤點'!$K$2:$K$1486,"超越"))</f>
        <v/>
      </c>
      <c r="G25" s="120">
        <f>IF(A25="","",COUNTIFS('4.個人職能盤點'!$A$2:$A$1486,A25,'4.個人職能盤點'!$K$2:$K$1486,"待發展"))</f>
        <v/>
      </c>
      <c r="H25" s="121">
        <f>IF(OR(A25="",E25=0),"",F25/E25)</f>
        <v/>
      </c>
      <c r="I25" s="122">
        <f>IF(OR(A25="",E25=0),"",IFERROR(AVERAGEIFS('4.個人職能盤點'!$J$2:$J$1486,'4.個人職能盤點'!$A$2:$A$1486,A25),""))</f>
        <v/>
      </c>
      <c r="J25" s="123">
        <f>IF(A25="","",IFERROR(AVERAGEIFS('4.個人職能盤點'!$I$2:$I$1486,'4.個人職能盤點'!$A$2:$A$1486,A25,'4.個人職能盤點'!$E$2:$E$1486,"核心職能",'4.個人職能盤點'!$G$2:$G$1486,"&gt;0"),"-"))</f>
        <v/>
      </c>
      <c r="K25" s="123">
        <f>IF(A25="","",IFERROR(AVERAGEIFS('4.個人職能盤點'!$I$2:$I$1486,'4.個人職能盤點'!$A$2:$A$1486,A25,'4.個人職能盤點'!$E$2:$E$1486,"管理職能",'4.個人職能盤點'!$G$2:$G$1486,"&gt;0"),"-"))</f>
        <v/>
      </c>
      <c r="L25" s="123">
        <f>IF(A25="","",IFERROR(AVERAGEIFS('4.個人職能盤點'!$I$2:$I$1486,'4.個人職能盤點'!$A$2:$A$1486,A25,'4.個人職能盤點'!$E$2:$E$1486,"專業職能",'4.個人職能盤點'!$G$2:$G$1486,"&gt;0"),"-"))</f>
        <v/>
      </c>
      <c r="M25" s="120">
        <f>IF(H25="","",IF(H25&gt;=0.9,"優秀",IF(H25&gt;=0.7,"符合期待","需加強發展")))</f>
        <v/>
      </c>
    </row>
    <row r="26" ht="15.75" customHeight="1" s="64">
      <c r="A26" s="120">
        <f>IF('3.員工名單'!A26="","",'3.員工名單'!A26)</f>
        <v/>
      </c>
      <c r="B26" s="120">
        <f>IF(A26="","",'3.員工名單'!B26)</f>
        <v/>
      </c>
      <c r="C26" s="120">
        <f>IF(A26="","",'3.員工名單'!C26)</f>
        <v/>
      </c>
      <c r="D26" s="120">
        <f>IF(A26="","",'3.員工名單'!D26)</f>
        <v/>
      </c>
      <c r="E26" s="120">
        <f>IF(A26="","",COUNTIFS('4.個人職能盤點'!$A$2:$A$1486,A26,'4.個人職能盤點'!$K$2:$K$1486,"達標")+COUNTIFS('4.個人職能盤點'!$A$2:$A$1486,A26,'4.個人職能盤點'!$K$2:$K$1486,"超越")+COUNTIFS('4.個人職能盤點'!$A$2:$A$1486,A26,'4.個人職能盤點'!$K$2:$K$1486,"待發展"))</f>
        <v/>
      </c>
      <c r="F26" s="120">
        <f>IF(A26="","",COUNTIFS('4.個人職能盤點'!$A$2:$A$1486,A26,'4.個人職能盤點'!$K$2:$K$1486,"達標")+COUNTIFS('4.個人職能盤點'!$A$2:$A$1486,A26,'4.個人職能盤點'!$K$2:$K$1486,"超越"))</f>
        <v/>
      </c>
      <c r="G26" s="120">
        <f>IF(A26="","",COUNTIFS('4.個人職能盤點'!$A$2:$A$1486,A26,'4.個人職能盤點'!$K$2:$K$1486,"待發展"))</f>
        <v/>
      </c>
      <c r="H26" s="121">
        <f>IF(OR(A26="",E26=0),"",F26/E26)</f>
        <v/>
      </c>
      <c r="I26" s="122">
        <f>IF(OR(A26="",E26=0),"",IFERROR(AVERAGEIFS('4.個人職能盤點'!$J$2:$J$1486,'4.個人職能盤點'!$A$2:$A$1486,A26),""))</f>
        <v/>
      </c>
      <c r="J26" s="123">
        <f>IF(A26="","",IFERROR(AVERAGEIFS('4.個人職能盤點'!$I$2:$I$1486,'4.個人職能盤點'!$A$2:$A$1486,A26,'4.個人職能盤點'!$E$2:$E$1486,"核心職能",'4.個人職能盤點'!$G$2:$G$1486,"&gt;0"),"-"))</f>
        <v/>
      </c>
      <c r="K26" s="123">
        <f>IF(A26="","",IFERROR(AVERAGEIFS('4.個人職能盤點'!$I$2:$I$1486,'4.個人職能盤點'!$A$2:$A$1486,A26,'4.個人職能盤點'!$E$2:$E$1486,"管理職能",'4.個人職能盤點'!$G$2:$G$1486,"&gt;0"),"-"))</f>
        <v/>
      </c>
      <c r="L26" s="123">
        <f>IF(A26="","",IFERROR(AVERAGEIFS('4.個人職能盤點'!$I$2:$I$1486,'4.個人職能盤點'!$A$2:$A$1486,A26,'4.個人職能盤點'!$E$2:$E$1486,"專業職能",'4.個人職能盤點'!$G$2:$G$1486,"&gt;0"),"-"))</f>
        <v/>
      </c>
      <c r="M26" s="120">
        <f>IF(H26="","",IF(H26&gt;=0.9,"優秀",IF(H26&gt;=0.7,"符合期待","需加強發展")))</f>
        <v/>
      </c>
    </row>
    <row r="27" ht="15.75" customHeight="1" s="64">
      <c r="A27" s="120">
        <f>IF('3.員工名單'!A27="","",'3.員工名單'!A27)</f>
        <v/>
      </c>
      <c r="B27" s="120">
        <f>IF(A27="","",'3.員工名單'!B27)</f>
        <v/>
      </c>
      <c r="C27" s="120">
        <f>IF(A27="","",'3.員工名單'!C27)</f>
        <v/>
      </c>
      <c r="D27" s="120">
        <f>IF(A27="","",'3.員工名單'!D27)</f>
        <v/>
      </c>
      <c r="E27" s="120">
        <f>IF(A27="","",COUNTIFS('4.個人職能盤點'!$A$2:$A$1486,A27,'4.個人職能盤點'!$K$2:$K$1486,"達標")+COUNTIFS('4.個人職能盤點'!$A$2:$A$1486,A27,'4.個人職能盤點'!$K$2:$K$1486,"超越")+COUNTIFS('4.個人職能盤點'!$A$2:$A$1486,A27,'4.個人職能盤點'!$K$2:$K$1486,"待發展"))</f>
        <v/>
      </c>
      <c r="F27" s="120">
        <f>IF(A27="","",COUNTIFS('4.個人職能盤點'!$A$2:$A$1486,A27,'4.個人職能盤點'!$K$2:$K$1486,"達標")+COUNTIFS('4.個人職能盤點'!$A$2:$A$1486,A27,'4.個人職能盤點'!$K$2:$K$1486,"超越"))</f>
        <v/>
      </c>
      <c r="G27" s="120">
        <f>IF(A27="","",COUNTIFS('4.個人職能盤點'!$A$2:$A$1486,A27,'4.個人職能盤點'!$K$2:$K$1486,"待發展"))</f>
        <v/>
      </c>
      <c r="H27" s="121">
        <f>IF(OR(A27="",E27=0),"",F27/E27)</f>
        <v/>
      </c>
      <c r="I27" s="122">
        <f>IF(OR(A27="",E27=0),"",IFERROR(AVERAGEIFS('4.個人職能盤點'!$J$2:$J$1486,'4.個人職能盤點'!$A$2:$A$1486,A27),""))</f>
        <v/>
      </c>
      <c r="J27" s="123">
        <f>IF(A27="","",IFERROR(AVERAGEIFS('4.個人職能盤點'!$I$2:$I$1486,'4.個人職能盤點'!$A$2:$A$1486,A27,'4.個人職能盤點'!$E$2:$E$1486,"核心職能",'4.個人職能盤點'!$G$2:$G$1486,"&gt;0"),"-"))</f>
        <v/>
      </c>
      <c r="K27" s="123">
        <f>IF(A27="","",IFERROR(AVERAGEIFS('4.個人職能盤點'!$I$2:$I$1486,'4.個人職能盤點'!$A$2:$A$1486,A27,'4.個人職能盤點'!$E$2:$E$1486,"管理職能",'4.個人職能盤點'!$G$2:$G$1486,"&gt;0"),"-"))</f>
        <v/>
      </c>
      <c r="L27" s="123">
        <f>IF(A27="","",IFERROR(AVERAGEIFS('4.個人職能盤點'!$I$2:$I$1486,'4.個人職能盤點'!$A$2:$A$1486,A27,'4.個人職能盤點'!$E$2:$E$1486,"專業職能",'4.個人職能盤點'!$G$2:$G$1486,"&gt;0"),"-"))</f>
        <v/>
      </c>
      <c r="M27" s="120">
        <f>IF(H27="","",IF(H27&gt;=0.9,"優秀",IF(H27&gt;=0.7,"符合期待","需加強發展")))</f>
        <v/>
      </c>
    </row>
    <row r="28" ht="15.75" customHeight="1" s="64">
      <c r="A28" s="120">
        <f>IF('3.員工名單'!A28="","",'3.員工名單'!A28)</f>
        <v/>
      </c>
      <c r="B28" s="120">
        <f>IF(A28="","",'3.員工名單'!B28)</f>
        <v/>
      </c>
      <c r="C28" s="120">
        <f>IF(A28="","",'3.員工名單'!C28)</f>
        <v/>
      </c>
      <c r="D28" s="120">
        <f>IF(A28="","",'3.員工名單'!D28)</f>
        <v/>
      </c>
      <c r="E28" s="120">
        <f>IF(A28="","",COUNTIFS('4.個人職能盤點'!$A$2:$A$1486,A28,'4.個人職能盤點'!$K$2:$K$1486,"達標")+COUNTIFS('4.個人職能盤點'!$A$2:$A$1486,A28,'4.個人職能盤點'!$K$2:$K$1486,"超越")+COUNTIFS('4.個人職能盤點'!$A$2:$A$1486,A28,'4.個人職能盤點'!$K$2:$K$1486,"待發展"))</f>
        <v/>
      </c>
      <c r="F28" s="120">
        <f>IF(A28="","",COUNTIFS('4.個人職能盤點'!$A$2:$A$1486,A28,'4.個人職能盤點'!$K$2:$K$1486,"達標")+COUNTIFS('4.個人職能盤點'!$A$2:$A$1486,A28,'4.個人職能盤點'!$K$2:$K$1486,"超越"))</f>
        <v/>
      </c>
      <c r="G28" s="120">
        <f>IF(A28="","",COUNTIFS('4.個人職能盤點'!$A$2:$A$1486,A28,'4.個人職能盤點'!$K$2:$K$1486,"待發展"))</f>
        <v/>
      </c>
      <c r="H28" s="121">
        <f>IF(OR(A28="",E28=0),"",F28/E28)</f>
        <v/>
      </c>
      <c r="I28" s="122">
        <f>IF(OR(A28="",E28=0),"",IFERROR(AVERAGEIFS('4.個人職能盤點'!$J$2:$J$1486,'4.個人職能盤點'!$A$2:$A$1486,A28),""))</f>
        <v/>
      </c>
      <c r="J28" s="123">
        <f>IF(A28="","",IFERROR(AVERAGEIFS('4.個人職能盤點'!$I$2:$I$1486,'4.個人職能盤點'!$A$2:$A$1486,A28,'4.個人職能盤點'!$E$2:$E$1486,"核心職能",'4.個人職能盤點'!$G$2:$G$1486,"&gt;0"),"-"))</f>
        <v/>
      </c>
      <c r="K28" s="123">
        <f>IF(A28="","",IFERROR(AVERAGEIFS('4.個人職能盤點'!$I$2:$I$1486,'4.個人職能盤點'!$A$2:$A$1486,A28,'4.個人職能盤點'!$E$2:$E$1486,"管理職能",'4.個人職能盤點'!$G$2:$G$1486,"&gt;0"),"-"))</f>
        <v/>
      </c>
      <c r="L28" s="123">
        <f>IF(A28="","",IFERROR(AVERAGEIFS('4.個人職能盤點'!$I$2:$I$1486,'4.個人職能盤點'!$A$2:$A$1486,A28,'4.個人職能盤點'!$E$2:$E$1486,"專業職能",'4.個人職能盤點'!$G$2:$G$1486,"&gt;0"),"-"))</f>
        <v/>
      </c>
      <c r="M28" s="120">
        <f>IF(H28="","",IF(H28&gt;=0.9,"優秀",IF(H28&gt;=0.7,"符合期待","需加強發展")))</f>
        <v/>
      </c>
    </row>
    <row r="29" ht="15.75" customHeight="1" s="64">
      <c r="A29" s="120">
        <f>IF('3.員工名單'!A29="","",'3.員工名單'!A29)</f>
        <v/>
      </c>
      <c r="B29" s="120">
        <f>IF(A29="","",'3.員工名單'!B29)</f>
        <v/>
      </c>
      <c r="C29" s="120">
        <f>IF(A29="","",'3.員工名單'!C29)</f>
        <v/>
      </c>
      <c r="D29" s="120">
        <f>IF(A29="","",'3.員工名單'!D29)</f>
        <v/>
      </c>
      <c r="E29" s="120">
        <f>IF(A29="","",COUNTIFS('4.個人職能盤點'!$A$2:$A$1486,A29,'4.個人職能盤點'!$K$2:$K$1486,"達標")+COUNTIFS('4.個人職能盤點'!$A$2:$A$1486,A29,'4.個人職能盤點'!$K$2:$K$1486,"超越")+COUNTIFS('4.個人職能盤點'!$A$2:$A$1486,A29,'4.個人職能盤點'!$K$2:$K$1486,"待發展"))</f>
        <v/>
      </c>
      <c r="F29" s="120">
        <f>IF(A29="","",COUNTIFS('4.個人職能盤點'!$A$2:$A$1486,A29,'4.個人職能盤點'!$K$2:$K$1486,"達標")+COUNTIFS('4.個人職能盤點'!$A$2:$A$1486,A29,'4.個人職能盤點'!$K$2:$K$1486,"超越"))</f>
        <v/>
      </c>
      <c r="G29" s="120">
        <f>IF(A29="","",COUNTIFS('4.個人職能盤點'!$A$2:$A$1486,A29,'4.個人職能盤點'!$K$2:$K$1486,"待發展"))</f>
        <v/>
      </c>
      <c r="H29" s="121">
        <f>IF(OR(A29="",E29=0),"",F29/E29)</f>
        <v/>
      </c>
      <c r="I29" s="122">
        <f>IF(OR(A29="",E29=0),"",IFERROR(AVERAGEIFS('4.個人職能盤點'!$J$2:$J$1486,'4.個人職能盤點'!$A$2:$A$1486,A29),""))</f>
        <v/>
      </c>
      <c r="J29" s="123">
        <f>IF(A29="","",IFERROR(AVERAGEIFS('4.個人職能盤點'!$I$2:$I$1486,'4.個人職能盤點'!$A$2:$A$1486,A29,'4.個人職能盤點'!$E$2:$E$1486,"核心職能",'4.個人職能盤點'!$G$2:$G$1486,"&gt;0"),"-"))</f>
        <v/>
      </c>
      <c r="K29" s="123">
        <f>IF(A29="","",IFERROR(AVERAGEIFS('4.個人職能盤點'!$I$2:$I$1486,'4.個人職能盤點'!$A$2:$A$1486,A29,'4.個人職能盤點'!$E$2:$E$1486,"管理職能",'4.個人職能盤點'!$G$2:$G$1486,"&gt;0"),"-"))</f>
        <v/>
      </c>
      <c r="L29" s="123">
        <f>IF(A29="","",IFERROR(AVERAGEIFS('4.個人職能盤點'!$I$2:$I$1486,'4.個人職能盤點'!$A$2:$A$1486,A29,'4.個人職能盤點'!$E$2:$E$1486,"專業職能",'4.個人職能盤點'!$G$2:$G$1486,"&gt;0"),"-"))</f>
        <v/>
      </c>
      <c r="M29" s="120">
        <f>IF(H29="","",IF(H29&gt;=0.9,"優秀",IF(H29&gt;=0.7,"符合期待","需加強發展")))</f>
        <v/>
      </c>
    </row>
    <row r="30" ht="15.75" customHeight="1" s="64">
      <c r="A30" s="120">
        <f>IF('3.員工名單'!A30="","",'3.員工名單'!A30)</f>
        <v/>
      </c>
      <c r="B30" s="120">
        <f>IF(A30="","",'3.員工名單'!B30)</f>
        <v/>
      </c>
      <c r="C30" s="120">
        <f>IF(A30="","",'3.員工名單'!C30)</f>
        <v/>
      </c>
      <c r="D30" s="120">
        <f>IF(A30="","",'3.員工名單'!D30)</f>
        <v/>
      </c>
      <c r="E30" s="120">
        <f>IF(A30="","",COUNTIFS('4.個人職能盤點'!$A$2:$A$1486,A30,'4.個人職能盤點'!$K$2:$K$1486,"達標")+COUNTIFS('4.個人職能盤點'!$A$2:$A$1486,A30,'4.個人職能盤點'!$K$2:$K$1486,"超越")+COUNTIFS('4.個人職能盤點'!$A$2:$A$1486,A30,'4.個人職能盤點'!$K$2:$K$1486,"待發展"))</f>
        <v/>
      </c>
      <c r="F30" s="120">
        <f>IF(A30="","",COUNTIFS('4.個人職能盤點'!$A$2:$A$1486,A30,'4.個人職能盤點'!$K$2:$K$1486,"達標")+COUNTIFS('4.個人職能盤點'!$A$2:$A$1486,A30,'4.個人職能盤點'!$K$2:$K$1486,"超越"))</f>
        <v/>
      </c>
      <c r="G30" s="120">
        <f>IF(A30="","",COUNTIFS('4.個人職能盤點'!$A$2:$A$1486,A30,'4.個人職能盤點'!$K$2:$K$1486,"待發展"))</f>
        <v/>
      </c>
      <c r="H30" s="121">
        <f>IF(OR(A30="",E30=0),"",F30/E30)</f>
        <v/>
      </c>
      <c r="I30" s="122">
        <f>IF(OR(A30="",E30=0),"",IFERROR(AVERAGEIFS('4.個人職能盤點'!$J$2:$J$1486,'4.個人職能盤點'!$A$2:$A$1486,A30),""))</f>
        <v/>
      </c>
      <c r="J30" s="123">
        <f>IF(A30="","",IFERROR(AVERAGEIFS('4.個人職能盤點'!$I$2:$I$1486,'4.個人職能盤點'!$A$2:$A$1486,A30,'4.個人職能盤點'!$E$2:$E$1486,"核心職能",'4.個人職能盤點'!$G$2:$G$1486,"&gt;0"),"-"))</f>
        <v/>
      </c>
      <c r="K30" s="123">
        <f>IF(A30="","",IFERROR(AVERAGEIFS('4.個人職能盤點'!$I$2:$I$1486,'4.個人職能盤點'!$A$2:$A$1486,A30,'4.個人職能盤點'!$E$2:$E$1486,"管理職能",'4.個人職能盤點'!$G$2:$G$1486,"&gt;0"),"-"))</f>
        <v/>
      </c>
      <c r="L30" s="123">
        <f>IF(A30="","",IFERROR(AVERAGEIFS('4.個人職能盤點'!$I$2:$I$1486,'4.個人職能盤點'!$A$2:$A$1486,A30,'4.個人職能盤點'!$E$2:$E$1486,"專業職能",'4.個人職能盤點'!$G$2:$G$1486,"&gt;0"),"-"))</f>
        <v/>
      </c>
      <c r="M30" s="120">
        <f>IF(H30="","",IF(H30&gt;=0.9,"優秀",IF(H30&gt;=0.7,"符合期待","需加強發展")))</f>
        <v/>
      </c>
    </row>
    <row r="31" ht="15.75" customHeight="1" s="64">
      <c r="A31" s="120">
        <f>IF('3.員工名單'!A31="","",'3.員工名單'!A31)</f>
        <v/>
      </c>
      <c r="B31" s="120">
        <f>IF(A31="","",'3.員工名單'!B31)</f>
        <v/>
      </c>
      <c r="C31" s="120">
        <f>IF(A31="","",'3.員工名單'!C31)</f>
        <v/>
      </c>
      <c r="D31" s="120">
        <f>IF(A31="","",'3.員工名單'!D31)</f>
        <v/>
      </c>
      <c r="E31" s="120">
        <f>IF(A31="","",COUNTIFS('4.個人職能盤點'!$A$2:$A$1486,A31,'4.個人職能盤點'!$K$2:$K$1486,"達標")+COUNTIFS('4.個人職能盤點'!$A$2:$A$1486,A31,'4.個人職能盤點'!$K$2:$K$1486,"超越")+COUNTIFS('4.個人職能盤點'!$A$2:$A$1486,A31,'4.個人職能盤點'!$K$2:$K$1486,"待發展"))</f>
        <v/>
      </c>
      <c r="F31" s="120">
        <f>IF(A31="","",COUNTIFS('4.個人職能盤點'!$A$2:$A$1486,A31,'4.個人職能盤點'!$K$2:$K$1486,"達標")+COUNTIFS('4.個人職能盤點'!$A$2:$A$1486,A31,'4.個人職能盤點'!$K$2:$K$1486,"超越"))</f>
        <v/>
      </c>
      <c r="G31" s="120">
        <f>IF(A31="","",COUNTIFS('4.個人職能盤點'!$A$2:$A$1486,A31,'4.個人職能盤點'!$K$2:$K$1486,"待發展"))</f>
        <v/>
      </c>
      <c r="H31" s="121">
        <f>IF(OR(A31="",E31=0),"",F31/E31)</f>
        <v/>
      </c>
      <c r="I31" s="122">
        <f>IF(OR(A31="",E31=0),"",IFERROR(AVERAGEIFS('4.個人職能盤點'!$J$2:$J$1486,'4.個人職能盤點'!$A$2:$A$1486,A31),""))</f>
        <v/>
      </c>
      <c r="J31" s="123">
        <f>IF(A31="","",IFERROR(AVERAGEIFS('4.個人職能盤點'!$I$2:$I$1486,'4.個人職能盤點'!$A$2:$A$1486,A31,'4.個人職能盤點'!$E$2:$E$1486,"核心職能",'4.個人職能盤點'!$G$2:$G$1486,"&gt;0"),"-"))</f>
        <v/>
      </c>
      <c r="K31" s="123">
        <f>IF(A31="","",IFERROR(AVERAGEIFS('4.個人職能盤點'!$I$2:$I$1486,'4.個人職能盤點'!$A$2:$A$1486,A31,'4.個人職能盤點'!$E$2:$E$1486,"管理職能",'4.個人職能盤點'!$G$2:$G$1486,"&gt;0"),"-"))</f>
        <v/>
      </c>
      <c r="L31" s="123">
        <f>IF(A31="","",IFERROR(AVERAGEIFS('4.個人職能盤點'!$I$2:$I$1486,'4.個人職能盤點'!$A$2:$A$1486,A31,'4.個人職能盤點'!$E$2:$E$1486,"專業職能",'4.個人職能盤點'!$G$2:$G$1486,"&gt;0"),"-"))</f>
        <v/>
      </c>
      <c r="M31" s="120">
        <f>IF(H31="","",IF(H31&gt;=0.9,"優秀",IF(H31&gt;=0.7,"符合期待","需加強發展")))</f>
        <v/>
      </c>
    </row>
    <row r="32" ht="15.75" customHeight="1" s="64">
      <c r="A32" s="120">
        <f>IF('3.員工名單'!A32="","",'3.員工名單'!A32)</f>
        <v/>
      </c>
      <c r="B32" s="120">
        <f>IF(A32="","",'3.員工名單'!B32)</f>
        <v/>
      </c>
      <c r="C32" s="120">
        <f>IF(A32="","",'3.員工名單'!C32)</f>
        <v/>
      </c>
      <c r="D32" s="120">
        <f>IF(A32="","",'3.員工名單'!D32)</f>
        <v/>
      </c>
      <c r="E32" s="120">
        <f>IF(A32="","",COUNTIFS('4.個人職能盤點'!$A$2:$A$1486,A32,'4.個人職能盤點'!$K$2:$K$1486,"達標")+COUNTIFS('4.個人職能盤點'!$A$2:$A$1486,A32,'4.個人職能盤點'!$K$2:$K$1486,"超越")+COUNTIFS('4.個人職能盤點'!$A$2:$A$1486,A32,'4.個人職能盤點'!$K$2:$K$1486,"待發展"))</f>
        <v/>
      </c>
      <c r="F32" s="120">
        <f>IF(A32="","",COUNTIFS('4.個人職能盤點'!$A$2:$A$1486,A32,'4.個人職能盤點'!$K$2:$K$1486,"達標")+COUNTIFS('4.個人職能盤點'!$A$2:$A$1486,A32,'4.個人職能盤點'!$K$2:$K$1486,"超越"))</f>
        <v/>
      </c>
      <c r="G32" s="120">
        <f>IF(A32="","",COUNTIFS('4.個人職能盤點'!$A$2:$A$1486,A32,'4.個人職能盤點'!$K$2:$K$1486,"待發展"))</f>
        <v/>
      </c>
      <c r="H32" s="121">
        <f>IF(OR(A32="",E32=0),"",F32/E32)</f>
        <v/>
      </c>
      <c r="I32" s="122">
        <f>IF(OR(A32="",E32=0),"",IFERROR(AVERAGEIFS('4.個人職能盤點'!$J$2:$J$1486,'4.個人職能盤點'!$A$2:$A$1486,A32),""))</f>
        <v/>
      </c>
      <c r="J32" s="123">
        <f>IF(A32="","",IFERROR(AVERAGEIFS('4.個人職能盤點'!$I$2:$I$1486,'4.個人職能盤點'!$A$2:$A$1486,A32,'4.個人職能盤點'!$E$2:$E$1486,"核心職能",'4.個人職能盤點'!$G$2:$G$1486,"&gt;0"),"-"))</f>
        <v/>
      </c>
      <c r="K32" s="123">
        <f>IF(A32="","",IFERROR(AVERAGEIFS('4.個人職能盤點'!$I$2:$I$1486,'4.個人職能盤點'!$A$2:$A$1486,A32,'4.個人職能盤點'!$E$2:$E$1486,"管理職能",'4.個人職能盤點'!$G$2:$G$1486,"&gt;0"),"-"))</f>
        <v/>
      </c>
      <c r="L32" s="123">
        <f>IF(A32="","",IFERROR(AVERAGEIFS('4.個人職能盤點'!$I$2:$I$1486,'4.個人職能盤點'!$A$2:$A$1486,A32,'4.個人職能盤點'!$E$2:$E$1486,"專業職能",'4.個人職能盤點'!$G$2:$G$1486,"&gt;0"),"-"))</f>
        <v/>
      </c>
      <c r="M32" s="120">
        <f>IF(H32="","",IF(H32&gt;=0.9,"優秀",IF(H32&gt;=0.7,"符合期待","需加強發展")))</f>
        <v/>
      </c>
    </row>
    <row r="33" ht="15.75" customHeight="1" s="64">
      <c r="A33" s="120">
        <f>IF('3.員工名單'!A33="","",'3.員工名單'!A33)</f>
        <v/>
      </c>
      <c r="B33" s="120">
        <f>IF(A33="","",'3.員工名單'!B33)</f>
        <v/>
      </c>
      <c r="C33" s="120">
        <f>IF(A33="","",'3.員工名單'!C33)</f>
        <v/>
      </c>
      <c r="D33" s="120">
        <f>IF(A33="","",'3.員工名單'!D33)</f>
        <v/>
      </c>
      <c r="E33" s="120">
        <f>IF(A33="","",COUNTIFS('4.個人職能盤點'!$A$2:$A$1486,A33,'4.個人職能盤點'!$K$2:$K$1486,"達標")+COUNTIFS('4.個人職能盤點'!$A$2:$A$1486,A33,'4.個人職能盤點'!$K$2:$K$1486,"超越")+COUNTIFS('4.個人職能盤點'!$A$2:$A$1486,A33,'4.個人職能盤點'!$K$2:$K$1486,"待發展"))</f>
        <v/>
      </c>
      <c r="F33" s="120">
        <f>IF(A33="","",COUNTIFS('4.個人職能盤點'!$A$2:$A$1486,A33,'4.個人職能盤點'!$K$2:$K$1486,"達標")+COUNTIFS('4.個人職能盤點'!$A$2:$A$1486,A33,'4.個人職能盤點'!$K$2:$K$1486,"超越"))</f>
        <v/>
      </c>
      <c r="G33" s="120">
        <f>IF(A33="","",COUNTIFS('4.個人職能盤點'!$A$2:$A$1486,A33,'4.個人職能盤點'!$K$2:$K$1486,"待發展"))</f>
        <v/>
      </c>
      <c r="H33" s="121">
        <f>IF(OR(A33="",E33=0),"",F33/E33)</f>
        <v/>
      </c>
      <c r="I33" s="122">
        <f>IF(OR(A33="",E33=0),"",IFERROR(AVERAGEIFS('4.個人職能盤點'!$J$2:$J$1486,'4.個人職能盤點'!$A$2:$A$1486,A33),""))</f>
        <v/>
      </c>
      <c r="J33" s="123">
        <f>IF(A33="","",IFERROR(AVERAGEIFS('4.個人職能盤點'!$I$2:$I$1486,'4.個人職能盤點'!$A$2:$A$1486,A33,'4.個人職能盤點'!$E$2:$E$1486,"核心職能",'4.個人職能盤點'!$G$2:$G$1486,"&gt;0"),"-"))</f>
        <v/>
      </c>
      <c r="K33" s="123">
        <f>IF(A33="","",IFERROR(AVERAGEIFS('4.個人職能盤點'!$I$2:$I$1486,'4.個人職能盤點'!$A$2:$A$1486,A33,'4.個人職能盤點'!$E$2:$E$1486,"管理職能",'4.個人職能盤點'!$G$2:$G$1486,"&gt;0"),"-"))</f>
        <v/>
      </c>
      <c r="L33" s="123">
        <f>IF(A33="","",IFERROR(AVERAGEIFS('4.個人職能盤點'!$I$2:$I$1486,'4.個人職能盤點'!$A$2:$A$1486,A33,'4.個人職能盤點'!$E$2:$E$1486,"專業職能",'4.個人職能盤點'!$G$2:$G$1486,"&gt;0"),"-"))</f>
        <v/>
      </c>
      <c r="M33" s="120">
        <f>IF(H33="","",IF(H33&gt;=0.9,"優秀",IF(H33&gt;=0.7,"符合期待","需加強發展")))</f>
        <v/>
      </c>
    </row>
    <row r="34" ht="15.75" customHeight="1" s="64">
      <c r="A34" s="120">
        <f>IF('3.員工名單'!A34="","",'3.員工名單'!A34)</f>
        <v/>
      </c>
      <c r="B34" s="120">
        <f>IF(A34="","",'3.員工名單'!B34)</f>
        <v/>
      </c>
      <c r="C34" s="120">
        <f>IF(A34="","",'3.員工名單'!C34)</f>
        <v/>
      </c>
      <c r="D34" s="120">
        <f>IF(A34="","",'3.員工名單'!D34)</f>
        <v/>
      </c>
      <c r="E34" s="120">
        <f>IF(A34="","",COUNTIFS('4.個人職能盤點'!$A$2:$A$1486,A34,'4.個人職能盤點'!$K$2:$K$1486,"達標")+COUNTIFS('4.個人職能盤點'!$A$2:$A$1486,A34,'4.個人職能盤點'!$K$2:$K$1486,"超越")+COUNTIFS('4.個人職能盤點'!$A$2:$A$1486,A34,'4.個人職能盤點'!$K$2:$K$1486,"待發展"))</f>
        <v/>
      </c>
      <c r="F34" s="120">
        <f>IF(A34="","",COUNTIFS('4.個人職能盤點'!$A$2:$A$1486,A34,'4.個人職能盤點'!$K$2:$K$1486,"達標")+COUNTIFS('4.個人職能盤點'!$A$2:$A$1486,A34,'4.個人職能盤點'!$K$2:$K$1486,"超越"))</f>
        <v/>
      </c>
      <c r="G34" s="120">
        <f>IF(A34="","",COUNTIFS('4.個人職能盤點'!$A$2:$A$1486,A34,'4.個人職能盤點'!$K$2:$K$1486,"待發展"))</f>
        <v/>
      </c>
      <c r="H34" s="121">
        <f>IF(OR(A34="",E34=0),"",F34/E34)</f>
        <v/>
      </c>
      <c r="I34" s="122">
        <f>IF(OR(A34="",E34=0),"",IFERROR(AVERAGEIFS('4.個人職能盤點'!$J$2:$J$1486,'4.個人職能盤點'!$A$2:$A$1486,A34),""))</f>
        <v/>
      </c>
      <c r="J34" s="123">
        <f>IF(A34="","",IFERROR(AVERAGEIFS('4.個人職能盤點'!$I$2:$I$1486,'4.個人職能盤點'!$A$2:$A$1486,A34,'4.個人職能盤點'!$E$2:$E$1486,"核心職能",'4.個人職能盤點'!$G$2:$G$1486,"&gt;0"),"-"))</f>
        <v/>
      </c>
      <c r="K34" s="123">
        <f>IF(A34="","",IFERROR(AVERAGEIFS('4.個人職能盤點'!$I$2:$I$1486,'4.個人職能盤點'!$A$2:$A$1486,A34,'4.個人職能盤點'!$E$2:$E$1486,"管理職能",'4.個人職能盤點'!$G$2:$G$1486,"&gt;0"),"-"))</f>
        <v/>
      </c>
      <c r="L34" s="123">
        <f>IF(A34="","",IFERROR(AVERAGEIFS('4.個人職能盤點'!$I$2:$I$1486,'4.個人職能盤點'!$A$2:$A$1486,A34,'4.個人職能盤點'!$E$2:$E$1486,"專業職能",'4.個人職能盤點'!$G$2:$G$1486,"&gt;0"),"-"))</f>
        <v/>
      </c>
      <c r="M34" s="120">
        <f>IF(H34="","",IF(H34&gt;=0.9,"優秀",IF(H34&gt;=0.7,"符合期待","需加強發展")))</f>
        <v/>
      </c>
    </row>
    <row r="35" ht="15.75" customHeight="1" s="64">
      <c r="A35" s="120">
        <f>IF('3.員工名單'!A35="","",'3.員工名單'!A35)</f>
        <v/>
      </c>
      <c r="B35" s="120">
        <f>IF(A35="","",'3.員工名單'!B35)</f>
        <v/>
      </c>
      <c r="C35" s="120">
        <f>IF(A35="","",'3.員工名單'!C35)</f>
        <v/>
      </c>
      <c r="D35" s="120">
        <f>IF(A35="","",'3.員工名單'!D35)</f>
        <v/>
      </c>
      <c r="E35" s="120">
        <f>IF(A35="","",COUNTIFS('4.個人職能盤點'!$A$2:$A$1486,A35,'4.個人職能盤點'!$K$2:$K$1486,"達標")+COUNTIFS('4.個人職能盤點'!$A$2:$A$1486,A35,'4.個人職能盤點'!$K$2:$K$1486,"超越")+COUNTIFS('4.個人職能盤點'!$A$2:$A$1486,A35,'4.個人職能盤點'!$K$2:$K$1486,"待發展"))</f>
        <v/>
      </c>
      <c r="F35" s="120">
        <f>IF(A35="","",COUNTIFS('4.個人職能盤點'!$A$2:$A$1486,A35,'4.個人職能盤點'!$K$2:$K$1486,"達標")+COUNTIFS('4.個人職能盤點'!$A$2:$A$1486,A35,'4.個人職能盤點'!$K$2:$K$1486,"超越"))</f>
        <v/>
      </c>
      <c r="G35" s="120">
        <f>IF(A35="","",COUNTIFS('4.個人職能盤點'!$A$2:$A$1486,A35,'4.個人職能盤點'!$K$2:$K$1486,"待發展"))</f>
        <v/>
      </c>
      <c r="H35" s="121">
        <f>IF(OR(A35="",E35=0),"",F35/E35)</f>
        <v/>
      </c>
      <c r="I35" s="122">
        <f>IF(OR(A35="",E35=0),"",IFERROR(AVERAGEIFS('4.個人職能盤點'!$J$2:$J$1486,'4.個人職能盤點'!$A$2:$A$1486,A35),""))</f>
        <v/>
      </c>
      <c r="J35" s="123">
        <f>IF(A35="","",IFERROR(AVERAGEIFS('4.個人職能盤點'!$I$2:$I$1486,'4.個人職能盤點'!$A$2:$A$1486,A35,'4.個人職能盤點'!$E$2:$E$1486,"核心職能",'4.個人職能盤點'!$G$2:$G$1486,"&gt;0"),"-"))</f>
        <v/>
      </c>
      <c r="K35" s="123">
        <f>IF(A35="","",IFERROR(AVERAGEIFS('4.個人職能盤點'!$I$2:$I$1486,'4.個人職能盤點'!$A$2:$A$1486,A35,'4.個人職能盤點'!$E$2:$E$1486,"管理職能",'4.個人職能盤點'!$G$2:$G$1486,"&gt;0"),"-"))</f>
        <v/>
      </c>
      <c r="L35" s="123">
        <f>IF(A35="","",IFERROR(AVERAGEIFS('4.個人職能盤點'!$I$2:$I$1486,'4.個人職能盤點'!$A$2:$A$1486,A35,'4.個人職能盤點'!$E$2:$E$1486,"專業職能",'4.個人職能盤點'!$G$2:$G$1486,"&gt;0"),"-"))</f>
        <v/>
      </c>
      <c r="M35" s="120">
        <f>IF(H35="","",IF(H35&gt;=0.9,"優秀",IF(H35&gt;=0.7,"符合期待","需加強發展")))</f>
        <v/>
      </c>
    </row>
    <row r="36" ht="15.75" customHeight="1" s="64">
      <c r="A36" s="120">
        <f>IF('3.員工名單'!A36="","",'3.員工名單'!A36)</f>
        <v/>
      </c>
      <c r="B36" s="120">
        <f>IF(A36="","",'3.員工名單'!B36)</f>
        <v/>
      </c>
      <c r="C36" s="120">
        <f>IF(A36="","",'3.員工名單'!C36)</f>
        <v/>
      </c>
      <c r="D36" s="120">
        <f>IF(A36="","",'3.員工名單'!D36)</f>
        <v/>
      </c>
      <c r="E36" s="120">
        <f>IF(A36="","",COUNTIFS('4.個人職能盤點'!$A$2:$A$1486,A36,'4.個人職能盤點'!$K$2:$K$1486,"達標")+COUNTIFS('4.個人職能盤點'!$A$2:$A$1486,A36,'4.個人職能盤點'!$K$2:$K$1486,"超越")+COUNTIFS('4.個人職能盤點'!$A$2:$A$1486,A36,'4.個人職能盤點'!$K$2:$K$1486,"待發展"))</f>
        <v/>
      </c>
      <c r="F36" s="120">
        <f>IF(A36="","",COUNTIFS('4.個人職能盤點'!$A$2:$A$1486,A36,'4.個人職能盤點'!$K$2:$K$1486,"達標")+COUNTIFS('4.個人職能盤點'!$A$2:$A$1486,A36,'4.個人職能盤點'!$K$2:$K$1486,"超越"))</f>
        <v/>
      </c>
      <c r="G36" s="120">
        <f>IF(A36="","",COUNTIFS('4.個人職能盤點'!$A$2:$A$1486,A36,'4.個人職能盤點'!$K$2:$K$1486,"待發展"))</f>
        <v/>
      </c>
      <c r="H36" s="121">
        <f>IF(OR(A36="",E36=0),"",F36/E36)</f>
        <v/>
      </c>
      <c r="I36" s="122">
        <f>IF(OR(A36="",E36=0),"",IFERROR(AVERAGEIFS('4.個人職能盤點'!$J$2:$J$1486,'4.個人職能盤點'!$A$2:$A$1486,A36),""))</f>
        <v/>
      </c>
      <c r="J36" s="123">
        <f>IF(A36="","",IFERROR(AVERAGEIFS('4.個人職能盤點'!$I$2:$I$1486,'4.個人職能盤點'!$A$2:$A$1486,A36,'4.個人職能盤點'!$E$2:$E$1486,"核心職能",'4.個人職能盤點'!$G$2:$G$1486,"&gt;0"),"-"))</f>
        <v/>
      </c>
      <c r="K36" s="123">
        <f>IF(A36="","",IFERROR(AVERAGEIFS('4.個人職能盤點'!$I$2:$I$1486,'4.個人職能盤點'!$A$2:$A$1486,A36,'4.個人職能盤點'!$E$2:$E$1486,"管理職能",'4.個人職能盤點'!$G$2:$G$1486,"&gt;0"),"-"))</f>
        <v/>
      </c>
      <c r="L36" s="123">
        <f>IF(A36="","",IFERROR(AVERAGEIFS('4.個人職能盤點'!$I$2:$I$1486,'4.個人職能盤點'!$A$2:$A$1486,A36,'4.個人職能盤點'!$E$2:$E$1486,"專業職能",'4.個人職能盤點'!$G$2:$G$1486,"&gt;0"),"-"))</f>
        <v/>
      </c>
      <c r="M36" s="120">
        <f>IF(H36="","",IF(H36&gt;=0.9,"優秀",IF(H36&gt;=0.7,"符合期待","需加強發展")))</f>
        <v/>
      </c>
    </row>
    <row r="37" ht="15.75" customHeight="1" s="64">
      <c r="A37" s="120">
        <f>IF('3.員工名單'!A37="","",'3.員工名單'!A37)</f>
        <v/>
      </c>
      <c r="B37" s="120">
        <f>IF(A37="","",'3.員工名單'!B37)</f>
        <v/>
      </c>
      <c r="C37" s="120">
        <f>IF(A37="","",'3.員工名單'!C37)</f>
        <v/>
      </c>
      <c r="D37" s="120">
        <f>IF(A37="","",'3.員工名單'!D37)</f>
        <v/>
      </c>
      <c r="E37" s="120">
        <f>IF(A37="","",COUNTIFS('4.個人職能盤點'!$A$2:$A$1486,A37,'4.個人職能盤點'!$K$2:$K$1486,"達標")+COUNTIFS('4.個人職能盤點'!$A$2:$A$1486,A37,'4.個人職能盤點'!$K$2:$K$1486,"超越")+COUNTIFS('4.個人職能盤點'!$A$2:$A$1486,A37,'4.個人職能盤點'!$K$2:$K$1486,"待發展"))</f>
        <v/>
      </c>
      <c r="F37" s="120">
        <f>IF(A37="","",COUNTIFS('4.個人職能盤點'!$A$2:$A$1486,A37,'4.個人職能盤點'!$K$2:$K$1486,"達標")+COUNTIFS('4.個人職能盤點'!$A$2:$A$1486,A37,'4.個人職能盤點'!$K$2:$K$1486,"超越"))</f>
        <v/>
      </c>
      <c r="G37" s="120">
        <f>IF(A37="","",COUNTIFS('4.個人職能盤點'!$A$2:$A$1486,A37,'4.個人職能盤點'!$K$2:$K$1486,"待發展"))</f>
        <v/>
      </c>
      <c r="H37" s="121">
        <f>IF(OR(A37="",E37=0),"",F37/E37)</f>
        <v/>
      </c>
      <c r="I37" s="122">
        <f>IF(OR(A37="",E37=0),"",IFERROR(AVERAGEIFS('4.個人職能盤點'!$J$2:$J$1486,'4.個人職能盤點'!$A$2:$A$1486,A37),""))</f>
        <v/>
      </c>
      <c r="J37" s="123">
        <f>IF(A37="","",IFERROR(AVERAGEIFS('4.個人職能盤點'!$I$2:$I$1486,'4.個人職能盤點'!$A$2:$A$1486,A37,'4.個人職能盤點'!$E$2:$E$1486,"核心職能",'4.個人職能盤點'!$G$2:$G$1486,"&gt;0"),"-"))</f>
        <v/>
      </c>
      <c r="K37" s="123">
        <f>IF(A37="","",IFERROR(AVERAGEIFS('4.個人職能盤點'!$I$2:$I$1486,'4.個人職能盤點'!$A$2:$A$1486,A37,'4.個人職能盤點'!$E$2:$E$1486,"管理職能",'4.個人職能盤點'!$G$2:$G$1486,"&gt;0"),"-"))</f>
        <v/>
      </c>
      <c r="L37" s="123">
        <f>IF(A37="","",IFERROR(AVERAGEIFS('4.個人職能盤點'!$I$2:$I$1486,'4.個人職能盤點'!$A$2:$A$1486,A37,'4.個人職能盤點'!$E$2:$E$1486,"專業職能",'4.個人職能盤點'!$G$2:$G$1486,"&gt;0"),"-"))</f>
        <v/>
      </c>
      <c r="M37" s="120">
        <f>IF(H37="","",IF(H37&gt;=0.9,"優秀",IF(H37&gt;=0.7,"符合期待","需加強發展")))</f>
        <v/>
      </c>
    </row>
    <row r="38" ht="15.75" customHeight="1" s="64">
      <c r="A38" s="120">
        <f>IF('3.員工名單'!A38="","",'3.員工名單'!A38)</f>
        <v/>
      </c>
      <c r="B38" s="120">
        <f>IF(A38="","",'3.員工名單'!B38)</f>
        <v/>
      </c>
      <c r="C38" s="120">
        <f>IF(A38="","",'3.員工名單'!C38)</f>
        <v/>
      </c>
      <c r="D38" s="120">
        <f>IF(A38="","",'3.員工名單'!D38)</f>
        <v/>
      </c>
      <c r="E38" s="120">
        <f>IF(A38="","",COUNTIFS('4.個人職能盤點'!$A$2:$A$1486,A38,'4.個人職能盤點'!$K$2:$K$1486,"達標")+COUNTIFS('4.個人職能盤點'!$A$2:$A$1486,A38,'4.個人職能盤點'!$K$2:$K$1486,"超越")+COUNTIFS('4.個人職能盤點'!$A$2:$A$1486,A38,'4.個人職能盤點'!$K$2:$K$1486,"待發展"))</f>
        <v/>
      </c>
      <c r="F38" s="120">
        <f>IF(A38="","",COUNTIFS('4.個人職能盤點'!$A$2:$A$1486,A38,'4.個人職能盤點'!$K$2:$K$1486,"達標")+COUNTIFS('4.個人職能盤點'!$A$2:$A$1486,A38,'4.個人職能盤點'!$K$2:$K$1486,"超越"))</f>
        <v/>
      </c>
      <c r="G38" s="120">
        <f>IF(A38="","",COUNTIFS('4.個人職能盤點'!$A$2:$A$1486,A38,'4.個人職能盤點'!$K$2:$K$1486,"待發展"))</f>
        <v/>
      </c>
      <c r="H38" s="121">
        <f>IF(OR(A38="",E38=0),"",F38/E38)</f>
        <v/>
      </c>
      <c r="I38" s="122">
        <f>IF(OR(A38="",E38=0),"",IFERROR(AVERAGEIFS('4.個人職能盤點'!$J$2:$J$1486,'4.個人職能盤點'!$A$2:$A$1486,A38),""))</f>
        <v/>
      </c>
      <c r="J38" s="123">
        <f>IF(A38="","",IFERROR(AVERAGEIFS('4.個人職能盤點'!$I$2:$I$1486,'4.個人職能盤點'!$A$2:$A$1486,A38,'4.個人職能盤點'!$E$2:$E$1486,"核心職能",'4.個人職能盤點'!$G$2:$G$1486,"&gt;0"),"-"))</f>
        <v/>
      </c>
      <c r="K38" s="123">
        <f>IF(A38="","",IFERROR(AVERAGEIFS('4.個人職能盤點'!$I$2:$I$1486,'4.個人職能盤點'!$A$2:$A$1486,A38,'4.個人職能盤點'!$E$2:$E$1486,"管理職能",'4.個人職能盤點'!$G$2:$G$1486,"&gt;0"),"-"))</f>
        <v/>
      </c>
      <c r="L38" s="123">
        <f>IF(A38="","",IFERROR(AVERAGEIFS('4.個人職能盤點'!$I$2:$I$1486,'4.個人職能盤點'!$A$2:$A$1486,A38,'4.個人職能盤點'!$E$2:$E$1486,"專業職能",'4.個人職能盤點'!$G$2:$G$1486,"&gt;0"),"-"))</f>
        <v/>
      </c>
      <c r="M38" s="120">
        <f>IF(H38="","",IF(H38&gt;=0.9,"優秀",IF(H38&gt;=0.7,"符合期待","需加強發展")))</f>
        <v/>
      </c>
    </row>
    <row r="39" ht="15.75" customHeight="1" s="64">
      <c r="A39" s="120">
        <f>IF('3.員工名單'!A39="","",'3.員工名單'!A39)</f>
        <v/>
      </c>
      <c r="B39" s="120">
        <f>IF(A39="","",'3.員工名單'!B39)</f>
        <v/>
      </c>
      <c r="C39" s="120">
        <f>IF(A39="","",'3.員工名單'!C39)</f>
        <v/>
      </c>
      <c r="D39" s="120">
        <f>IF(A39="","",'3.員工名單'!D39)</f>
        <v/>
      </c>
      <c r="E39" s="120">
        <f>IF(A39="","",COUNTIFS('4.個人職能盤點'!$A$2:$A$1486,A39,'4.個人職能盤點'!$K$2:$K$1486,"達標")+COUNTIFS('4.個人職能盤點'!$A$2:$A$1486,A39,'4.個人職能盤點'!$K$2:$K$1486,"超越")+COUNTIFS('4.個人職能盤點'!$A$2:$A$1486,A39,'4.個人職能盤點'!$K$2:$K$1486,"待發展"))</f>
        <v/>
      </c>
      <c r="F39" s="120">
        <f>IF(A39="","",COUNTIFS('4.個人職能盤點'!$A$2:$A$1486,A39,'4.個人職能盤點'!$K$2:$K$1486,"達標")+COUNTIFS('4.個人職能盤點'!$A$2:$A$1486,A39,'4.個人職能盤點'!$K$2:$K$1486,"超越"))</f>
        <v/>
      </c>
      <c r="G39" s="120">
        <f>IF(A39="","",COUNTIFS('4.個人職能盤點'!$A$2:$A$1486,A39,'4.個人職能盤點'!$K$2:$K$1486,"待發展"))</f>
        <v/>
      </c>
      <c r="H39" s="121">
        <f>IF(OR(A39="",E39=0),"",F39/E39)</f>
        <v/>
      </c>
      <c r="I39" s="122">
        <f>IF(OR(A39="",E39=0),"",IFERROR(AVERAGEIFS('4.個人職能盤點'!$J$2:$J$1486,'4.個人職能盤點'!$A$2:$A$1486,A39),""))</f>
        <v/>
      </c>
      <c r="J39" s="123">
        <f>IF(A39="","",IFERROR(AVERAGEIFS('4.個人職能盤點'!$I$2:$I$1486,'4.個人職能盤點'!$A$2:$A$1486,A39,'4.個人職能盤點'!$E$2:$E$1486,"核心職能",'4.個人職能盤點'!$G$2:$G$1486,"&gt;0"),"-"))</f>
        <v/>
      </c>
      <c r="K39" s="123">
        <f>IF(A39="","",IFERROR(AVERAGEIFS('4.個人職能盤點'!$I$2:$I$1486,'4.個人職能盤點'!$A$2:$A$1486,A39,'4.個人職能盤點'!$E$2:$E$1486,"管理職能",'4.個人職能盤點'!$G$2:$G$1486,"&gt;0"),"-"))</f>
        <v/>
      </c>
      <c r="L39" s="123">
        <f>IF(A39="","",IFERROR(AVERAGEIFS('4.個人職能盤點'!$I$2:$I$1486,'4.個人職能盤點'!$A$2:$A$1486,A39,'4.個人職能盤點'!$E$2:$E$1486,"專業職能",'4.個人職能盤點'!$G$2:$G$1486,"&gt;0"),"-"))</f>
        <v/>
      </c>
      <c r="M39" s="120">
        <f>IF(H39="","",IF(H39&gt;=0.9,"優秀",IF(H39&gt;=0.7,"符合期待","需加強發展")))</f>
        <v/>
      </c>
    </row>
    <row r="40" ht="15.75" customHeight="1" s="64">
      <c r="A40" s="120">
        <f>IF('3.員工名單'!A40="","",'3.員工名單'!A40)</f>
        <v/>
      </c>
      <c r="B40" s="120">
        <f>IF(A40="","",'3.員工名單'!B40)</f>
        <v/>
      </c>
      <c r="C40" s="120">
        <f>IF(A40="","",'3.員工名單'!C40)</f>
        <v/>
      </c>
      <c r="D40" s="120">
        <f>IF(A40="","",'3.員工名單'!D40)</f>
        <v/>
      </c>
      <c r="E40" s="120">
        <f>IF(A40="","",COUNTIFS('4.個人職能盤點'!$A$2:$A$1486,A40,'4.個人職能盤點'!$K$2:$K$1486,"達標")+COUNTIFS('4.個人職能盤點'!$A$2:$A$1486,A40,'4.個人職能盤點'!$K$2:$K$1486,"超越")+COUNTIFS('4.個人職能盤點'!$A$2:$A$1486,A40,'4.個人職能盤點'!$K$2:$K$1486,"待發展"))</f>
        <v/>
      </c>
      <c r="F40" s="120">
        <f>IF(A40="","",COUNTIFS('4.個人職能盤點'!$A$2:$A$1486,A40,'4.個人職能盤點'!$K$2:$K$1486,"達標")+COUNTIFS('4.個人職能盤點'!$A$2:$A$1486,A40,'4.個人職能盤點'!$K$2:$K$1486,"超越"))</f>
        <v/>
      </c>
      <c r="G40" s="120">
        <f>IF(A40="","",COUNTIFS('4.個人職能盤點'!$A$2:$A$1486,A40,'4.個人職能盤點'!$K$2:$K$1486,"待發展"))</f>
        <v/>
      </c>
      <c r="H40" s="121">
        <f>IF(OR(A40="",E40=0),"",F40/E40)</f>
        <v/>
      </c>
      <c r="I40" s="122">
        <f>IF(OR(A40="",E40=0),"",IFERROR(AVERAGEIFS('4.個人職能盤點'!$J$2:$J$1486,'4.個人職能盤點'!$A$2:$A$1486,A40),""))</f>
        <v/>
      </c>
      <c r="J40" s="123">
        <f>IF(A40="","",IFERROR(AVERAGEIFS('4.個人職能盤點'!$I$2:$I$1486,'4.個人職能盤點'!$A$2:$A$1486,A40,'4.個人職能盤點'!$E$2:$E$1486,"核心職能",'4.個人職能盤點'!$G$2:$G$1486,"&gt;0"),"-"))</f>
        <v/>
      </c>
      <c r="K40" s="123">
        <f>IF(A40="","",IFERROR(AVERAGEIFS('4.個人職能盤點'!$I$2:$I$1486,'4.個人職能盤點'!$A$2:$A$1486,A40,'4.個人職能盤點'!$E$2:$E$1486,"管理職能",'4.個人職能盤點'!$G$2:$G$1486,"&gt;0"),"-"))</f>
        <v/>
      </c>
      <c r="L40" s="123">
        <f>IF(A40="","",IFERROR(AVERAGEIFS('4.個人職能盤點'!$I$2:$I$1486,'4.個人職能盤點'!$A$2:$A$1486,A40,'4.個人職能盤點'!$E$2:$E$1486,"專業職能",'4.個人職能盤點'!$G$2:$G$1486,"&gt;0"),"-"))</f>
        <v/>
      </c>
      <c r="M40" s="120">
        <f>IF(H40="","",IF(H40&gt;=0.9,"優秀",IF(H40&gt;=0.7,"符合期待","需加強發展")))</f>
        <v/>
      </c>
    </row>
    <row r="41" ht="15.75" customHeight="1" s="64">
      <c r="A41" s="120">
        <f>IF('3.員工名單'!A41="","",'3.員工名單'!A41)</f>
        <v/>
      </c>
      <c r="B41" s="120">
        <f>IF(A41="","",'3.員工名單'!B41)</f>
        <v/>
      </c>
      <c r="C41" s="120">
        <f>IF(A41="","",'3.員工名單'!C41)</f>
        <v/>
      </c>
      <c r="D41" s="120">
        <f>IF(A41="","",'3.員工名單'!D41)</f>
        <v/>
      </c>
      <c r="E41" s="120">
        <f>IF(A41="","",COUNTIFS('4.個人職能盤點'!$A$2:$A$1486,A41,'4.個人職能盤點'!$K$2:$K$1486,"達標")+COUNTIFS('4.個人職能盤點'!$A$2:$A$1486,A41,'4.個人職能盤點'!$K$2:$K$1486,"超越")+COUNTIFS('4.個人職能盤點'!$A$2:$A$1486,A41,'4.個人職能盤點'!$K$2:$K$1486,"待發展"))</f>
        <v/>
      </c>
      <c r="F41" s="120">
        <f>IF(A41="","",COUNTIFS('4.個人職能盤點'!$A$2:$A$1486,A41,'4.個人職能盤點'!$K$2:$K$1486,"達標")+COUNTIFS('4.個人職能盤點'!$A$2:$A$1486,A41,'4.個人職能盤點'!$K$2:$K$1486,"超越"))</f>
        <v/>
      </c>
      <c r="G41" s="120">
        <f>IF(A41="","",COUNTIFS('4.個人職能盤點'!$A$2:$A$1486,A41,'4.個人職能盤點'!$K$2:$K$1486,"待發展"))</f>
        <v/>
      </c>
      <c r="H41" s="121">
        <f>IF(OR(A41="",E41=0),"",F41/E41)</f>
        <v/>
      </c>
      <c r="I41" s="122">
        <f>IF(OR(A41="",E41=0),"",IFERROR(AVERAGEIFS('4.個人職能盤點'!$J$2:$J$1486,'4.個人職能盤點'!$A$2:$A$1486,A41),""))</f>
        <v/>
      </c>
      <c r="J41" s="123">
        <f>IF(A41="","",IFERROR(AVERAGEIFS('4.個人職能盤點'!$I$2:$I$1486,'4.個人職能盤點'!$A$2:$A$1486,A41,'4.個人職能盤點'!$E$2:$E$1486,"核心職能",'4.個人職能盤點'!$G$2:$G$1486,"&gt;0"),"-"))</f>
        <v/>
      </c>
      <c r="K41" s="123">
        <f>IF(A41="","",IFERROR(AVERAGEIFS('4.個人職能盤點'!$I$2:$I$1486,'4.個人職能盤點'!$A$2:$A$1486,A41,'4.個人職能盤點'!$E$2:$E$1486,"管理職能",'4.個人職能盤點'!$G$2:$G$1486,"&gt;0"),"-"))</f>
        <v/>
      </c>
      <c r="L41" s="123">
        <f>IF(A41="","",IFERROR(AVERAGEIFS('4.個人職能盤點'!$I$2:$I$1486,'4.個人職能盤點'!$A$2:$A$1486,A41,'4.個人職能盤點'!$E$2:$E$1486,"專業職能",'4.個人職能盤點'!$G$2:$G$1486,"&gt;0"),"-"))</f>
        <v/>
      </c>
      <c r="M41" s="120">
        <f>IF(H41="","",IF(H41&gt;=0.9,"優秀",IF(H41&gt;=0.7,"符合期待","需加強發展")))</f>
        <v/>
      </c>
    </row>
    <row r="42" ht="15.75" customHeight="1" s="64">
      <c r="A42" s="120">
        <f>IF('3.員工名單'!A42="","",'3.員工名單'!A42)</f>
        <v/>
      </c>
      <c r="B42" s="120">
        <f>IF(A42="","",'3.員工名單'!B42)</f>
        <v/>
      </c>
      <c r="C42" s="120">
        <f>IF(A42="","",'3.員工名單'!C42)</f>
        <v/>
      </c>
      <c r="D42" s="120">
        <f>IF(A42="","",'3.員工名單'!D42)</f>
        <v/>
      </c>
      <c r="E42" s="120">
        <f>IF(A42="","",COUNTIFS('4.個人職能盤點'!$A$2:$A$1486,A42,'4.個人職能盤點'!$K$2:$K$1486,"達標")+COUNTIFS('4.個人職能盤點'!$A$2:$A$1486,A42,'4.個人職能盤點'!$K$2:$K$1486,"超越")+COUNTIFS('4.個人職能盤點'!$A$2:$A$1486,A42,'4.個人職能盤點'!$K$2:$K$1486,"待發展"))</f>
        <v/>
      </c>
      <c r="F42" s="120">
        <f>IF(A42="","",COUNTIFS('4.個人職能盤點'!$A$2:$A$1486,A42,'4.個人職能盤點'!$K$2:$K$1486,"達標")+COUNTIFS('4.個人職能盤點'!$A$2:$A$1486,A42,'4.個人職能盤點'!$K$2:$K$1486,"超越"))</f>
        <v/>
      </c>
      <c r="G42" s="120">
        <f>IF(A42="","",COUNTIFS('4.個人職能盤點'!$A$2:$A$1486,A42,'4.個人職能盤點'!$K$2:$K$1486,"待發展"))</f>
        <v/>
      </c>
      <c r="H42" s="121">
        <f>IF(OR(A42="",E42=0),"",F42/E42)</f>
        <v/>
      </c>
      <c r="I42" s="122">
        <f>IF(OR(A42="",E42=0),"",IFERROR(AVERAGEIFS('4.個人職能盤點'!$J$2:$J$1486,'4.個人職能盤點'!$A$2:$A$1486,A42),""))</f>
        <v/>
      </c>
      <c r="J42" s="123">
        <f>IF(A42="","",IFERROR(AVERAGEIFS('4.個人職能盤點'!$I$2:$I$1486,'4.個人職能盤點'!$A$2:$A$1486,A42,'4.個人職能盤點'!$E$2:$E$1486,"核心職能",'4.個人職能盤點'!$G$2:$G$1486,"&gt;0"),"-"))</f>
        <v/>
      </c>
      <c r="K42" s="123">
        <f>IF(A42="","",IFERROR(AVERAGEIFS('4.個人職能盤點'!$I$2:$I$1486,'4.個人職能盤點'!$A$2:$A$1486,A42,'4.個人職能盤點'!$E$2:$E$1486,"管理職能",'4.個人職能盤點'!$G$2:$G$1486,"&gt;0"),"-"))</f>
        <v/>
      </c>
      <c r="L42" s="123">
        <f>IF(A42="","",IFERROR(AVERAGEIFS('4.個人職能盤點'!$I$2:$I$1486,'4.個人職能盤點'!$A$2:$A$1486,A42,'4.個人職能盤點'!$E$2:$E$1486,"專業職能",'4.個人職能盤點'!$G$2:$G$1486,"&gt;0"),"-"))</f>
        <v/>
      </c>
      <c r="M42" s="120">
        <f>IF(H42="","",IF(H42&gt;=0.9,"優秀",IF(H42&gt;=0.7,"符合期待","需加強發展")))</f>
        <v/>
      </c>
    </row>
    <row r="43" ht="15.75" customHeight="1" s="64">
      <c r="A43" s="120">
        <f>IF('3.員工名單'!A43="","",'3.員工名單'!A43)</f>
        <v/>
      </c>
      <c r="B43" s="120">
        <f>IF(A43="","",'3.員工名單'!B43)</f>
        <v/>
      </c>
      <c r="C43" s="120">
        <f>IF(A43="","",'3.員工名單'!C43)</f>
        <v/>
      </c>
      <c r="D43" s="120">
        <f>IF(A43="","",'3.員工名單'!D43)</f>
        <v/>
      </c>
      <c r="E43" s="120">
        <f>IF(A43="","",COUNTIFS('4.個人職能盤點'!$A$2:$A$1486,A43,'4.個人職能盤點'!$K$2:$K$1486,"達標")+COUNTIFS('4.個人職能盤點'!$A$2:$A$1486,A43,'4.個人職能盤點'!$K$2:$K$1486,"超越")+COUNTIFS('4.個人職能盤點'!$A$2:$A$1486,A43,'4.個人職能盤點'!$K$2:$K$1486,"待發展"))</f>
        <v/>
      </c>
      <c r="F43" s="120">
        <f>IF(A43="","",COUNTIFS('4.個人職能盤點'!$A$2:$A$1486,A43,'4.個人職能盤點'!$K$2:$K$1486,"達標")+COUNTIFS('4.個人職能盤點'!$A$2:$A$1486,A43,'4.個人職能盤點'!$K$2:$K$1486,"超越"))</f>
        <v/>
      </c>
      <c r="G43" s="120">
        <f>IF(A43="","",COUNTIFS('4.個人職能盤點'!$A$2:$A$1486,A43,'4.個人職能盤點'!$K$2:$K$1486,"待發展"))</f>
        <v/>
      </c>
      <c r="H43" s="121">
        <f>IF(OR(A43="",E43=0),"",F43/E43)</f>
        <v/>
      </c>
      <c r="I43" s="122">
        <f>IF(OR(A43="",E43=0),"",IFERROR(AVERAGEIFS('4.個人職能盤點'!$J$2:$J$1486,'4.個人職能盤點'!$A$2:$A$1486,A43),""))</f>
        <v/>
      </c>
      <c r="J43" s="123">
        <f>IF(A43="","",IFERROR(AVERAGEIFS('4.個人職能盤點'!$I$2:$I$1486,'4.個人職能盤點'!$A$2:$A$1486,A43,'4.個人職能盤點'!$E$2:$E$1486,"核心職能",'4.個人職能盤點'!$G$2:$G$1486,"&gt;0"),"-"))</f>
        <v/>
      </c>
      <c r="K43" s="123">
        <f>IF(A43="","",IFERROR(AVERAGEIFS('4.個人職能盤點'!$I$2:$I$1486,'4.個人職能盤點'!$A$2:$A$1486,A43,'4.個人職能盤點'!$E$2:$E$1486,"管理職能",'4.個人職能盤點'!$G$2:$G$1486,"&gt;0"),"-"))</f>
        <v/>
      </c>
      <c r="L43" s="123">
        <f>IF(A43="","",IFERROR(AVERAGEIFS('4.個人職能盤點'!$I$2:$I$1486,'4.個人職能盤點'!$A$2:$A$1486,A43,'4.個人職能盤點'!$E$2:$E$1486,"專業職能",'4.個人職能盤點'!$G$2:$G$1486,"&gt;0"),"-"))</f>
        <v/>
      </c>
      <c r="M43" s="120">
        <f>IF(H43="","",IF(H43&gt;=0.9,"優秀",IF(H43&gt;=0.7,"符合期待","需加強發展")))</f>
        <v/>
      </c>
    </row>
    <row r="44" ht="15.75" customHeight="1" s="64">
      <c r="A44" s="120">
        <f>IF('3.員工名單'!A44="","",'3.員工名單'!A44)</f>
        <v/>
      </c>
      <c r="B44" s="120">
        <f>IF(A44="","",'3.員工名單'!B44)</f>
        <v/>
      </c>
      <c r="C44" s="120">
        <f>IF(A44="","",'3.員工名單'!C44)</f>
        <v/>
      </c>
      <c r="D44" s="120">
        <f>IF(A44="","",'3.員工名單'!D44)</f>
        <v/>
      </c>
      <c r="E44" s="120">
        <f>IF(A44="","",COUNTIFS('4.個人職能盤點'!$A$2:$A$1486,A44,'4.個人職能盤點'!$K$2:$K$1486,"達標")+COUNTIFS('4.個人職能盤點'!$A$2:$A$1486,A44,'4.個人職能盤點'!$K$2:$K$1486,"超越")+COUNTIFS('4.個人職能盤點'!$A$2:$A$1486,A44,'4.個人職能盤點'!$K$2:$K$1486,"待發展"))</f>
        <v/>
      </c>
      <c r="F44" s="120">
        <f>IF(A44="","",COUNTIFS('4.個人職能盤點'!$A$2:$A$1486,A44,'4.個人職能盤點'!$K$2:$K$1486,"達標")+COUNTIFS('4.個人職能盤點'!$A$2:$A$1486,A44,'4.個人職能盤點'!$K$2:$K$1486,"超越"))</f>
        <v/>
      </c>
      <c r="G44" s="120">
        <f>IF(A44="","",COUNTIFS('4.個人職能盤點'!$A$2:$A$1486,A44,'4.個人職能盤點'!$K$2:$K$1486,"待發展"))</f>
        <v/>
      </c>
      <c r="H44" s="121">
        <f>IF(OR(A44="",E44=0),"",F44/E44)</f>
        <v/>
      </c>
      <c r="I44" s="122">
        <f>IF(OR(A44="",E44=0),"",IFERROR(AVERAGEIFS('4.個人職能盤點'!$J$2:$J$1486,'4.個人職能盤點'!$A$2:$A$1486,A44),""))</f>
        <v/>
      </c>
      <c r="J44" s="123">
        <f>IF(A44="","",IFERROR(AVERAGEIFS('4.個人職能盤點'!$I$2:$I$1486,'4.個人職能盤點'!$A$2:$A$1486,A44,'4.個人職能盤點'!$E$2:$E$1486,"核心職能",'4.個人職能盤點'!$G$2:$G$1486,"&gt;0"),"-"))</f>
        <v/>
      </c>
      <c r="K44" s="123">
        <f>IF(A44="","",IFERROR(AVERAGEIFS('4.個人職能盤點'!$I$2:$I$1486,'4.個人職能盤點'!$A$2:$A$1486,A44,'4.個人職能盤點'!$E$2:$E$1486,"管理職能",'4.個人職能盤點'!$G$2:$G$1486,"&gt;0"),"-"))</f>
        <v/>
      </c>
      <c r="L44" s="123">
        <f>IF(A44="","",IFERROR(AVERAGEIFS('4.個人職能盤點'!$I$2:$I$1486,'4.個人職能盤點'!$A$2:$A$1486,A44,'4.個人職能盤點'!$E$2:$E$1486,"專業職能",'4.個人職能盤點'!$G$2:$G$1486,"&gt;0"),"-"))</f>
        <v/>
      </c>
      <c r="M44" s="120">
        <f>IF(H44="","",IF(H44&gt;=0.9,"優秀",IF(H44&gt;=0.7,"符合期待","需加強發展")))</f>
        <v/>
      </c>
    </row>
    <row r="45" ht="15.75" customHeight="1" s="64">
      <c r="A45" s="120">
        <f>IF('3.員工名單'!A45="","",'3.員工名單'!A45)</f>
        <v/>
      </c>
      <c r="B45" s="120">
        <f>IF(A45="","",'3.員工名單'!B45)</f>
        <v/>
      </c>
      <c r="C45" s="120">
        <f>IF(A45="","",'3.員工名單'!C45)</f>
        <v/>
      </c>
      <c r="D45" s="120">
        <f>IF(A45="","",'3.員工名單'!D45)</f>
        <v/>
      </c>
      <c r="E45" s="120">
        <f>IF(A45="","",COUNTIFS('4.個人職能盤點'!$A$2:$A$1486,A45,'4.個人職能盤點'!$K$2:$K$1486,"達標")+COUNTIFS('4.個人職能盤點'!$A$2:$A$1486,A45,'4.個人職能盤點'!$K$2:$K$1486,"超越")+COUNTIFS('4.個人職能盤點'!$A$2:$A$1486,A45,'4.個人職能盤點'!$K$2:$K$1486,"待發展"))</f>
        <v/>
      </c>
      <c r="F45" s="120">
        <f>IF(A45="","",COUNTIFS('4.個人職能盤點'!$A$2:$A$1486,A45,'4.個人職能盤點'!$K$2:$K$1486,"達標")+COUNTIFS('4.個人職能盤點'!$A$2:$A$1486,A45,'4.個人職能盤點'!$K$2:$K$1486,"超越"))</f>
        <v/>
      </c>
      <c r="G45" s="120">
        <f>IF(A45="","",COUNTIFS('4.個人職能盤點'!$A$2:$A$1486,A45,'4.個人職能盤點'!$K$2:$K$1486,"待發展"))</f>
        <v/>
      </c>
      <c r="H45" s="121">
        <f>IF(OR(A45="",E45=0),"",F45/E45)</f>
        <v/>
      </c>
      <c r="I45" s="122">
        <f>IF(OR(A45="",E45=0),"",IFERROR(AVERAGEIFS('4.個人職能盤點'!$J$2:$J$1486,'4.個人職能盤點'!$A$2:$A$1486,A45),""))</f>
        <v/>
      </c>
      <c r="J45" s="123">
        <f>IF(A45="","",IFERROR(AVERAGEIFS('4.個人職能盤點'!$I$2:$I$1486,'4.個人職能盤點'!$A$2:$A$1486,A45,'4.個人職能盤點'!$E$2:$E$1486,"核心職能",'4.個人職能盤點'!$G$2:$G$1486,"&gt;0"),"-"))</f>
        <v/>
      </c>
      <c r="K45" s="123">
        <f>IF(A45="","",IFERROR(AVERAGEIFS('4.個人職能盤點'!$I$2:$I$1486,'4.個人職能盤點'!$A$2:$A$1486,A45,'4.個人職能盤點'!$E$2:$E$1486,"管理職能",'4.個人職能盤點'!$G$2:$G$1486,"&gt;0"),"-"))</f>
        <v/>
      </c>
      <c r="L45" s="123">
        <f>IF(A45="","",IFERROR(AVERAGEIFS('4.個人職能盤點'!$I$2:$I$1486,'4.個人職能盤點'!$A$2:$A$1486,A45,'4.個人職能盤點'!$E$2:$E$1486,"專業職能",'4.個人職能盤點'!$G$2:$G$1486,"&gt;0"),"-"))</f>
        <v/>
      </c>
      <c r="M45" s="120">
        <f>IF(H45="","",IF(H45&gt;=0.9,"優秀",IF(H45&gt;=0.7,"符合期待","需加強發展")))</f>
        <v/>
      </c>
    </row>
    <row r="46" ht="15.75" customHeight="1" s="64">
      <c r="A46" s="120">
        <f>IF('3.員工名單'!A46="","",'3.員工名單'!A46)</f>
        <v/>
      </c>
      <c r="B46" s="120">
        <f>IF(A46="","",'3.員工名單'!B46)</f>
        <v/>
      </c>
      <c r="C46" s="120">
        <f>IF(A46="","",'3.員工名單'!C46)</f>
        <v/>
      </c>
      <c r="D46" s="120">
        <f>IF(A46="","",'3.員工名單'!D46)</f>
        <v/>
      </c>
      <c r="E46" s="120">
        <f>IF(A46="","",COUNTIFS('4.個人職能盤點'!$A$2:$A$1486,A46,'4.個人職能盤點'!$K$2:$K$1486,"達標")+COUNTIFS('4.個人職能盤點'!$A$2:$A$1486,A46,'4.個人職能盤點'!$K$2:$K$1486,"超越")+COUNTIFS('4.個人職能盤點'!$A$2:$A$1486,A46,'4.個人職能盤點'!$K$2:$K$1486,"待發展"))</f>
        <v/>
      </c>
      <c r="F46" s="120">
        <f>IF(A46="","",COUNTIFS('4.個人職能盤點'!$A$2:$A$1486,A46,'4.個人職能盤點'!$K$2:$K$1486,"達標")+COUNTIFS('4.個人職能盤點'!$A$2:$A$1486,A46,'4.個人職能盤點'!$K$2:$K$1486,"超越"))</f>
        <v/>
      </c>
      <c r="G46" s="120">
        <f>IF(A46="","",COUNTIFS('4.個人職能盤點'!$A$2:$A$1486,A46,'4.個人職能盤點'!$K$2:$K$1486,"待發展"))</f>
        <v/>
      </c>
      <c r="H46" s="121">
        <f>IF(OR(A46="",E46=0),"",F46/E46)</f>
        <v/>
      </c>
      <c r="I46" s="122">
        <f>IF(OR(A46="",E46=0),"",IFERROR(AVERAGEIFS('4.個人職能盤點'!$J$2:$J$1486,'4.個人職能盤點'!$A$2:$A$1486,A46),""))</f>
        <v/>
      </c>
      <c r="J46" s="123">
        <f>IF(A46="","",IFERROR(AVERAGEIFS('4.個人職能盤點'!$I$2:$I$1486,'4.個人職能盤點'!$A$2:$A$1486,A46,'4.個人職能盤點'!$E$2:$E$1486,"核心職能",'4.個人職能盤點'!$G$2:$G$1486,"&gt;0"),"-"))</f>
        <v/>
      </c>
      <c r="K46" s="123">
        <f>IF(A46="","",IFERROR(AVERAGEIFS('4.個人職能盤點'!$I$2:$I$1486,'4.個人職能盤點'!$A$2:$A$1486,A46,'4.個人職能盤點'!$E$2:$E$1486,"管理職能",'4.個人職能盤點'!$G$2:$G$1486,"&gt;0"),"-"))</f>
        <v/>
      </c>
      <c r="L46" s="123">
        <f>IF(A46="","",IFERROR(AVERAGEIFS('4.個人職能盤點'!$I$2:$I$1486,'4.個人職能盤點'!$A$2:$A$1486,A46,'4.個人職能盤點'!$E$2:$E$1486,"專業職能",'4.個人職能盤點'!$G$2:$G$1486,"&gt;0"),"-"))</f>
        <v/>
      </c>
      <c r="M46" s="120">
        <f>IF(H46="","",IF(H46&gt;=0.9,"優秀",IF(H46&gt;=0.7,"符合期待","需加強發展")))</f>
        <v/>
      </c>
    </row>
    <row r="47" ht="15.75" customHeight="1" s="64">
      <c r="A47" s="120">
        <f>IF('3.員工名單'!A47="","",'3.員工名單'!A47)</f>
        <v/>
      </c>
      <c r="B47" s="120">
        <f>IF(A47="","",'3.員工名單'!B47)</f>
        <v/>
      </c>
      <c r="C47" s="120">
        <f>IF(A47="","",'3.員工名單'!C47)</f>
        <v/>
      </c>
      <c r="D47" s="120">
        <f>IF(A47="","",'3.員工名單'!D47)</f>
        <v/>
      </c>
      <c r="E47" s="120">
        <f>IF(A47="","",COUNTIFS('4.個人職能盤點'!$A$2:$A$1486,A47,'4.個人職能盤點'!$K$2:$K$1486,"達標")+COUNTIFS('4.個人職能盤點'!$A$2:$A$1486,A47,'4.個人職能盤點'!$K$2:$K$1486,"超越")+COUNTIFS('4.個人職能盤點'!$A$2:$A$1486,A47,'4.個人職能盤點'!$K$2:$K$1486,"待發展"))</f>
        <v/>
      </c>
      <c r="F47" s="120">
        <f>IF(A47="","",COUNTIFS('4.個人職能盤點'!$A$2:$A$1486,A47,'4.個人職能盤點'!$K$2:$K$1486,"達標")+COUNTIFS('4.個人職能盤點'!$A$2:$A$1486,A47,'4.個人職能盤點'!$K$2:$K$1486,"超越"))</f>
        <v/>
      </c>
      <c r="G47" s="120">
        <f>IF(A47="","",COUNTIFS('4.個人職能盤點'!$A$2:$A$1486,A47,'4.個人職能盤點'!$K$2:$K$1486,"待發展"))</f>
        <v/>
      </c>
      <c r="H47" s="121">
        <f>IF(OR(A47="",E47=0),"",F47/E47)</f>
        <v/>
      </c>
      <c r="I47" s="122">
        <f>IF(OR(A47="",E47=0),"",IFERROR(AVERAGEIFS('4.個人職能盤點'!$J$2:$J$1486,'4.個人職能盤點'!$A$2:$A$1486,A47),""))</f>
        <v/>
      </c>
      <c r="J47" s="123">
        <f>IF(A47="","",IFERROR(AVERAGEIFS('4.個人職能盤點'!$I$2:$I$1486,'4.個人職能盤點'!$A$2:$A$1486,A47,'4.個人職能盤點'!$E$2:$E$1486,"核心職能",'4.個人職能盤點'!$G$2:$G$1486,"&gt;0"),"-"))</f>
        <v/>
      </c>
      <c r="K47" s="123">
        <f>IF(A47="","",IFERROR(AVERAGEIFS('4.個人職能盤點'!$I$2:$I$1486,'4.個人職能盤點'!$A$2:$A$1486,A47,'4.個人職能盤點'!$E$2:$E$1486,"管理職能",'4.個人職能盤點'!$G$2:$G$1486,"&gt;0"),"-"))</f>
        <v/>
      </c>
      <c r="L47" s="123">
        <f>IF(A47="","",IFERROR(AVERAGEIFS('4.個人職能盤點'!$I$2:$I$1486,'4.個人職能盤點'!$A$2:$A$1486,A47,'4.個人職能盤點'!$E$2:$E$1486,"專業職能",'4.個人職能盤點'!$G$2:$G$1486,"&gt;0"),"-"))</f>
        <v/>
      </c>
      <c r="M47" s="120">
        <f>IF(H47="","",IF(H47&gt;=0.9,"優秀",IF(H47&gt;=0.7,"符合期待","需加強發展")))</f>
        <v/>
      </c>
    </row>
    <row r="48" ht="15.75" customHeight="1" s="64">
      <c r="A48" s="120">
        <f>IF('3.員工名單'!A48="","",'3.員工名單'!A48)</f>
        <v/>
      </c>
      <c r="B48" s="120">
        <f>IF(A48="","",'3.員工名單'!B48)</f>
        <v/>
      </c>
      <c r="C48" s="120">
        <f>IF(A48="","",'3.員工名單'!C48)</f>
        <v/>
      </c>
      <c r="D48" s="120">
        <f>IF(A48="","",'3.員工名單'!D48)</f>
        <v/>
      </c>
      <c r="E48" s="120">
        <f>IF(A48="","",COUNTIFS('4.個人職能盤點'!$A$2:$A$1486,A48,'4.個人職能盤點'!$K$2:$K$1486,"達標")+COUNTIFS('4.個人職能盤點'!$A$2:$A$1486,A48,'4.個人職能盤點'!$K$2:$K$1486,"超越")+COUNTIFS('4.個人職能盤點'!$A$2:$A$1486,A48,'4.個人職能盤點'!$K$2:$K$1486,"待發展"))</f>
        <v/>
      </c>
      <c r="F48" s="120">
        <f>IF(A48="","",COUNTIFS('4.個人職能盤點'!$A$2:$A$1486,A48,'4.個人職能盤點'!$K$2:$K$1486,"達標")+COUNTIFS('4.個人職能盤點'!$A$2:$A$1486,A48,'4.個人職能盤點'!$K$2:$K$1486,"超越"))</f>
        <v/>
      </c>
      <c r="G48" s="120">
        <f>IF(A48="","",COUNTIFS('4.個人職能盤點'!$A$2:$A$1486,A48,'4.個人職能盤點'!$K$2:$K$1486,"待發展"))</f>
        <v/>
      </c>
      <c r="H48" s="121">
        <f>IF(OR(A48="",E48=0),"",F48/E48)</f>
        <v/>
      </c>
      <c r="I48" s="122">
        <f>IF(OR(A48="",E48=0),"",IFERROR(AVERAGEIFS('4.個人職能盤點'!$J$2:$J$1486,'4.個人職能盤點'!$A$2:$A$1486,A48),""))</f>
        <v/>
      </c>
      <c r="J48" s="123">
        <f>IF(A48="","",IFERROR(AVERAGEIFS('4.個人職能盤點'!$I$2:$I$1486,'4.個人職能盤點'!$A$2:$A$1486,A48,'4.個人職能盤點'!$E$2:$E$1486,"核心職能",'4.個人職能盤點'!$G$2:$G$1486,"&gt;0"),"-"))</f>
        <v/>
      </c>
      <c r="K48" s="123">
        <f>IF(A48="","",IFERROR(AVERAGEIFS('4.個人職能盤點'!$I$2:$I$1486,'4.個人職能盤點'!$A$2:$A$1486,A48,'4.個人職能盤點'!$E$2:$E$1486,"管理職能",'4.個人職能盤點'!$G$2:$G$1486,"&gt;0"),"-"))</f>
        <v/>
      </c>
      <c r="L48" s="123">
        <f>IF(A48="","",IFERROR(AVERAGEIFS('4.個人職能盤點'!$I$2:$I$1486,'4.個人職能盤點'!$A$2:$A$1486,A48,'4.個人職能盤點'!$E$2:$E$1486,"專業職能",'4.個人職能盤點'!$G$2:$G$1486,"&gt;0"),"-"))</f>
        <v/>
      </c>
      <c r="M48" s="120">
        <f>IF(H48="","",IF(H48&gt;=0.9,"優秀",IF(H48&gt;=0.7,"符合期待","需加強發展")))</f>
        <v/>
      </c>
    </row>
    <row r="49" ht="15.75" customHeight="1" s="64">
      <c r="A49" s="120">
        <f>IF('3.員工名單'!A49="","",'3.員工名單'!A49)</f>
        <v/>
      </c>
      <c r="B49" s="120">
        <f>IF(A49="","",'3.員工名單'!B49)</f>
        <v/>
      </c>
      <c r="C49" s="120">
        <f>IF(A49="","",'3.員工名單'!C49)</f>
        <v/>
      </c>
      <c r="D49" s="120">
        <f>IF(A49="","",'3.員工名單'!D49)</f>
        <v/>
      </c>
      <c r="E49" s="120">
        <f>IF(A49="","",COUNTIFS('4.個人職能盤點'!$A$2:$A$1486,A49,'4.個人職能盤點'!$K$2:$K$1486,"達標")+COUNTIFS('4.個人職能盤點'!$A$2:$A$1486,A49,'4.個人職能盤點'!$K$2:$K$1486,"超越")+COUNTIFS('4.個人職能盤點'!$A$2:$A$1486,A49,'4.個人職能盤點'!$K$2:$K$1486,"待發展"))</f>
        <v/>
      </c>
      <c r="F49" s="120">
        <f>IF(A49="","",COUNTIFS('4.個人職能盤點'!$A$2:$A$1486,A49,'4.個人職能盤點'!$K$2:$K$1486,"達標")+COUNTIFS('4.個人職能盤點'!$A$2:$A$1486,A49,'4.個人職能盤點'!$K$2:$K$1486,"超越"))</f>
        <v/>
      </c>
      <c r="G49" s="120">
        <f>IF(A49="","",COUNTIFS('4.個人職能盤點'!$A$2:$A$1486,A49,'4.個人職能盤點'!$K$2:$K$1486,"待發展"))</f>
        <v/>
      </c>
      <c r="H49" s="121">
        <f>IF(OR(A49="",E49=0),"",F49/E49)</f>
        <v/>
      </c>
      <c r="I49" s="122">
        <f>IF(OR(A49="",E49=0),"",IFERROR(AVERAGEIFS('4.個人職能盤點'!$J$2:$J$1486,'4.個人職能盤點'!$A$2:$A$1486,A49),""))</f>
        <v/>
      </c>
      <c r="J49" s="123">
        <f>IF(A49="","",IFERROR(AVERAGEIFS('4.個人職能盤點'!$I$2:$I$1486,'4.個人職能盤點'!$A$2:$A$1486,A49,'4.個人職能盤點'!$E$2:$E$1486,"核心職能",'4.個人職能盤點'!$G$2:$G$1486,"&gt;0"),"-"))</f>
        <v/>
      </c>
      <c r="K49" s="123">
        <f>IF(A49="","",IFERROR(AVERAGEIFS('4.個人職能盤點'!$I$2:$I$1486,'4.個人職能盤點'!$A$2:$A$1486,A49,'4.個人職能盤點'!$E$2:$E$1486,"管理職能",'4.個人職能盤點'!$G$2:$G$1486,"&gt;0"),"-"))</f>
        <v/>
      </c>
      <c r="L49" s="123">
        <f>IF(A49="","",IFERROR(AVERAGEIFS('4.個人職能盤點'!$I$2:$I$1486,'4.個人職能盤點'!$A$2:$A$1486,A49,'4.個人職能盤點'!$E$2:$E$1486,"專業職能",'4.個人職能盤點'!$G$2:$G$1486,"&gt;0"),"-"))</f>
        <v/>
      </c>
      <c r="M49" s="120">
        <f>IF(H49="","",IF(H49&gt;=0.9,"優秀",IF(H49&gt;=0.7,"符合期待","需加強發展")))</f>
        <v/>
      </c>
    </row>
    <row r="50" ht="15.75" customHeight="1" s="64">
      <c r="A50" s="120">
        <f>IF('3.員工名單'!A50="","",'3.員工名單'!A50)</f>
        <v/>
      </c>
      <c r="B50" s="120">
        <f>IF(A50="","",'3.員工名單'!B50)</f>
        <v/>
      </c>
      <c r="C50" s="120">
        <f>IF(A50="","",'3.員工名單'!C50)</f>
        <v/>
      </c>
      <c r="D50" s="120">
        <f>IF(A50="","",'3.員工名單'!D50)</f>
        <v/>
      </c>
      <c r="E50" s="120">
        <f>IF(A50="","",COUNTIFS('4.個人職能盤點'!$A$2:$A$1486,A50,'4.個人職能盤點'!$K$2:$K$1486,"達標")+COUNTIFS('4.個人職能盤點'!$A$2:$A$1486,A50,'4.個人職能盤點'!$K$2:$K$1486,"超越")+COUNTIFS('4.個人職能盤點'!$A$2:$A$1486,A50,'4.個人職能盤點'!$K$2:$K$1486,"待發展"))</f>
        <v/>
      </c>
      <c r="F50" s="120">
        <f>IF(A50="","",COUNTIFS('4.個人職能盤點'!$A$2:$A$1486,A50,'4.個人職能盤點'!$K$2:$K$1486,"達標")+COUNTIFS('4.個人職能盤點'!$A$2:$A$1486,A50,'4.個人職能盤點'!$K$2:$K$1486,"超越"))</f>
        <v/>
      </c>
      <c r="G50" s="120">
        <f>IF(A50="","",COUNTIFS('4.個人職能盤點'!$A$2:$A$1486,A50,'4.個人職能盤點'!$K$2:$K$1486,"待發展"))</f>
        <v/>
      </c>
      <c r="H50" s="121">
        <f>IF(OR(A50="",E50=0),"",F50/E50)</f>
        <v/>
      </c>
      <c r="I50" s="122">
        <f>IF(OR(A50="",E50=0),"",IFERROR(AVERAGEIFS('4.個人職能盤點'!$J$2:$J$1486,'4.個人職能盤點'!$A$2:$A$1486,A50),""))</f>
        <v/>
      </c>
      <c r="J50" s="123">
        <f>IF(A50="","",IFERROR(AVERAGEIFS('4.個人職能盤點'!$I$2:$I$1486,'4.個人職能盤點'!$A$2:$A$1486,A50,'4.個人職能盤點'!$E$2:$E$1486,"核心職能",'4.個人職能盤點'!$G$2:$G$1486,"&gt;0"),"-"))</f>
        <v/>
      </c>
      <c r="K50" s="123">
        <f>IF(A50="","",IFERROR(AVERAGEIFS('4.個人職能盤點'!$I$2:$I$1486,'4.個人職能盤點'!$A$2:$A$1486,A50,'4.個人職能盤點'!$E$2:$E$1486,"管理職能",'4.個人職能盤點'!$G$2:$G$1486,"&gt;0"),"-"))</f>
        <v/>
      </c>
      <c r="L50" s="123">
        <f>IF(A50="","",IFERROR(AVERAGEIFS('4.個人職能盤點'!$I$2:$I$1486,'4.個人職能盤點'!$A$2:$A$1486,A50,'4.個人職能盤點'!$E$2:$E$1486,"專業職能",'4.個人職能盤點'!$G$2:$G$1486,"&gt;0"),"-"))</f>
        <v/>
      </c>
      <c r="M50" s="120">
        <f>IF(H50="","",IF(H50&gt;=0.9,"優秀",IF(H50&gt;=0.7,"符合期待","需加強發展")))</f>
        <v/>
      </c>
    </row>
    <row r="51" ht="15.75" customHeight="1" s="64">
      <c r="A51" s="120">
        <f>IF('3.員工名單'!A51="","",'3.員工名單'!A51)</f>
        <v/>
      </c>
      <c r="B51" s="120">
        <f>IF(A51="","",'3.員工名單'!B51)</f>
        <v/>
      </c>
      <c r="C51" s="120">
        <f>IF(A51="","",'3.員工名單'!C51)</f>
        <v/>
      </c>
      <c r="D51" s="120">
        <f>IF(A51="","",'3.員工名單'!D51)</f>
        <v/>
      </c>
      <c r="E51" s="120">
        <f>IF(A51="","",COUNTIFS('4.個人職能盤點'!$A$2:$A$1486,A51,'4.個人職能盤點'!$K$2:$K$1486,"達標")+COUNTIFS('4.個人職能盤點'!$A$2:$A$1486,A51,'4.個人職能盤點'!$K$2:$K$1486,"超越")+COUNTIFS('4.個人職能盤點'!$A$2:$A$1486,A51,'4.個人職能盤點'!$K$2:$K$1486,"待發展"))</f>
        <v/>
      </c>
      <c r="F51" s="120">
        <f>IF(A51="","",COUNTIFS('4.個人職能盤點'!$A$2:$A$1486,A51,'4.個人職能盤點'!$K$2:$K$1486,"達標")+COUNTIFS('4.個人職能盤點'!$A$2:$A$1486,A51,'4.個人職能盤點'!$K$2:$K$1486,"超越"))</f>
        <v/>
      </c>
      <c r="G51" s="120">
        <f>IF(A51="","",COUNTIFS('4.個人職能盤點'!$A$2:$A$1486,A51,'4.個人職能盤點'!$K$2:$K$1486,"待發展"))</f>
        <v/>
      </c>
      <c r="H51" s="121">
        <f>IF(OR(A51="",E51=0),"",F51/E51)</f>
        <v/>
      </c>
      <c r="I51" s="122">
        <f>IF(OR(A51="",E51=0),"",IFERROR(AVERAGEIFS('4.個人職能盤點'!$J$2:$J$1486,'4.個人職能盤點'!$A$2:$A$1486,A51),""))</f>
        <v/>
      </c>
      <c r="J51" s="123">
        <f>IF(A51="","",IFERROR(AVERAGEIFS('4.個人職能盤點'!$I$2:$I$1486,'4.個人職能盤點'!$A$2:$A$1486,A51,'4.個人職能盤點'!$E$2:$E$1486,"核心職能",'4.個人職能盤點'!$G$2:$G$1486,"&gt;0"),"-"))</f>
        <v/>
      </c>
      <c r="K51" s="123">
        <f>IF(A51="","",IFERROR(AVERAGEIFS('4.個人職能盤點'!$I$2:$I$1486,'4.個人職能盤點'!$A$2:$A$1486,A51,'4.個人職能盤點'!$E$2:$E$1486,"管理職能",'4.個人職能盤點'!$G$2:$G$1486,"&gt;0"),"-"))</f>
        <v/>
      </c>
      <c r="L51" s="123">
        <f>IF(A51="","",IFERROR(AVERAGEIFS('4.個人職能盤點'!$I$2:$I$1486,'4.個人職能盤點'!$A$2:$A$1486,A51,'4.個人職能盤點'!$E$2:$E$1486,"專業職能",'4.個人職能盤點'!$G$2:$G$1486,"&gt;0"),"-"))</f>
        <v/>
      </c>
      <c r="M51" s="120">
        <f>IF(H51="","",IF(H51&gt;=0.9,"優秀",IF(H51&gt;=0.7,"符合期待","需加強發展")))</f>
        <v/>
      </c>
    </row>
    <row r="52" ht="15.75" customHeight="1" s="64">
      <c r="A52" s="120">
        <f>IF('3.員工名單'!A52="","",'3.員工名單'!A52)</f>
        <v/>
      </c>
      <c r="B52" s="120">
        <f>IF(A52="","",'3.員工名單'!B52)</f>
        <v/>
      </c>
      <c r="C52" s="120">
        <f>IF(A52="","",'3.員工名單'!C52)</f>
        <v/>
      </c>
      <c r="D52" s="120">
        <f>IF(A52="","",'3.員工名單'!D52)</f>
        <v/>
      </c>
      <c r="E52" s="120">
        <f>IF(A52="","",COUNTIFS('4.個人職能盤點'!$A$2:$A$1486,A52,'4.個人職能盤點'!$K$2:$K$1486,"達標")+COUNTIFS('4.個人職能盤點'!$A$2:$A$1486,A52,'4.個人職能盤點'!$K$2:$K$1486,"超越")+COUNTIFS('4.個人職能盤點'!$A$2:$A$1486,A52,'4.個人職能盤點'!$K$2:$K$1486,"待發展"))</f>
        <v/>
      </c>
      <c r="F52" s="120">
        <f>IF(A52="","",COUNTIFS('4.個人職能盤點'!$A$2:$A$1486,A52,'4.個人職能盤點'!$K$2:$K$1486,"達標")+COUNTIFS('4.個人職能盤點'!$A$2:$A$1486,A52,'4.個人職能盤點'!$K$2:$K$1486,"超越"))</f>
        <v/>
      </c>
      <c r="G52" s="120">
        <f>IF(A52="","",COUNTIFS('4.個人職能盤點'!$A$2:$A$1486,A52,'4.個人職能盤點'!$K$2:$K$1486,"待發展"))</f>
        <v/>
      </c>
      <c r="H52" s="121">
        <f>IF(OR(A52="",E52=0),"",F52/E52)</f>
        <v/>
      </c>
      <c r="I52" s="122">
        <f>IF(OR(A52="",E52=0),"",IFERROR(AVERAGEIFS('4.個人職能盤點'!$J$2:$J$1486,'4.個人職能盤點'!$A$2:$A$1486,A52),""))</f>
        <v/>
      </c>
      <c r="J52" s="123">
        <f>IF(A52="","",IFERROR(AVERAGEIFS('4.個人職能盤點'!$I$2:$I$1486,'4.個人職能盤點'!$A$2:$A$1486,A52,'4.個人職能盤點'!$E$2:$E$1486,"核心職能",'4.個人職能盤點'!$G$2:$G$1486,"&gt;0"),"-"))</f>
        <v/>
      </c>
      <c r="K52" s="123">
        <f>IF(A52="","",IFERROR(AVERAGEIFS('4.個人職能盤點'!$I$2:$I$1486,'4.個人職能盤點'!$A$2:$A$1486,A52,'4.個人職能盤點'!$E$2:$E$1486,"管理職能",'4.個人職能盤點'!$G$2:$G$1486,"&gt;0"),"-"))</f>
        <v/>
      </c>
      <c r="L52" s="123">
        <f>IF(A52="","",IFERROR(AVERAGEIFS('4.個人職能盤點'!$I$2:$I$1486,'4.個人職能盤點'!$A$2:$A$1486,A52,'4.個人職能盤點'!$E$2:$E$1486,"專業職能",'4.個人職能盤點'!$G$2:$G$1486,"&gt;0"),"-"))</f>
        <v/>
      </c>
      <c r="M52" s="120">
        <f>IF(H52="","",IF(H52&gt;=0.9,"優秀",IF(H52&gt;=0.7,"符合期待","需加強發展")))</f>
        <v/>
      </c>
    </row>
    <row r="53" ht="15.75" customHeight="1" s="64">
      <c r="A53" s="120">
        <f>IF('3.員工名單'!A53="","",'3.員工名單'!A53)</f>
        <v/>
      </c>
      <c r="B53" s="120">
        <f>IF(A53="","",'3.員工名單'!B53)</f>
        <v/>
      </c>
      <c r="C53" s="120">
        <f>IF(A53="","",'3.員工名單'!C53)</f>
        <v/>
      </c>
      <c r="D53" s="120">
        <f>IF(A53="","",'3.員工名單'!D53)</f>
        <v/>
      </c>
      <c r="E53" s="120">
        <f>IF(A53="","",COUNTIFS('4.個人職能盤點'!$A$2:$A$1486,A53,'4.個人職能盤點'!$K$2:$K$1486,"達標")+COUNTIFS('4.個人職能盤點'!$A$2:$A$1486,A53,'4.個人職能盤點'!$K$2:$K$1486,"超越")+COUNTIFS('4.個人職能盤點'!$A$2:$A$1486,A53,'4.個人職能盤點'!$K$2:$K$1486,"待發展"))</f>
        <v/>
      </c>
      <c r="F53" s="120">
        <f>IF(A53="","",COUNTIFS('4.個人職能盤點'!$A$2:$A$1486,A53,'4.個人職能盤點'!$K$2:$K$1486,"達標")+COUNTIFS('4.個人職能盤點'!$A$2:$A$1486,A53,'4.個人職能盤點'!$K$2:$K$1486,"超越"))</f>
        <v/>
      </c>
      <c r="G53" s="120">
        <f>IF(A53="","",COUNTIFS('4.個人職能盤點'!$A$2:$A$1486,A53,'4.個人職能盤點'!$K$2:$K$1486,"待發展"))</f>
        <v/>
      </c>
      <c r="H53" s="121">
        <f>IF(OR(A53="",E53=0),"",F53/E53)</f>
        <v/>
      </c>
      <c r="I53" s="122">
        <f>IF(OR(A53="",E53=0),"",IFERROR(AVERAGEIFS('4.個人職能盤點'!$J$2:$J$1486,'4.個人職能盤點'!$A$2:$A$1486,A53),""))</f>
        <v/>
      </c>
      <c r="J53" s="123">
        <f>IF(A53="","",IFERROR(AVERAGEIFS('4.個人職能盤點'!$I$2:$I$1486,'4.個人職能盤點'!$A$2:$A$1486,A53,'4.個人職能盤點'!$E$2:$E$1486,"核心職能",'4.個人職能盤點'!$G$2:$G$1486,"&gt;0"),"-"))</f>
        <v/>
      </c>
      <c r="K53" s="123">
        <f>IF(A53="","",IFERROR(AVERAGEIFS('4.個人職能盤點'!$I$2:$I$1486,'4.個人職能盤點'!$A$2:$A$1486,A53,'4.個人職能盤點'!$E$2:$E$1486,"管理職能",'4.個人職能盤點'!$G$2:$G$1486,"&gt;0"),"-"))</f>
        <v/>
      </c>
      <c r="L53" s="123">
        <f>IF(A53="","",IFERROR(AVERAGEIFS('4.個人職能盤點'!$I$2:$I$1486,'4.個人職能盤點'!$A$2:$A$1486,A53,'4.個人職能盤點'!$E$2:$E$1486,"專業職能",'4.個人職能盤點'!$G$2:$G$1486,"&gt;0"),"-"))</f>
        <v/>
      </c>
      <c r="M53" s="120">
        <f>IF(H53="","",IF(H53&gt;=0.9,"優秀",IF(H53&gt;=0.7,"符合期待","需加強發展")))</f>
        <v/>
      </c>
    </row>
    <row r="54" ht="15.75" customHeight="1" s="64">
      <c r="A54" s="120">
        <f>IF('3.員工名單'!A54="","",'3.員工名單'!A54)</f>
        <v/>
      </c>
      <c r="B54" s="120">
        <f>IF(A54="","",'3.員工名單'!B54)</f>
        <v/>
      </c>
      <c r="C54" s="120">
        <f>IF(A54="","",'3.員工名單'!C54)</f>
        <v/>
      </c>
      <c r="D54" s="120">
        <f>IF(A54="","",'3.員工名單'!D54)</f>
        <v/>
      </c>
      <c r="E54" s="120">
        <f>IF(A54="","",COUNTIFS('4.個人職能盤點'!$A$2:$A$1486,A54,'4.個人職能盤點'!$K$2:$K$1486,"達標")+COUNTIFS('4.個人職能盤點'!$A$2:$A$1486,A54,'4.個人職能盤點'!$K$2:$K$1486,"超越")+COUNTIFS('4.個人職能盤點'!$A$2:$A$1486,A54,'4.個人職能盤點'!$K$2:$K$1486,"待發展"))</f>
        <v/>
      </c>
      <c r="F54" s="120">
        <f>IF(A54="","",COUNTIFS('4.個人職能盤點'!$A$2:$A$1486,A54,'4.個人職能盤點'!$K$2:$K$1486,"達標")+COUNTIFS('4.個人職能盤點'!$A$2:$A$1486,A54,'4.個人職能盤點'!$K$2:$K$1486,"超越"))</f>
        <v/>
      </c>
      <c r="G54" s="120">
        <f>IF(A54="","",COUNTIFS('4.個人職能盤點'!$A$2:$A$1486,A54,'4.個人職能盤點'!$K$2:$K$1486,"待發展"))</f>
        <v/>
      </c>
      <c r="H54" s="121">
        <f>IF(OR(A54="",E54=0),"",F54/E54)</f>
        <v/>
      </c>
      <c r="I54" s="122">
        <f>IF(OR(A54="",E54=0),"",IFERROR(AVERAGEIFS('4.個人職能盤點'!$J$2:$J$1486,'4.個人職能盤點'!$A$2:$A$1486,A54),""))</f>
        <v/>
      </c>
      <c r="J54" s="123">
        <f>IF(A54="","",IFERROR(AVERAGEIFS('4.個人職能盤點'!$I$2:$I$1486,'4.個人職能盤點'!$A$2:$A$1486,A54,'4.個人職能盤點'!$E$2:$E$1486,"核心職能",'4.個人職能盤點'!$G$2:$G$1486,"&gt;0"),"-"))</f>
        <v/>
      </c>
      <c r="K54" s="123">
        <f>IF(A54="","",IFERROR(AVERAGEIFS('4.個人職能盤點'!$I$2:$I$1486,'4.個人職能盤點'!$A$2:$A$1486,A54,'4.個人職能盤點'!$E$2:$E$1486,"管理職能",'4.個人職能盤點'!$G$2:$G$1486,"&gt;0"),"-"))</f>
        <v/>
      </c>
      <c r="L54" s="123">
        <f>IF(A54="","",IFERROR(AVERAGEIFS('4.個人職能盤點'!$I$2:$I$1486,'4.個人職能盤點'!$A$2:$A$1486,A54,'4.個人職能盤點'!$E$2:$E$1486,"專業職能",'4.個人職能盤點'!$G$2:$G$1486,"&gt;0"),"-"))</f>
        <v/>
      </c>
      <c r="M54" s="120">
        <f>IF(H54="","",IF(H54&gt;=0.9,"優秀",IF(H54&gt;=0.7,"符合期待","需加強發展")))</f>
        <v/>
      </c>
    </row>
    <row r="55" ht="15.75" customHeight="1" s="64">
      <c r="A55" s="120">
        <f>IF('3.員工名單'!A55="","",'3.員工名單'!A55)</f>
        <v/>
      </c>
      <c r="B55" s="120">
        <f>IF(A55="","",'3.員工名單'!B55)</f>
        <v/>
      </c>
      <c r="C55" s="120">
        <f>IF(A55="","",'3.員工名單'!C55)</f>
        <v/>
      </c>
      <c r="D55" s="120">
        <f>IF(A55="","",'3.員工名單'!D55)</f>
        <v/>
      </c>
      <c r="E55" s="120">
        <f>IF(A55="","",COUNTIFS('4.個人職能盤點'!$A$2:$A$1486,A55,'4.個人職能盤點'!$K$2:$K$1486,"達標")+COUNTIFS('4.個人職能盤點'!$A$2:$A$1486,A55,'4.個人職能盤點'!$K$2:$K$1486,"超越")+COUNTIFS('4.個人職能盤點'!$A$2:$A$1486,A55,'4.個人職能盤點'!$K$2:$K$1486,"待發展"))</f>
        <v/>
      </c>
      <c r="F55" s="120">
        <f>IF(A55="","",COUNTIFS('4.個人職能盤點'!$A$2:$A$1486,A55,'4.個人職能盤點'!$K$2:$K$1486,"達標")+COUNTIFS('4.個人職能盤點'!$A$2:$A$1486,A55,'4.個人職能盤點'!$K$2:$K$1486,"超越"))</f>
        <v/>
      </c>
      <c r="G55" s="120">
        <f>IF(A55="","",COUNTIFS('4.個人職能盤點'!$A$2:$A$1486,A55,'4.個人職能盤點'!$K$2:$K$1486,"待發展"))</f>
        <v/>
      </c>
      <c r="H55" s="121">
        <f>IF(OR(A55="",E55=0),"",F55/E55)</f>
        <v/>
      </c>
      <c r="I55" s="122">
        <f>IF(OR(A55="",E55=0),"",IFERROR(AVERAGEIFS('4.個人職能盤點'!$J$2:$J$1486,'4.個人職能盤點'!$A$2:$A$1486,A55),""))</f>
        <v/>
      </c>
      <c r="J55" s="123">
        <f>IF(A55="","",IFERROR(AVERAGEIFS('4.個人職能盤點'!$I$2:$I$1486,'4.個人職能盤點'!$A$2:$A$1486,A55,'4.個人職能盤點'!$E$2:$E$1486,"核心職能",'4.個人職能盤點'!$G$2:$G$1486,"&gt;0"),"-"))</f>
        <v/>
      </c>
      <c r="K55" s="123">
        <f>IF(A55="","",IFERROR(AVERAGEIFS('4.個人職能盤點'!$I$2:$I$1486,'4.個人職能盤點'!$A$2:$A$1486,A55,'4.個人職能盤點'!$E$2:$E$1486,"管理職能",'4.個人職能盤點'!$G$2:$G$1486,"&gt;0"),"-"))</f>
        <v/>
      </c>
      <c r="L55" s="123">
        <f>IF(A55="","",IFERROR(AVERAGEIFS('4.個人職能盤點'!$I$2:$I$1486,'4.個人職能盤點'!$A$2:$A$1486,A55,'4.個人職能盤點'!$E$2:$E$1486,"專業職能",'4.個人職能盤點'!$G$2:$G$1486,"&gt;0"),"-"))</f>
        <v/>
      </c>
      <c r="M55" s="120">
        <f>IF(H55="","",IF(H55&gt;=0.9,"優秀",IF(H55&gt;=0.7,"符合期待","需加強發展")))</f>
        <v/>
      </c>
    </row>
    <row r="56" ht="15.75" customHeight="1" s="64">
      <c r="A56" s="120">
        <f>IF('3.員工名單'!A56="","",'3.員工名單'!A56)</f>
        <v/>
      </c>
      <c r="B56" s="120">
        <f>IF(A56="","",'3.員工名單'!B56)</f>
        <v/>
      </c>
      <c r="C56" s="120">
        <f>IF(A56="","",'3.員工名單'!C56)</f>
        <v/>
      </c>
      <c r="D56" s="120">
        <f>IF(A56="","",'3.員工名單'!D56)</f>
        <v/>
      </c>
      <c r="E56" s="120">
        <f>IF(A56="","",COUNTIFS('4.個人職能盤點'!$A$2:$A$1486,A56,'4.個人職能盤點'!$K$2:$K$1486,"達標")+COUNTIFS('4.個人職能盤點'!$A$2:$A$1486,A56,'4.個人職能盤點'!$K$2:$K$1486,"超越")+COUNTIFS('4.個人職能盤點'!$A$2:$A$1486,A56,'4.個人職能盤點'!$K$2:$K$1486,"待發展"))</f>
        <v/>
      </c>
      <c r="F56" s="120">
        <f>IF(A56="","",COUNTIFS('4.個人職能盤點'!$A$2:$A$1486,A56,'4.個人職能盤點'!$K$2:$K$1486,"達標")+COUNTIFS('4.個人職能盤點'!$A$2:$A$1486,A56,'4.個人職能盤點'!$K$2:$K$1486,"超越"))</f>
        <v/>
      </c>
      <c r="G56" s="120">
        <f>IF(A56="","",COUNTIFS('4.個人職能盤點'!$A$2:$A$1486,A56,'4.個人職能盤點'!$K$2:$K$1486,"待發展"))</f>
        <v/>
      </c>
      <c r="H56" s="121">
        <f>IF(OR(A56="",E56=0),"",F56/E56)</f>
        <v/>
      </c>
      <c r="I56" s="122">
        <f>IF(OR(A56="",E56=0),"",IFERROR(AVERAGEIFS('4.個人職能盤點'!$J$2:$J$1486,'4.個人職能盤點'!$A$2:$A$1486,A56),""))</f>
        <v/>
      </c>
      <c r="J56" s="123">
        <f>IF(A56="","",IFERROR(AVERAGEIFS('4.個人職能盤點'!$I$2:$I$1486,'4.個人職能盤點'!$A$2:$A$1486,A56,'4.個人職能盤點'!$E$2:$E$1486,"核心職能",'4.個人職能盤點'!$G$2:$G$1486,"&gt;0"),"-"))</f>
        <v/>
      </c>
      <c r="K56" s="123">
        <f>IF(A56="","",IFERROR(AVERAGEIFS('4.個人職能盤點'!$I$2:$I$1486,'4.個人職能盤點'!$A$2:$A$1486,A56,'4.個人職能盤點'!$E$2:$E$1486,"管理職能",'4.個人職能盤點'!$G$2:$G$1486,"&gt;0"),"-"))</f>
        <v/>
      </c>
      <c r="L56" s="123">
        <f>IF(A56="","",IFERROR(AVERAGEIFS('4.個人職能盤點'!$I$2:$I$1486,'4.個人職能盤點'!$A$2:$A$1486,A56,'4.個人職能盤點'!$E$2:$E$1486,"專業職能",'4.個人職能盤點'!$G$2:$G$1486,"&gt;0"),"-"))</f>
        <v/>
      </c>
      <c r="M56" s="120">
        <f>IF(H56="","",IF(H56&gt;=0.9,"優秀",IF(H56&gt;=0.7,"符合期待","需加強發展")))</f>
        <v/>
      </c>
    </row>
    <row r="57" ht="15.75" customHeight="1" s="64">
      <c r="A57" s="120">
        <f>IF('3.員工名單'!A57="","",'3.員工名單'!A57)</f>
        <v/>
      </c>
      <c r="B57" s="120">
        <f>IF(A57="","",'3.員工名單'!B57)</f>
        <v/>
      </c>
      <c r="C57" s="120">
        <f>IF(A57="","",'3.員工名單'!C57)</f>
        <v/>
      </c>
      <c r="D57" s="120">
        <f>IF(A57="","",'3.員工名單'!D57)</f>
        <v/>
      </c>
      <c r="E57" s="120">
        <f>IF(A57="","",COUNTIFS('4.個人職能盤點'!$A$2:$A$1486,A57,'4.個人職能盤點'!$K$2:$K$1486,"達標")+COUNTIFS('4.個人職能盤點'!$A$2:$A$1486,A57,'4.個人職能盤點'!$K$2:$K$1486,"超越")+COUNTIFS('4.個人職能盤點'!$A$2:$A$1486,A57,'4.個人職能盤點'!$K$2:$K$1486,"待發展"))</f>
        <v/>
      </c>
      <c r="F57" s="120">
        <f>IF(A57="","",COUNTIFS('4.個人職能盤點'!$A$2:$A$1486,A57,'4.個人職能盤點'!$K$2:$K$1486,"達標")+COUNTIFS('4.個人職能盤點'!$A$2:$A$1486,A57,'4.個人職能盤點'!$K$2:$K$1486,"超越"))</f>
        <v/>
      </c>
      <c r="G57" s="120">
        <f>IF(A57="","",COUNTIFS('4.個人職能盤點'!$A$2:$A$1486,A57,'4.個人職能盤點'!$K$2:$K$1486,"待發展"))</f>
        <v/>
      </c>
      <c r="H57" s="121">
        <f>IF(OR(A57="",E57=0),"",F57/E57)</f>
        <v/>
      </c>
      <c r="I57" s="122">
        <f>IF(OR(A57="",E57=0),"",IFERROR(AVERAGEIFS('4.個人職能盤點'!$J$2:$J$1486,'4.個人職能盤點'!$A$2:$A$1486,A57),""))</f>
        <v/>
      </c>
      <c r="J57" s="123">
        <f>IF(A57="","",IFERROR(AVERAGEIFS('4.個人職能盤點'!$I$2:$I$1486,'4.個人職能盤點'!$A$2:$A$1486,A57,'4.個人職能盤點'!$E$2:$E$1486,"核心職能",'4.個人職能盤點'!$G$2:$G$1486,"&gt;0"),"-"))</f>
        <v/>
      </c>
      <c r="K57" s="123">
        <f>IF(A57="","",IFERROR(AVERAGEIFS('4.個人職能盤點'!$I$2:$I$1486,'4.個人職能盤點'!$A$2:$A$1486,A57,'4.個人職能盤點'!$E$2:$E$1486,"管理職能",'4.個人職能盤點'!$G$2:$G$1486,"&gt;0"),"-"))</f>
        <v/>
      </c>
      <c r="L57" s="123">
        <f>IF(A57="","",IFERROR(AVERAGEIFS('4.個人職能盤點'!$I$2:$I$1486,'4.個人職能盤點'!$A$2:$A$1486,A57,'4.個人職能盤點'!$E$2:$E$1486,"專業職能",'4.個人職能盤點'!$G$2:$G$1486,"&gt;0"),"-"))</f>
        <v/>
      </c>
      <c r="M57" s="120">
        <f>IF(H57="","",IF(H57&gt;=0.9,"優秀",IF(H57&gt;=0.7,"符合期待","需加強發展")))</f>
        <v/>
      </c>
    </row>
    <row r="58" ht="15.75" customHeight="1" s="64">
      <c r="A58" s="120">
        <f>IF('3.員工名單'!A58="","",'3.員工名單'!A58)</f>
        <v/>
      </c>
      <c r="B58" s="120">
        <f>IF(A58="","",'3.員工名單'!B58)</f>
        <v/>
      </c>
      <c r="C58" s="120">
        <f>IF(A58="","",'3.員工名單'!C58)</f>
        <v/>
      </c>
      <c r="D58" s="120">
        <f>IF(A58="","",'3.員工名單'!D58)</f>
        <v/>
      </c>
      <c r="E58" s="120">
        <f>IF(A58="","",COUNTIFS('4.個人職能盤點'!$A$2:$A$1486,A58,'4.個人職能盤點'!$K$2:$K$1486,"達標")+COUNTIFS('4.個人職能盤點'!$A$2:$A$1486,A58,'4.個人職能盤點'!$K$2:$K$1486,"超越")+COUNTIFS('4.個人職能盤點'!$A$2:$A$1486,A58,'4.個人職能盤點'!$K$2:$K$1486,"待發展"))</f>
        <v/>
      </c>
      <c r="F58" s="120">
        <f>IF(A58="","",COUNTIFS('4.個人職能盤點'!$A$2:$A$1486,A58,'4.個人職能盤點'!$K$2:$K$1486,"達標")+COUNTIFS('4.個人職能盤點'!$A$2:$A$1486,A58,'4.個人職能盤點'!$K$2:$K$1486,"超越"))</f>
        <v/>
      </c>
      <c r="G58" s="120">
        <f>IF(A58="","",COUNTIFS('4.個人職能盤點'!$A$2:$A$1486,A58,'4.個人職能盤點'!$K$2:$K$1486,"待發展"))</f>
        <v/>
      </c>
      <c r="H58" s="121">
        <f>IF(OR(A58="",E58=0),"",F58/E58)</f>
        <v/>
      </c>
      <c r="I58" s="122">
        <f>IF(OR(A58="",E58=0),"",IFERROR(AVERAGEIFS('4.個人職能盤點'!$J$2:$J$1486,'4.個人職能盤點'!$A$2:$A$1486,A58),""))</f>
        <v/>
      </c>
      <c r="J58" s="123">
        <f>IF(A58="","",IFERROR(AVERAGEIFS('4.個人職能盤點'!$I$2:$I$1486,'4.個人職能盤點'!$A$2:$A$1486,A58,'4.個人職能盤點'!$E$2:$E$1486,"核心職能",'4.個人職能盤點'!$G$2:$G$1486,"&gt;0"),"-"))</f>
        <v/>
      </c>
      <c r="K58" s="123">
        <f>IF(A58="","",IFERROR(AVERAGEIFS('4.個人職能盤點'!$I$2:$I$1486,'4.個人職能盤點'!$A$2:$A$1486,A58,'4.個人職能盤點'!$E$2:$E$1486,"管理職能",'4.個人職能盤點'!$G$2:$G$1486,"&gt;0"),"-"))</f>
        <v/>
      </c>
      <c r="L58" s="123">
        <f>IF(A58="","",IFERROR(AVERAGEIFS('4.個人職能盤點'!$I$2:$I$1486,'4.個人職能盤點'!$A$2:$A$1486,A58,'4.個人職能盤點'!$E$2:$E$1486,"專業職能",'4.個人職能盤點'!$G$2:$G$1486,"&gt;0"),"-"))</f>
        <v/>
      </c>
      <c r="M58" s="120">
        <f>IF(H58="","",IF(H58&gt;=0.9,"優秀",IF(H58&gt;=0.7,"符合期待","需加強發展")))</f>
        <v/>
      </c>
    </row>
    <row r="59" ht="15.75" customHeight="1" s="64">
      <c r="A59" s="120">
        <f>IF('3.員工名單'!A59="","",'3.員工名單'!A59)</f>
        <v/>
      </c>
      <c r="B59" s="120">
        <f>IF(A59="","",'3.員工名單'!B59)</f>
        <v/>
      </c>
      <c r="C59" s="120">
        <f>IF(A59="","",'3.員工名單'!C59)</f>
        <v/>
      </c>
      <c r="D59" s="120">
        <f>IF(A59="","",'3.員工名單'!D59)</f>
        <v/>
      </c>
      <c r="E59" s="120">
        <f>IF(A59="","",COUNTIFS('4.個人職能盤點'!$A$2:$A$1486,A59,'4.個人職能盤點'!$K$2:$K$1486,"達標")+COUNTIFS('4.個人職能盤點'!$A$2:$A$1486,A59,'4.個人職能盤點'!$K$2:$K$1486,"超越")+COUNTIFS('4.個人職能盤點'!$A$2:$A$1486,A59,'4.個人職能盤點'!$K$2:$K$1486,"待發展"))</f>
        <v/>
      </c>
      <c r="F59" s="120">
        <f>IF(A59="","",COUNTIFS('4.個人職能盤點'!$A$2:$A$1486,A59,'4.個人職能盤點'!$K$2:$K$1486,"達標")+COUNTIFS('4.個人職能盤點'!$A$2:$A$1486,A59,'4.個人職能盤點'!$K$2:$K$1486,"超越"))</f>
        <v/>
      </c>
      <c r="G59" s="120">
        <f>IF(A59="","",COUNTIFS('4.個人職能盤點'!$A$2:$A$1486,A59,'4.個人職能盤點'!$K$2:$K$1486,"待發展"))</f>
        <v/>
      </c>
      <c r="H59" s="121">
        <f>IF(OR(A59="",E59=0),"",F59/E59)</f>
        <v/>
      </c>
      <c r="I59" s="122">
        <f>IF(OR(A59="",E59=0),"",IFERROR(AVERAGEIFS('4.個人職能盤點'!$J$2:$J$1486,'4.個人職能盤點'!$A$2:$A$1486,A59),""))</f>
        <v/>
      </c>
      <c r="J59" s="123">
        <f>IF(A59="","",IFERROR(AVERAGEIFS('4.個人職能盤點'!$I$2:$I$1486,'4.個人職能盤點'!$A$2:$A$1486,A59,'4.個人職能盤點'!$E$2:$E$1486,"核心職能",'4.個人職能盤點'!$G$2:$G$1486,"&gt;0"),"-"))</f>
        <v/>
      </c>
      <c r="K59" s="123">
        <f>IF(A59="","",IFERROR(AVERAGEIFS('4.個人職能盤點'!$I$2:$I$1486,'4.個人職能盤點'!$A$2:$A$1486,A59,'4.個人職能盤點'!$E$2:$E$1486,"管理職能",'4.個人職能盤點'!$G$2:$G$1486,"&gt;0"),"-"))</f>
        <v/>
      </c>
      <c r="L59" s="123">
        <f>IF(A59="","",IFERROR(AVERAGEIFS('4.個人職能盤點'!$I$2:$I$1486,'4.個人職能盤點'!$A$2:$A$1486,A59,'4.個人職能盤點'!$E$2:$E$1486,"專業職能",'4.個人職能盤點'!$G$2:$G$1486,"&gt;0"),"-"))</f>
        <v/>
      </c>
      <c r="M59" s="120">
        <f>IF(H59="","",IF(H59&gt;=0.9,"優秀",IF(H59&gt;=0.7,"符合期待","需加強發展")))</f>
        <v/>
      </c>
    </row>
    <row r="60" ht="15.75" customHeight="1" s="64">
      <c r="A60" s="120">
        <f>IF('3.員工名單'!A60="","",'3.員工名單'!A60)</f>
        <v/>
      </c>
      <c r="B60" s="120">
        <f>IF(A60="","",'3.員工名單'!B60)</f>
        <v/>
      </c>
      <c r="C60" s="120">
        <f>IF(A60="","",'3.員工名單'!C60)</f>
        <v/>
      </c>
      <c r="D60" s="120">
        <f>IF(A60="","",'3.員工名單'!D60)</f>
        <v/>
      </c>
      <c r="E60" s="120">
        <f>IF(A60="","",COUNTIFS('4.個人職能盤點'!$A$2:$A$1486,A60,'4.個人職能盤點'!$K$2:$K$1486,"達標")+COUNTIFS('4.個人職能盤點'!$A$2:$A$1486,A60,'4.個人職能盤點'!$K$2:$K$1486,"超越")+COUNTIFS('4.個人職能盤點'!$A$2:$A$1486,A60,'4.個人職能盤點'!$K$2:$K$1486,"待發展"))</f>
        <v/>
      </c>
      <c r="F60" s="120">
        <f>IF(A60="","",COUNTIFS('4.個人職能盤點'!$A$2:$A$1486,A60,'4.個人職能盤點'!$K$2:$K$1486,"達標")+COUNTIFS('4.個人職能盤點'!$A$2:$A$1486,A60,'4.個人職能盤點'!$K$2:$K$1486,"超越"))</f>
        <v/>
      </c>
      <c r="G60" s="120">
        <f>IF(A60="","",COUNTIFS('4.個人職能盤點'!$A$2:$A$1486,A60,'4.個人職能盤點'!$K$2:$K$1486,"待發展"))</f>
        <v/>
      </c>
      <c r="H60" s="121">
        <f>IF(OR(A60="",E60=0),"",F60/E60)</f>
        <v/>
      </c>
      <c r="I60" s="122">
        <f>IF(OR(A60="",E60=0),"",IFERROR(AVERAGEIFS('4.個人職能盤點'!$J$2:$J$1486,'4.個人職能盤點'!$A$2:$A$1486,A60),""))</f>
        <v/>
      </c>
      <c r="J60" s="123">
        <f>IF(A60="","",IFERROR(AVERAGEIFS('4.個人職能盤點'!$I$2:$I$1486,'4.個人職能盤點'!$A$2:$A$1486,A60,'4.個人職能盤點'!$E$2:$E$1486,"核心職能",'4.個人職能盤點'!$G$2:$G$1486,"&gt;0"),"-"))</f>
        <v/>
      </c>
      <c r="K60" s="123">
        <f>IF(A60="","",IFERROR(AVERAGEIFS('4.個人職能盤點'!$I$2:$I$1486,'4.個人職能盤點'!$A$2:$A$1486,A60,'4.個人職能盤點'!$E$2:$E$1486,"管理職能",'4.個人職能盤點'!$G$2:$G$1486,"&gt;0"),"-"))</f>
        <v/>
      </c>
      <c r="L60" s="123">
        <f>IF(A60="","",IFERROR(AVERAGEIFS('4.個人職能盤點'!$I$2:$I$1486,'4.個人職能盤點'!$A$2:$A$1486,A60,'4.個人職能盤點'!$E$2:$E$1486,"專業職能",'4.個人職能盤點'!$G$2:$G$1486,"&gt;0"),"-"))</f>
        <v/>
      </c>
      <c r="M60" s="120">
        <f>IF(H60="","",IF(H60&gt;=0.9,"優秀",IF(H60&gt;=0.7,"符合期待","需加強發展")))</f>
        <v/>
      </c>
    </row>
    <row r="61" ht="15.75" customHeight="1" s="64">
      <c r="A61" s="120">
        <f>IF('3.員工名單'!A61="","",'3.員工名單'!A61)</f>
        <v/>
      </c>
      <c r="B61" s="120">
        <f>IF(A61="","",'3.員工名單'!B61)</f>
        <v/>
      </c>
      <c r="C61" s="120">
        <f>IF(A61="","",'3.員工名單'!C61)</f>
        <v/>
      </c>
      <c r="D61" s="120">
        <f>IF(A61="","",'3.員工名單'!D61)</f>
        <v/>
      </c>
      <c r="E61" s="120">
        <f>IF(A61="","",COUNTIFS('4.個人職能盤點'!$A$2:$A$1486,A61,'4.個人職能盤點'!$K$2:$K$1486,"達標")+COUNTIFS('4.個人職能盤點'!$A$2:$A$1486,A61,'4.個人職能盤點'!$K$2:$K$1486,"超越")+COUNTIFS('4.個人職能盤點'!$A$2:$A$1486,A61,'4.個人職能盤點'!$K$2:$K$1486,"待發展"))</f>
        <v/>
      </c>
      <c r="F61" s="120">
        <f>IF(A61="","",COUNTIFS('4.個人職能盤點'!$A$2:$A$1486,A61,'4.個人職能盤點'!$K$2:$K$1486,"達標")+COUNTIFS('4.個人職能盤點'!$A$2:$A$1486,A61,'4.個人職能盤點'!$K$2:$K$1486,"超越"))</f>
        <v/>
      </c>
      <c r="G61" s="120">
        <f>IF(A61="","",COUNTIFS('4.個人職能盤點'!$A$2:$A$1486,A61,'4.個人職能盤點'!$K$2:$K$1486,"待發展"))</f>
        <v/>
      </c>
      <c r="H61" s="121">
        <f>IF(OR(A61="",E61=0),"",F61/E61)</f>
        <v/>
      </c>
      <c r="I61" s="122">
        <f>IF(OR(A61="",E61=0),"",IFERROR(AVERAGEIFS('4.個人職能盤點'!$J$2:$J$1486,'4.個人職能盤點'!$A$2:$A$1486,A61),""))</f>
        <v/>
      </c>
      <c r="J61" s="123">
        <f>IF(A61="","",IFERROR(AVERAGEIFS('4.個人職能盤點'!$I$2:$I$1486,'4.個人職能盤點'!$A$2:$A$1486,A61,'4.個人職能盤點'!$E$2:$E$1486,"核心職能",'4.個人職能盤點'!$G$2:$G$1486,"&gt;0"),"-"))</f>
        <v/>
      </c>
      <c r="K61" s="123">
        <f>IF(A61="","",IFERROR(AVERAGEIFS('4.個人職能盤點'!$I$2:$I$1486,'4.個人職能盤點'!$A$2:$A$1486,A61,'4.個人職能盤點'!$E$2:$E$1486,"管理職能",'4.個人職能盤點'!$G$2:$G$1486,"&gt;0"),"-"))</f>
        <v/>
      </c>
      <c r="L61" s="123">
        <f>IF(A61="","",IFERROR(AVERAGEIFS('4.個人職能盤點'!$I$2:$I$1486,'4.個人職能盤點'!$A$2:$A$1486,A61,'4.個人職能盤點'!$E$2:$E$1486,"專業職能",'4.個人職能盤點'!$G$2:$G$1486,"&gt;0"),"-"))</f>
        <v/>
      </c>
      <c r="M61" s="120">
        <f>IF(H61="","",IF(H61&gt;=0.9,"優秀",IF(H61&gt;=0.7,"符合期待","需加強發展")))</f>
        <v/>
      </c>
    </row>
    <row r="62" ht="15.75" customHeight="1" s="64">
      <c r="A62" s="120">
        <f>IF('3.員工名單'!A62="","",'3.員工名單'!A62)</f>
        <v/>
      </c>
      <c r="B62" s="120">
        <f>IF(A62="","",'3.員工名單'!B62)</f>
        <v/>
      </c>
      <c r="C62" s="120">
        <f>IF(A62="","",'3.員工名單'!C62)</f>
        <v/>
      </c>
      <c r="D62" s="120">
        <f>IF(A62="","",'3.員工名單'!D62)</f>
        <v/>
      </c>
      <c r="E62" s="120">
        <f>IF(A62="","",COUNTIFS('4.個人職能盤點'!$A$2:$A$1486,A62,'4.個人職能盤點'!$K$2:$K$1486,"達標")+COUNTIFS('4.個人職能盤點'!$A$2:$A$1486,A62,'4.個人職能盤點'!$K$2:$K$1486,"超越")+COUNTIFS('4.個人職能盤點'!$A$2:$A$1486,A62,'4.個人職能盤點'!$K$2:$K$1486,"待發展"))</f>
        <v/>
      </c>
      <c r="F62" s="120">
        <f>IF(A62="","",COUNTIFS('4.個人職能盤點'!$A$2:$A$1486,A62,'4.個人職能盤點'!$K$2:$K$1486,"達標")+COUNTIFS('4.個人職能盤點'!$A$2:$A$1486,A62,'4.個人職能盤點'!$K$2:$K$1486,"超越"))</f>
        <v/>
      </c>
      <c r="G62" s="120">
        <f>IF(A62="","",COUNTIFS('4.個人職能盤點'!$A$2:$A$1486,A62,'4.個人職能盤點'!$K$2:$K$1486,"待發展"))</f>
        <v/>
      </c>
      <c r="H62" s="121">
        <f>IF(OR(A62="",E62=0),"",F62/E62)</f>
        <v/>
      </c>
      <c r="I62" s="122">
        <f>IF(OR(A62="",E62=0),"",IFERROR(AVERAGEIFS('4.個人職能盤點'!$J$2:$J$1486,'4.個人職能盤點'!$A$2:$A$1486,A62),""))</f>
        <v/>
      </c>
      <c r="J62" s="123">
        <f>IF(A62="","",IFERROR(AVERAGEIFS('4.個人職能盤點'!$I$2:$I$1486,'4.個人職能盤點'!$A$2:$A$1486,A62,'4.個人職能盤點'!$E$2:$E$1486,"核心職能",'4.個人職能盤點'!$G$2:$G$1486,"&gt;0"),"-"))</f>
        <v/>
      </c>
      <c r="K62" s="123">
        <f>IF(A62="","",IFERROR(AVERAGEIFS('4.個人職能盤點'!$I$2:$I$1486,'4.個人職能盤點'!$A$2:$A$1486,A62,'4.個人職能盤點'!$E$2:$E$1486,"管理職能",'4.個人職能盤點'!$G$2:$G$1486,"&gt;0"),"-"))</f>
        <v/>
      </c>
      <c r="L62" s="123">
        <f>IF(A62="","",IFERROR(AVERAGEIFS('4.個人職能盤點'!$I$2:$I$1486,'4.個人職能盤點'!$A$2:$A$1486,A62,'4.個人職能盤點'!$E$2:$E$1486,"專業職能",'4.個人職能盤點'!$G$2:$G$1486,"&gt;0"),"-"))</f>
        <v/>
      </c>
      <c r="M62" s="120">
        <f>IF(H62="","",IF(H62&gt;=0.9,"優秀",IF(H62&gt;=0.7,"符合期待","需加強發展")))</f>
        <v/>
      </c>
    </row>
    <row r="63" ht="15.75" customHeight="1" s="64">
      <c r="A63" s="120">
        <f>IF('3.員工名單'!A63="","",'3.員工名單'!A63)</f>
        <v/>
      </c>
      <c r="B63" s="120">
        <f>IF(A63="","",'3.員工名單'!B63)</f>
        <v/>
      </c>
      <c r="C63" s="120">
        <f>IF(A63="","",'3.員工名單'!C63)</f>
        <v/>
      </c>
      <c r="D63" s="120">
        <f>IF(A63="","",'3.員工名單'!D63)</f>
        <v/>
      </c>
      <c r="E63" s="120">
        <f>IF(A63="","",COUNTIFS('4.個人職能盤點'!$A$2:$A$1486,A63,'4.個人職能盤點'!$K$2:$K$1486,"達標")+COUNTIFS('4.個人職能盤點'!$A$2:$A$1486,A63,'4.個人職能盤點'!$K$2:$K$1486,"超越")+COUNTIFS('4.個人職能盤點'!$A$2:$A$1486,A63,'4.個人職能盤點'!$K$2:$K$1486,"待發展"))</f>
        <v/>
      </c>
      <c r="F63" s="120">
        <f>IF(A63="","",COUNTIFS('4.個人職能盤點'!$A$2:$A$1486,A63,'4.個人職能盤點'!$K$2:$K$1486,"達標")+COUNTIFS('4.個人職能盤點'!$A$2:$A$1486,A63,'4.個人職能盤點'!$K$2:$K$1486,"超越"))</f>
        <v/>
      </c>
      <c r="G63" s="120">
        <f>IF(A63="","",COUNTIFS('4.個人職能盤點'!$A$2:$A$1486,A63,'4.個人職能盤點'!$K$2:$K$1486,"待發展"))</f>
        <v/>
      </c>
      <c r="H63" s="121">
        <f>IF(OR(A63="",E63=0),"",F63/E63)</f>
        <v/>
      </c>
      <c r="I63" s="122">
        <f>IF(OR(A63="",E63=0),"",IFERROR(AVERAGEIFS('4.個人職能盤點'!$J$2:$J$1486,'4.個人職能盤點'!$A$2:$A$1486,A63),""))</f>
        <v/>
      </c>
      <c r="J63" s="123">
        <f>IF(A63="","",IFERROR(AVERAGEIFS('4.個人職能盤點'!$I$2:$I$1486,'4.個人職能盤點'!$A$2:$A$1486,A63,'4.個人職能盤點'!$E$2:$E$1486,"核心職能",'4.個人職能盤點'!$G$2:$G$1486,"&gt;0"),"-"))</f>
        <v/>
      </c>
      <c r="K63" s="123">
        <f>IF(A63="","",IFERROR(AVERAGEIFS('4.個人職能盤點'!$I$2:$I$1486,'4.個人職能盤點'!$A$2:$A$1486,A63,'4.個人職能盤點'!$E$2:$E$1486,"管理職能",'4.個人職能盤點'!$G$2:$G$1486,"&gt;0"),"-"))</f>
        <v/>
      </c>
      <c r="L63" s="123">
        <f>IF(A63="","",IFERROR(AVERAGEIFS('4.個人職能盤點'!$I$2:$I$1486,'4.個人職能盤點'!$A$2:$A$1486,A63,'4.個人職能盤點'!$E$2:$E$1486,"專業職能",'4.個人職能盤點'!$G$2:$G$1486,"&gt;0"),"-"))</f>
        <v/>
      </c>
      <c r="M63" s="120">
        <f>IF(H63="","",IF(H63&gt;=0.9,"優秀",IF(H63&gt;=0.7,"符合期待","需加強發展")))</f>
        <v/>
      </c>
    </row>
    <row r="64" ht="15.75" customHeight="1" s="64">
      <c r="A64" s="120">
        <f>IF('3.員工名單'!A64="","",'3.員工名單'!A64)</f>
        <v/>
      </c>
      <c r="B64" s="120">
        <f>IF(A64="","",'3.員工名單'!B64)</f>
        <v/>
      </c>
      <c r="C64" s="120">
        <f>IF(A64="","",'3.員工名單'!C64)</f>
        <v/>
      </c>
      <c r="D64" s="120">
        <f>IF(A64="","",'3.員工名單'!D64)</f>
        <v/>
      </c>
      <c r="E64" s="120">
        <f>IF(A64="","",COUNTIFS('4.個人職能盤點'!$A$2:$A$1486,A64,'4.個人職能盤點'!$K$2:$K$1486,"達標")+COUNTIFS('4.個人職能盤點'!$A$2:$A$1486,A64,'4.個人職能盤點'!$K$2:$K$1486,"超越")+COUNTIFS('4.個人職能盤點'!$A$2:$A$1486,A64,'4.個人職能盤點'!$K$2:$K$1486,"待發展"))</f>
        <v/>
      </c>
      <c r="F64" s="120">
        <f>IF(A64="","",COUNTIFS('4.個人職能盤點'!$A$2:$A$1486,A64,'4.個人職能盤點'!$K$2:$K$1486,"達標")+COUNTIFS('4.個人職能盤點'!$A$2:$A$1486,A64,'4.個人職能盤點'!$K$2:$K$1486,"超越"))</f>
        <v/>
      </c>
      <c r="G64" s="120">
        <f>IF(A64="","",COUNTIFS('4.個人職能盤點'!$A$2:$A$1486,A64,'4.個人職能盤點'!$K$2:$K$1486,"待發展"))</f>
        <v/>
      </c>
      <c r="H64" s="121">
        <f>IF(OR(A64="",E64=0),"",F64/E64)</f>
        <v/>
      </c>
      <c r="I64" s="122">
        <f>IF(OR(A64="",E64=0),"",IFERROR(AVERAGEIFS('4.個人職能盤點'!$J$2:$J$1486,'4.個人職能盤點'!$A$2:$A$1486,A64),""))</f>
        <v/>
      </c>
      <c r="J64" s="123">
        <f>IF(A64="","",IFERROR(AVERAGEIFS('4.個人職能盤點'!$I$2:$I$1486,'4.個人職能盤點'!$A$2:$A$1486,A64,'4.個人職能盤點'!$E$2:$E$1486,"核心職能",'4.個人職能盤點'!$G$2:$G$1486,"&gt;0"),"-"))</f>
        <v/>
      </c>
      <c r="K64" s="123">
        <f>IF(A64="","",IFERROR(AVERAGEIFS('4.個人職能盤點'!$I$2:$I$1486,'4.個人職能盤點'!$A$2:$A$1486,A64,'4.個人職能盤點'!$E$2:$E$1486,"管理職能",'4.個人職能盤點'!$G$2:$G$1486,"&gt;0"),"-"))</f>
        <v/>
      </c>
      <c r="L64" s="123">
        <f>IF(A64="","",IFERROR(AVERAGEIFS('4.個人職能盤點'!$I$2:$I$1486,'4.個人職能盤點'!$A$2:$A$1486,A64,'4.個人職能盤點'!$E$2:$E$1486,"專業職能",'4.個人職能盤點'!$G$2:$G$1486,"&gt;0"),"-"))</f>
        <v/>
      </c>
      <c r="M64" s="120">
        <f>IF(H64="","",IF(H64&gt;=0.9,"優秀",IF(H64&gt;=0.7,"符合期待","需加強發展")))</f>
        <v/>
      </c>
    </row>
    <row r="65" ht="15.75" customHeight="1" s="64">
      <c r="A65" s="120">
        <f>IF('3.員工名單'!A65="","",'3.員工名單'!A65)</f>
        <v/>
      </c>
      <c r="B65" s="120">
        <f>IF(A65="","",'3.員工名單'!B65)</f>
        <v/>
      </c>
      <c r="C65" s="120">
        <f>IF(A65="","",'3.員工名單'!C65)</f>
        <v/>
      </c>
      <c r="D65" s="120">
        <f>IF(A65="","",'3.員工名單'!D65)</f>
        <v/>
      </c>
      <c r="E65" s="120">
        <f>IF(A65="","",COUNTIFS('4.個人職能盤點'!$A$2:$A$1486,A65,'4.個人職能盤點'!$K$2:$K$1486,"達標")+COUNTIFS('4.個人職能盤點'!$A$2:$A$1486,A65,'4.個人職能盤點'!$K$2:$K$1486,"超越")+COUNTIFS('4.個人職能盤點'!$A$2:$A$1486,A65,'4.個人職能盤點'!$K$2:$K$1486,"待發展"))</f>
        <v/>
      </c>
      <c r="F65" s="120">
        <f>IF(A65="","",COUNTIFS('4.個人職能盤點'!$A$2:$A$1486,A65,'4.個人職能盤點'!$K$2:$K$1486,"達標")+COUNTIFS('4.個人職能盤點'!$A$2:$A$1486,A65,'4.個人職能盤點'!$K$2:$K$1486,"超越"))</f>
        <v/>
      </c>
      <c r="G65" s="120">
        <f>IF(A65="","",COUNTIFS('4.個人職能盤點'!$A$2:$A$1486,A65,'4.個人職能盤點'!$K$2:$K$1486,"待發展"))</f>
        <v/>
      </c>
      <c r="H65" s="121">
        <f>IF(OR(A65="",E65=0),"",F65/E65)</f>
        <v/>
      </c>
      <c r="I65" s="122">
        <f>IF(OR(A65="",E65=0),"",IFERROR(AVERAGEIFS('4.個人職能盤點'!$J$2:$J$1486,'4.個人職能盤點'!$A$2:$A$1486,A65),""))</f>
        <v/>
      </c>
      <c r="J65" s="123">
        <f>IF(A65="","",IFERROR(AVERAGEIFS('4.個人職能盤點'!$I$2:$I$1486,'4.個人職能盤點'!$A$2:$A$1486,A65,'4.個人職能盤點'!$E$2:$E$1486,"核心職能",'4.個人職能盤點'!$G$2:$G$1486,"&gt;0"),"-"))</f>
        <v/>
      </c>
      <c r="K65" s="123">
        <f>IF(A65="","",IFERROR(AVERAGEIFS('4.個人職能盤點'!$I$2:$I$1486,'4.個人職能盤點'!$A$2:$A$1486,A65,'4.個人職能盤點'!$E$2:$E$1486,"管理職能",'4.個人職能盤點'!$G$2:$G$1486,"&gt;0"),"-"))</f>
        <v/>
      </c>
      <c r="L65" s="123">
        <f>IF(A65="","",IFERROR(AVERAGEIFS('4.個人職能盤點'!$I$2:$I$1486,'4.個人職能盤點'!$A$2:$A$1486,A65,'4.個人職能盤點'!$E$2:$E$1486,"專業職能",'4.個人職能盤點'!$G$2:$G$1486,"&gt;0"),"-"))</f>
        <v/>
      </c>
      <c r="M65" s="120">
        <f>IF(H65="","",IF(H65&gt;=0.9,"優秀",IF(H65&gt;=0.7,"符合期待","需加強發展")))</f>
        <v/>
      </c>
    </row>
    <row r="66" ht="15.75" customHeight="1" s="64">
      <c r="A66" s="120">
        <f>IF('3.員工名單'!A66="","",'3.員工名單'!A66)</f>
        <v/>
      </c>
      <c r="B66" s="120">
        <f>IF(A66="","",'3.員工名單'!B66)</f>
        <v/>
      </c>
      <c r="C66" s="120">
        <f>IF(A66="","",'3.員工名單'!C66)</f>
        <v/>
      </c>
      <c r="D66" s="120">
        <f>IF(A66="","",'3.員工名單'!D66)</f>
        <v/>
      </c>
      <c r="E66" s="120">
        <f>IF(A66="","",COUNTIFS('4.個人職能盤點'!$A$2:$A$1486,A66,'4.個人職能盤點'!$K$2:$K$1486,"達標")+COUNTIFS('4.個人職能盤點'!$A$2:$A$1486,A66,'4.個人職能盤點'!$K$2:$K$1486,"超越")+COUNTIFS('4.個人職能盤點'!$A$2:$A$1486,A66,'4.個人職能盤點'!$K$2:$K$1486,"待發展"))</f>
        <v/>
      </c>
      <c r="F66" s="120">
        <f>IF(A66="","",COUNTIFS('4.個人職能盤點'!$A$2:$A$1486,A66,'4.個人職能盤點'!$K$2:$K$1486,"達標")+COUNTIFS('4.個人職能盤點'!$A$2:$A$1486,A66,'4.個人職能盤點'!$K$2:$K$1486,"超越"))</f>
        <v/>
      </c>
      <c r="G66" s="120">
        <f>IF(A66="","",COUNTIFS('4.個人職能盤點'!$A$2:$A$1486,A66,'4.個人職能盤點'!$K$2:$K$1486,"待發展"))</f>
        <v/>
      </c>
      <c r="H66" s="121">
        <f>IF(OR(A66="",E66=0),"",F66/E66)</f>
        <v/>
      </c>
      <c r="I66" s="122">
        <f>IF(OR(A66="",E66=0),"",IFERROR(AVERAGEIFS('4.個人職能盤點'!$J$2:$J$1486,'4.個人職能盤點'!$A$2:$A$1486,A66),""))</f>
        <v/>
      </c>
      <c r="J66" s="123">
        <f>IF(A66="","",IFERROR(AVERAGEIFS('4.個人職能盤點'!$I$2:$I$1486,'4.個人職能盤點'!$A$2:$A$1486,A66,'4.個人職能盤點'!$E$2:$E$1486,"核心職能",'4.個人職能盤點'!$G$2:$G$1486,"&gt;0"),"-"))</f>
        <v/>
      </c>
      <c r="K66" s="123">
        <f>IF(A66="","",IFERROR(AVERAGEIFS('4.個人職能盤點'!$I$2:$I$1486,'4.個人職能盤點'!$A$2:$A$1486,A66,'4.個人職能盤點'!$E$2:$E$1486,"管理職能",'4.個人職能盤點'!$G$2:$G$1486,"&gt;0"),"-"))</f>
        <v/>
      </c>
      <c r="L66" s="123">
        <f>IF(A66="","",IFERROR(AVERAGEIFS('4.個人職能盤點'!$I$2:$I$1486,'4.個人職能盤點'!$A$2:$A$1486,A66,'4.個人職能盤點'!$E$2:$E$1486,"專業職能",'4.個人職能盤點'!$G$2:$G$1486,"&gt;0"),"-"))</f>
        <v/>
      </c>
      <c r="M66" s="120">
        <f>IF(H66="","",IF(H66&gt;=0.9,"優秀",IF(H66&gt;=0.7,"符合期待","需加強發展")))</f>
        <v/>
      </c>
    </row>
    <row r="67" ht="15.75" customHeight="1" s="64">
      <c r="A67" s="120">
        <f>IF('3.員工名單'!A67="","",'3.員工名單'!A67)</f>
        <v/>
      </c>
      <c r="B67" s="120">
        <f>IF(A67="","",'3.員工名單'!B67)</f>
        <v/>
      </c>
      <c r="C67" s="120">
        <f>IF(A67="","",'3.員工名單'!C67)</f>
        <v/>
      </c>
      <c r="D67" s="120">
        <f>IF(A67="","",'3.員工名單'!D67)</f>
        <v/>
      </c>
      <c r="E67" s="120">
        <f>IF(A67="","",COUNTIFS('4.個人職能盤點'!$A$2:$A$1486,A67,'4.個人職能盤點'!$K$2:$K$1486,"達標")+COUNTIFS('4.個人職能盤點'!$A$2:$A$1486,A67,'4.個人職能盤點'!$K$2:$K$1486,"超越")+COUNTIFS('4.個人職能盤點'!$A$2:$A$1486,A67,'4.個人職能盤點'!$K$2:$K$1486,"待發展"))</f>
        <v/>
      </c>
      <c r="F67" s="120">
        <f>IF(A67="","",COUNTIFS('4.個人職能盤點'!$A$2:$A$1486,A67,'4.個人職能盤點'!$K$2:$K$1486,"達標")+COUNTIFS('4.個人職能盤點'!$A$2:$A$1486,A67,'4.個人職能盤點'!$K$2:$K$1486,"超越"))</f>
        <v/>
      </c>
      <c r="G67" s="120">
        <f>IF(A67="","",COUNTIFS('4.個人職能盤點'!$A$2:$A$1486,A67,'4.個人職能盤點'!$K$2:$K$1486,"待發展"))</f>
        <v/>
      </c>
      <c r="H67" s="121">
        <f>IF(OR(A67="",E67=0),"",F67/E67)</f>
        <v/>
      </c>
      <c r="I67" s="122">
        <f>IF(OR(A67="",E67=0),"",IFERROR(AVERAGEIFS('4.個人職能盤點'!$J$2:$J$1486,'4.個人職能盤點'!$A$2:$A$1486,A67),""))</f>
        <v/>
      </c>
      <c r="J67" s="123">
        <f>IF(A67="","",IFERROR(AVERAGEIFS('4.個人職能盤點'!$I$2:$I$1486,'4.個人職能盤點'!$A$2:$A$1486,A67,'4.個人職能盤點'!$E$2:$E$1486,"核心職能",'4.個人職能盤點'!$G$2:$G$1486,"&gt;0"),"-"))</f>
        <v/>
      </c>
      <c r="K67" s="123">
        <f>IF(A67="","",IFERROR(AVERAGEIFS('4.個人職能盤點'!$I$2:$I$1486,'4.個人職能盤點'!$A$2:$A$1486,A67,'4.個人職能盤點'!$E$2:$E$1486,"管理職能",'4.個人職能盤點'!$G$2:$G$1486,"&gt;0"),"-"))</f>
        <v/>
      </c>
      <c r="L67" s="123">
        <f>IF(A67="","",IFERROR(AVERAGEIFS('4.個人職能盤點'!$I$2:$I$1486,'4.個人職能盤點'!$A$2:$A$1486,A67,'4.個人職能盤點'!$E$2:$E$1486,"專業職能",'4.個人職能盤點'!$G$2:$G$1486,"&gt;0"),"-"))</f>
        <v/>
      </c>
      <c r="M67" s="120">
        <f>IF(H67="","",IF(H67&gt;=0.9,"優秀",IF(H67&gt;=0.7,"符合期待","需加強發展")))</f>
        <v/>
      </c>
    </row>
    <row r="68" ht="15.75" customHeight="1" s="64">
      <c r="A68" s="120">
        <f>IF('3.員工名單'!A68="","",'3.員工名單'!A68)</f>
        <v/>
      </c>
      <c r="B68" s="120">
        <f>IF(A68="","",'3.員工名單'!B68)</f>
        <v/>
      </c>
      <c r="C68" s="120">
        <f>IF(A68="","",'3.員工名單'!C68)</f>
        <v/>
      </c>
      <c r="D68" s="120">
        <f>IF(A68="","",'3.員工名單'!D68)</f>
        <v/>
      </c>
      <c r="E68" s="120">
        <f>IF(A68="","",COUNTIFS('4.個人職能盤點'!$A$2:$A$1486,A68,'4.個人職能盤點'!$K$2:$K$1486,"達標")+COUNTIFS('4.個人職能盤點'!$A$2:$A$1486,A68,'4.個人職能盤點'!$K$2:$K$1486,"超越")+COUNTIFS('4.個人職能盤點'!$A$2:$A$1486,A68,'4.個人職能盤點'!$K$2:$K$1486,"待發展"))</f>
        <v/>
      </c>
      <c r="F68" s="120">
        <f>IF(A68="","",COUNTIFS('4.個人職能盤點'!$A$2:$A$1486,A68,'4.個人職能盤點'!$K$2:$K$1486,"達標")+COUNTIFS('4.個人職能盤點'!$A$2:$A$1486,A68,'4.個人職能盤點'!$K$2:$K$1486,"超越"))</f>
        <v/>
      </c>
      <c r="G68" s="120">
        <f>IF(A68="","",COUNTIFS('4.個人職能盤點'!$A$2:$A$1486,A68,'4.個人職能盤點'!$K$2:$K$1486,"待發展"))</f>
        <v/>
      </c>
      <c r="H68" s="121">
        <f>IF(OR(A68="",E68=0),"",F68/E68)</f>
        <v/>
      </c>
      <c r="I68" s="122">
        <f>IF(OR(A68="",E68=0),"",IFERROR(AVERAGEIFS('4.個人職能盤點'!$J$2:$J$1486,'4.個人職能盤點'!$A$2:$A$1486,A68),""))</f>
        <v/>
      </c>
      <c r="J68" s="123">
        <f>IF(A68="","",IFERROR(AVERAGEIFS('4.個人職能盤點'!$I$2:$I$1486,'4.個人職能盤點'!$A$2:$A$1486,A68,'4.個人職能盤點'!$E$2:$E$1486,"核心職能",'4.個人職能盤點'!$G$2:$G$1486,"&gt;0"),"-"))</f>
        <v/>
      </c>
      <c r="K68" s="123">
        <f>IF(A68="","",IFERROR(AVERAGEIFS('4.個人職能盤點'!$I$2:$I$1486,'4.個人職能盤點'!$A$2:$A$1486,A68,'4.個人職能盤點'!$E$2:$E$1486,"管理職能",'4.個人職能盤點'!$G$2:$G$1486,"&gt;0"),"-"))</f>
        <v/>
      </c>
      <c r="L68" s="123">
        <f>IF(A68="","",IFERROR(AVERAGEIFS('4.個人職能盤點'!$I$2:$I$1486,'4.個人職能盤點'!$A$2:$A$1486,A68,'4.個人職能盤點'!$E$2:$E$1486,"專業職能",'4.個人職能盤點'!$G$2:$G$1486,"&gt;0"),"-"))</f>
        <v/>
      </c>
      <c r="M68" s="120">
        <f>IF(H68="","",IF(H68&gt;=0.9,"優秀",IF(H68&gt;=0.7,"符合期待","需加強發展")))</f>
        <v/>
      </c>
    </row>
    <row r="69" ht="15.75" customHeight="1" s="64">
      <c r="A69" s="120">
        <f>IF('3.員工名單'!A69="","",'3.員工名單'!A69)</f>
        <v/>
      </c>
      <c r="B69" s="120">
        <f>IF(A69="","",'3.員工名單'!B69)</f>
        <v/>
      </c>
      <c r="C69" s="120">
        <f>IF(A69="","",'3.員工名單'!C69)</f>
        <v/>
      </c>
      <c r="D69" s="120">
        <f>IF(A69="","",'3.員工名單'!D69)</f>
        <v/>
      </c>
      <c r="E69" s="120">
        <f>IF(A69="","",COUNTIFS('4.個人職能盤點'!$A$2:$A$1486,A69,'4.個人職能盤點'!$K$2:$K$1486,"達標")+COUNTIFS('4.個人職能盤點'!$A$2:$A$1486,A69,'4.個人職能盤點'!$K$2:$K$1486,"超越")+COUNTIFS('4.個人職能盤點'!$A$2:$A$1486,A69,'4.個人職能盤點'!$K$2:$K$1486,"待發展"))</f>
        <v/>
      </c>
      <c r="F69" s="120">
        <f>IF(A69="","",COUNTIFS('4.個人職能盤點'!$A$2:$A$1486,A69,'4.個人職能盤點'!$K$2:$K$1486,"達標")+COUNTIFS('4.個人職能盤點'!$A$2:$A$1486,A69,'4.個人職能盤點'!$K$2:$K$1486,"超越"))</f>
        <v/>
      </c>
      <c r="G69" s="120">
        <f>IF(A69="","",COUNTIFS('4.個人職能盤點'!$A$2:$A$1486,A69,'4.個人職能盤點'!$K$2:$K$1486,"待發展"))</f>
        <v/>
      </c>
      <c r="H69" s="121">
        <f>IF(OR(A69="",E69=0),"",F69/E69)</f>
        <v/>
      </c>
      <c r="I69" s="122">
        <f>IF(OR(A69="",E69=0),"",IFERROR(AVERAGEIFS('4.個人職能盤點'!$J$2:$J$1486,'4.個人職能盤點'!$A$2:$A$1486,A69),""))</f>
        <v/>
      </c>
      <c r="J69" s="123">
        <f>IF(A69="","",IFERROR(AVERAGEIFS('4.個人職能盤點'!$I$2:$I$1486,'4.個人職能盤點'!$A$2:$A$1486,A69,'4.個人職能盤點'!$E$2:$E$1486,"核心職能",'4.個人職能盤點'!$G$2:$G$1486,"&gt;0"),"-"))</f>
        <v/>
      </c>
      <c r="K69" s="123">
        <f>IF(A69="","",IFERROR(AVERAGEIFS('4.個人職能盤點'!$I$2:$I$1486,'4.個人職能盤點'!$A$2:$A$1486,A69,'4.個人職能盤點'!$E$2:$E$1486,"管理職能",'4.個人職能盤點'!$G$2:$G$1486,"&gt;0"),"-"))</f>
        <v/>
      </c>
      <c r="L69" s="123">
        <f>IF(A69="","",IFERROR(AVERAGEIFS('4.個人職能盤點'!$I$2:$I$1486,'4.個人職能盤點'!$A$2:$A$1486,A69,'4.個人職能盤點'!$E$2:$E$1486,"專業職能",'4.個人職能盤點'!$G$2:$G$1486,"&gt;0"),"-"))</f>
        <v/>
      </c>
      <c r="M69" s="120">
        <f>IF(H69="","",IF(H69&gt;=0.9,"優秀",IF(H69&gt;=0.7,"符合期待","需加強發展")))</f>
        <v/>
      </c>
    </row>
    <row r="70" ht="15.75" customHeight="1" s="64">
      <c r="A70" s="120">
        <f>IF('3.員工名單'!A70="","",'3.員工名單'!A70)</f>
        <v/>
      </c>
      <c r="B70" s="120">
        <f>IF(A70="","",'3.員工名單'!B70)</f>
        <v/>
      </c>
      <c r="C70" s="120">
        <f>IF(A70="","",'3.員工名單'!C70)</f>
        <v/>
      </c>
      <c r="D70" s="120">
        <f>IF(A70="","",'3.員工名單'!D70)</f>
        <v/>
      </c>
      <c r="E70" s="120">
        <f>IF(A70="","",COUNTIFS('4.個人職能盤點'!$A$2:$A$1486,A70,'4.個人職能盤點'!$K$2:$K$1486,"達標")+COUNTIFS('4.個人職能盤點'!$A$2:$A$1486,A70,'4.個人職能盤點'!$K$2:$K$1486,"超越")+COUNTIFS('4.個人職能盤點'!$A$2:$A$1486,A70,'4.個人職能盤點'!$K$2:$K$1486,"待發展"))</f>
        <v/>
      </c>
      <c r="F70" s="120">
        <f>IF(A70="","",COUNTIFS('4.個人職能盤點'!$A$2:$A$1486,A70,'4.個人職能盤點'!$K$2:$K$1486,"達標")+COUNTIFS('4.個人職能盤點'!$A$2:$A$1486,A70,'4.個人職能盤點'!$K$2:$K$1486,"超越"))</f>
        <v/>
      </c>
      <c r="G70" s="120">
        <f>IF(A70="","",COUNTIFS('4.個人職能盤點'!$A$2:$A$1486,A70,'4.個人職能盤點'!$K$2:$K$1486,"待發展"))</f>
        <v/>
      </c>
      <c r="H70" s="121">
        <f>IF(OR(A70="",E70=0),"",F70/E70)</f>
        <v/>
      </c>
      <c r="I70" s="122">
        <f>IF(OR(A70="",E70=0),"",IFERROR(AVERAGEIFS('4.個人職能盤點'!$J$2:$J$1486,'4.個人職能盤點'!$A$2:$A$1486,A70),""))</f>
        <v/>
      </c>
      <c r="J70" s="123">
        <f>IF(A70="","",IFERROR(AVERAGEIFS('4.個人職能盤點'!$I$2:$I$1486,'4.個人職能盤點'!$A$2:$A$1486,A70,'4.個人職能盤點'!$E$2:$E$1486,"核心職能",'4.個人職能盤點'!$G$2:$G$1486,"&gt;0"),"-"))</f>
        <v/>
      </c>
      <c r="K70" s="123">
        <f>IF(A70="","",IFERROR(AVERAGEIFS('4.個人職能盤點'!$I$2:$I$1486,'4.個人職能盤點'!$A$2:$A$1486,A70,'4.個人職能盤點'!$E$2:$E$1486,"管理職能",'4.個人職能盤點'!$G$2:$G$1486,"&gt;0"),"-"))</f>
        <v/>
      </c>
      <c r="L70" s="123">
        <f>IF(A70="","",IFERROR(AVERAGEIFS('4.個人職能盤點'!$I$2:$I$1486,'4.個人職能盤點'!$A$2:$A$1486,A70,'4.個人職能盤點'!$E$2:$E$1486,"專業職能",'4.個人職能盤點'!$G$2:$G$1486,"&gt;0"),"-"))</f>
        <v/>
      </c>
      <c r="M70" s="120">
        <f>IF(H70="","",IF(H70&gt;=0.9,"優秀",IF(H70&gt;=0.7,"符合期待","需加強發展")))</f>
        <v/>
      </c>
    </row>
    <row r="71" ht="15.75" customHeight="1" s="64">
      <c r="A71" s="120">
        <f>IF('3.員工名單'!A71="","",'3.員工名單'!A71)</f>
        <v/>
      </c>
      <c r="B71" s="120">
        <f>IF(A71="","",'3.員工名單'!B71)</f>
        <v/>
      </c>
      <c r="C71" s="120">
        <f>IF(A71="","",'3.員工名單'!C71)</f>
        <v/>
      </c>
      <c r="D71" s="120">
        <f>IF(A71="","",'3.員工名單'!D71)</f>
        <v/>
      </c>
      <c r="E71" s="120">
        <f>IF(A71="","",COUNTIFS('4.個人職能盤點'!$A$2:$A$1486,A71,'4.個人職能盤點'!$K$2:$K$1486,"達標")+COUNTIFS('4.個人職能盤點'!$A$2:$A$1486,A71,'4.個人職能盤點'!$K$2:$K$1486,"超越")+COUNTIFS('4.個人職能盤點'!$A$2:$A$1486,A71,'4.個人職能盤點'!$K$2:$K$1486,"待發展"))</f>
        <v/>
      </c>
      <c r="F71" s="120">
        <f>IF(A71="","",COUNTIFS('4.個人職能盤點'!$A$2:$A$1486,A71,'4.個人職能盤點'!$K$2:$K$1486,"達標")+COUNTIFS('4.個人職能盤點'!$A$2:$A$1486,A71,'4.個人職能盤點'!$K$2:$K$1486,"超越"))</f>
        <v/>
      </c>
      <c r="G71" s="120">
        <f>IF(A71="","",COUNTIFS('4.個人職能盤點'!$A$2:$A$1486,A71,'4.個人職能盤點'!$K$2:$K$1486,"待發展"))</f>
        <v/>
      </c>
      <c r="H71" s="121">
        <f>IF(OR(A71="",E71=0),"",F71/E71)</f>
        <v/>
      </c>
      <c r="I71" s="122">
        <f>IF(OR(A71="",E71=0),"",IFERROR(AVERAGEIFS('4.個人職能盤點'!$J$2:$J$1486,'4.個人職能盤點'!$A$2:$A$1486,A71),""))</f>
        <v/>
      </c>
      <c r="J71" s="123">
        <f>IF(A71="","",IFERROR(AVERAGEIFS('4.個人職能盤點'!$I$2:$I$1486,'4.個人職能盤點'!$A$2:$A$1486,A71,'4.個人職能盤點'!$E$2:$E$1486,"核心職能",'4.個人職能盤點'!$G$2:$G$1486,"&gt;0"),"-"))</f>
        <v/>
      </c>
      <c r="K71" s="123">
        <f>IF(A71="","",IFERROR(AVERAGEIFS('4.個人職能盤點'!$I$2:$I$1486,'4.個人職能盤點'!$A$2:$A$1486,A71,'4.個人職能盤點'!$E$2:$E$1486,"管理職能",'4.個人職能盤點'!$G$2:$G$1486,"&gt;0"),"-"))</f>
        <v/>
      </c>
      <c r="L71" s="123">
        <f>IF(A71="","",IFERROR(AVERAGEIFS('4.個人職能盤點'!$I$2:$I$1486,'4.個人職能盤點'!$A$2:$A$1486,A71,'4.個人職能盤點'!$E$2:$E$1486,"專業職能",'4.個人職能盤點'!$G$2:$G$1486,"&gt;0"),"-"))</f>
        <v/>
      </c>
      <c r="M71" s="120">
        <f>IF(H71="","",IF(H71&gt;=0.9,"優秀",IF(H71&gt;=0.7,"符合期待","需加強發展")))</f>
        <v/>
      </c>
    </row>
    <row r="72" ht="15.75" customHeight="1" s="64">
      <c r="A72" s="120">
        <f>IF('3.員工名單'!A72="","",'3.員工名單'!A72)</f>
        <v/>
      </c>
      <c r="B72" s="120">
        <f>IF(A72="","",'3.員工名單'!B72)</f>
        <v/>
      </c>
      <c r="C72" s="120">
        <f>IF(A72="","",'3.員工名單'!C72)</f>
        <v/>
      </c>
      <c r="D72" s="120">
        <f>IF(A72="","",'3.員工名單'!D72)</f>
        <v/>
      </c>
      <c r="E72" s="120">
        <f>IF(A72="","",COUNTIFS('4.個人職能盤點'!$A$2:$A$1486,A72,'4.個人職能盤點'!$K$2:$K$1486,"達標")+COUNTIFS('4.個人職能盤點'!$A$2:$A$1486,A72,'4.個人職能盤點'!$K$2:$K$1486,"超越")+COUNTIFS('4.個人職能盤點'!$A$2:$A$1486,A72,'4.個人職能盤點'!$K$2:$K$1486,"待發展"))</f>
        <v/>
      </c>
      <c r="F72" s="120">
        <f>IF(A72="","",COUNTIFS('4.個人職能盤點'!$A$2:$A$1486,A72,'4.個人職能盤點'!$K$2:$K$1486,"達標")+COUNTIFS('4.個人職能盤點'!$A$2:$A$1486,A72,'4.個人職能盤點'!$K$2:$K$1486,"超越"))</f>
        <v/>
      </c>
      <c r="G72" s="120">
        <f>IF(A72="","",COUNTIFS('4.個人職能盤點'!$A$2:$A$1486,A72,'4.個人職能盤點'!$K$2:$K$1486,"待發展"))</f>
        <v/>
      </c>
      <c r="H72" s="121">
        <f>IF(OR(A72="",E72=0),"",F72/E72)</f>
        <v/>
      </c>
      <c r="I72" s="122">
        <f>IF(OR(A72="",E72=0),"",IFERROR(AVERAGEIFS('4.個人職能盤點'!$J$2:$J$1486,'4.個人職能盤點'!$A$2:$A$1486,A72),""))</f>
        <v/>
      </c>
      <c r="J72" s="123">
        <f>IF(A72="","",IFERROR(AVERAGEIFS('4.個人職能盤點'!$I$2:$I$1486,'4.個人職能盤點'!$A$2:$A$1486,A72,'4.個人職能盤點'!$E$2:$E$1486,"核心職能",'4.個人職能盤點'!$G$2:$G$1486,"&gt;0"),"-"))</f>
        <v/>
      </c>
      <c r="K72" s="123">
        <f>IF(A72="","",IFERROR(AVERAGEIFS('4.個人職能盤點'!$I$2:$I$1486,'4.個人職能盤點'!$A$2:$A$1486,A72,'4.個人職能盤點'!$E$2:$E$1486,"管理職能",'4.個人職能盤點'!$G$2:$G$1486,"&gt;0"),"-"))</f>
        <v/>
      </c>
      <c r="L72" s="123">
        <f>IF(A72="","",IFERROR(AVERAGEIFS('4.個人職能盤點'!$I$2:$I$1486,'4.個人職能盤點'!$A$2:$A$1486,A72,'4.個人職能盤點'!$E$2:$E$1486,"專業職能",'4.個人職能盤點'!$G$2:$G$1486,"&gt;0"),"-"))</f>
        <v/>
      </c>
      <c r="M72" s="120">
        <f>IF(H72="","",IF(H72&gt;=0.9,"優秀",IF(H72&gt;=0.7,"符合期待","需加強發展")))</f>
        <v/>
      </c>
    </row>
    <row r="73" ht="15.75" customHeight="1" s="64">
      <c r="A73" s="120">
        <f>IF('3.員工名單'!A73="","",'3.員工名單'!A73)</f>
        <v/>
      </c>
      <c r="B73" s="120">
        <f>IF(A73="","",'3.員工名單'!B73)</f>
        <v/>
      </c>
      <c r="C73" s="120">
        <f>IF(A73="","",'3.員工名單'!C73)</f>
        <v/>
      </c>
      <c r="D73" s="120">
        <f>IF(A73="","",'3.員工名單'!D73)</f>
        <v/>
      </c>
      <c r="E73" s="120">
        <f>IF(A73="","",COUNTIFS('4.個人職能盤點'!$A$2:$A$1486,A73,'4.個人職能盤點'!$K$2:$K$1486,"達標")+COUNTIFS('4.個人職能盤點'!$A$2:$A$1486,A73,'4.個人職能盤點'!$K$2:$K$1486,"超越")+COUNTIFS('4.個人職能盤點'!$A$2:$A$1486,A73,'4.個人職能盤點'!$K$2:$K$1486,"待發展"))</f>
        <v/>
      </c>
      <c r="F73" s="120">
        <f>IF(A73="","",COUNTIFS('4.個人職能盤點'!$A$2:$A$1486,A73,'4.個人職能盤點'!$K$2:$K$1486,"達標")+COUNTIFS('4.個人職能盤點'!$A$2:$A$1486,A73,'4.個人職能盤點'!$K$2:$K$1486,"超越"))</f>
        <v/>
      </c>
      <c r="G73" s="120">
        <f>IF(A73="","",COUNTIFS('4.個人職能盤點'!$A$2:$A$1486,A73,'4.個人職能盤點'!$K$2:$K$1486,"待發展"))</f>
        <v/>
      </c>
      <c r="H73" s="121">
        <f>IF(OR(A73="",E73=0),"",F73/E73)</f>
        <v/>
      </c>
      <c r="I73" s="122">
        <f>IF(OR(A73="",E73=0),"",IFERROR(AVERAGEIFS('4.個人職能盤點'!$J$2:$J$1486,'4.個人職能盤點'!$A$2:$A$1486,A73),""))</f>
        <v/>
      </c>
      <c r="J73" s="123">
        <f>IF(A73="","",IFERROR(AVERAGEIFS('4.個人職能盤點'!$I$2:$I$1486,'4.個人職能盤點'!$A$2:$A$1486,A73,'4.個人職能盤點'!$E$2:$E$1486,"核心職能",'4.個人職能盤點'!$G$2:$G$1486,"&gt;0"),"-"))</f>
        <v/>
      </c>
      <c r="K73" s="123">
        <f>IF(A73="","",IFERROR(AVERAGEIFS('4.個人職能盤點'!$I$2:$I$1486,'4.個人職能盤點'!$A$2:$A$1486,A73,'4.個人職能盤點'!$E$2:$E$1486,"管理職能",'4.個人職能盤點'!$G$2:$G$1486,"&gt;0"),"-"))</f>
        <v/>
      </c>
      <c r="L73" s="123">
        <f>IF(A73="","",IFERROR(AVERAGEIFS('4.個人職能盤點'!$I$2:$I$1486,'4.個人職能盤點'!$A$2:$A$1486,A73,'4.個人職能盤點'!$E$2:$E$1486,"專業職能",'4.個人職能盤點'!$G$2:$G$1486,"&gt;0"),"-"))</f>
        <v/>
      </c>
      <c r="M73" s="120">
        <f>IF(H73="","",IF(H73&gt;=0.9,"優秀",IF(H73&gt;=0.7,"符合期待","需加強發展")))</f>
        <v/>
      </c>
    </row>
    <row r="74" ht="15.75" customHeight="1" s="64">
      <c r="A74" s="120">
        <f>IF('3.員工名單'!A74="","",'3.員工名單'!A74)</f>
        <v/>
      </c>
      <c r="B74" s="120">
        <f>IF(A74="","",'3.員工名單'!B74)</f>
        <v/>
      </c>
      <c r="C74" s="120">
        <f>IF(A74="","",'3.員工名單'!C74)</f>
        <v/>
      </c>
      <c r="D74" s="120">
        <f>IF(A74="","",'3.員工名單'!D74)</f>
        <v/>
      </c>
      <c r="E74" s="120">
        <f>IF(A74="","",COUNTIFS('4.個人職能盤點'!$A$2:$A$1486,A74,'4.個人職能盤點'!$K$2:$K$1486,"達標")+COUNTIFS('4.個人職能盤點'!$A$2:$A$1486,A74,'4.個人職能盤點'!$K$2:$K$1486,"超越")+COUNTIFS('4.個人職能盤點'!$A$2:$A$1486,A74,'4.個人職能盤點'!$K$2:$K$1486,"待發展"))</f>
        <v/>
      </c>
      <c r="F74" s="120">
        <f>IF(A74="","",COUNTIFS('4.個人職能盤點'!$A$2:$A$1486,A74,'4.個人職能盤點'!$K$2:$K$1486,"達標")+COUNTIFS('4.個人職能盤點'!$A$2:$A$1486,A74,'4.個人職能盤點'!$K$2:$K$1486,"超越"))</f>
        <v/>
      </c>
      <c r="G74" s="120">
        <f>IF(A74="","",COUNTIFS('4.個人職能盤點'!$A$2:$A$1486,A74,'4.個人職能盤點'!$K$2:$K$1486,"待發展"))</f>
        <v/>
      </c>
      <c r="H74" s="121">
        <f>IF(OR(A74="",E74=0),"",F74/E74)</f>
        <v/>
      </c>
      <c r="I74" s="122">
        <f>IF(OR(A74="",E74=0),"",IFERROR(AVERAGEIFS('4.個人職能盤點'!$J$2:$J$1486,'4.個人職能盤點'!$A$2:$A$1486,A74),""))</f>
        <v/>
      </c>
      <c r="J74" s="123">
        <f>IF(A74="","",IFERROR(AVERAGEIFS('4.個人職能盤點'!$I$2:$I$1486,'4.個人職能盤點'!$A$2:$A$1486,A74,'4.個人職能盤點'!$E$2:$E$1486,"核心職能",'4.個人職能盤點'!$G$2:$G$1486,"&gt;0"),"-"))</f>
        <v/>
      </c>
      <c r="K74" s="123">
        <f>IF(A74="","",IFERROR(AVERAGEIFS('4.個人職能盤點'!$I$2:$I$1486,'4.個人職能盤點'!$A$2:$A$1486,A74,'4.個人職能盤點'!$E$2:$E$1486,"管理職能",'4.個人職能盤點'!$G$2:$G$1486,"&gt;0"),"-"))</f>
        <v/>
      </c>
      <c r="L74" s="123">
        <f>IF(A74="","",IFERROR(AVERAGEIFS('4.個人職能盤點'!$I$2:$I$1486,'4.個人職能盤點'!$A$2:$A$1486,A74,'4.個人職能盤點'!$E$2:$E$1486,"專業職能",'4.個人職能盤點'!$G$2:$G$1486,"&gt;0"),"-"))</f>
        <v/>
      </c>
      <c r="M74" s="120">
        <f>IF(H74="","",IF(H74&gt;=0.9,"優秀",IF(H74&gt;=0.7,"符合期待","需加強發展")))</f>
        <v/>
      </c>
    </row>
    <row r="75" ht="15.75" customHeight="1" s="64">
      <c r="A75" s="120">
        <f>IF('3.員工名單'!A75="","",'3.員工名單'!A75)</f>
        <v/>
      </c>
      <c r="B75" s="120">
        <f>IF(A75="","",'3.員工名單'!B75)</f>
        <v/>
      </c>
      <c r="C75" s="120">
        <f>IF(A75="","",'3.員工名單'!C75)</f>
        <v/>
      </c>
      <c r="D75" s="120">
        <f>IF(A75="","",'3.員工名單'!D75)</f>
        <v/>
      </c>
      <c r="E75" s="120">
        <f>IF(A75="","",COUNTIFS('4.個人職能盤點'!$A$2:$A$1486,A75,'4.個人職能盤點'!$K$2:$K$1486,"達標")+COUNTIFS('4.個人職能盤點'!$A$2:$A$1486,A75,'4.個人職能盤點'!$K$2:$K$1486,"超越")+COUNTIFS('4.個人職能盤點'!$A$2:$A$1486,A75,'4.個人職能盤點'!$K$2:$K$1486,"待發展"))</f>
        <v/>
      </c>
      <c r="F75" s="120">
        <f>IF(A75="","",COUNTIFS('4.個人職能盤點'!$A$2:$A$1486,A75,'4.個人職能盤點'!$K$2:$K$1486,"達標")+COUNTIFS('4.個人職能盤點'!$A$2:$A$1486,A75,'4.個人職能盤點'!$K$2:$K$1486,"超越"))</f>
        <v/>
      </c>
      <c r="G75" s="120">
        <f>IF(A75="","",COUNTIFS('4.個人職能盤點'!$A$2:$A$1486,A75,'4.個人職能盤點'!$K$2:$K$1486,"待發展"))</f>
        <v/>
      </c>
      <c r="H75" s="121">
        <f>IF(OR(A75="",E75=0),"",F75/E75)</f>
        <v/>
      </c>
      <c r="I75" s="122">
        <f>IF(OR(A75="",E75=0),"",IFERROR(AVERAGEIFS('4.個人職能盤點'!$J$2:$J$1486,'4.個人職能盤點'!$A$2:$A$1486,A75),""))</f>
        <v/>
      </c>
      <c r="J75" s="123">
        <f>IF(A75="","",IFERROR(AVERAGEIFS('4.個人職能盤點'!$I$2:$I$1486,'4.個人職能盤點'!$A$2:$A$1486,A75,'4.個人職能盤點'!$E$2:$E$1486,"核心職能",'4.個人職能盤點'!$G$2:$G$1486,"&gt;0"),"-"))</f>
        <v/>
      </c>
      <c r="K75" s="123">
        <f>IF(A75="","",IFERROR(AVERAGEIFS('4.個人職能盤點'!$I$2:$I$1486,'4.個人職能盤點'!$A$2:$A$1486,A75,'4.個人職能盤點'!$E$2:$E$1486,"管理職能",'4.個人職能盤點'!$G$2:$G$1486,"&gt;0"),"-"))</f>
        <v/>
      </c>
      <c r="L75" s="123">
        <f>IF(A75="","",IFERROR(AVERAGEIFS('4.個人職能盤點'!$I$2:$I$1486,'4.個人職能盤點'!$A$2:$A$1486,A75,'4.個人職能盤點'!$E$2:$E$1486,"專業職能",'4.個人職能盤點'!$G$2:$G$1486,"&gt;0"),"-"))</f>
        <v/>
      </c>
      <c r="M75" s="120">
        <f>IF(H75="","",IF(H75&gt;=0.9,"優秀",IF(H75&gt;=0.7,"符合期待","需加強發展")))</f>
        <v/>
      </c>
    </row>
    <row r="76" ht="15.75" customHeight="1" s="64">
      <c r="A76" s="120">
        <f>IF('3.員工名單'!A76="","",'3.員工名單'!A76)</f>
        <v/>
      </c>
      <c r="B76" s="120">
        <f>IF(A76="","",'3.員工名單'!B76)</f>
        <v/>
      </c>
      <c r="C76" s="120">
        <f>IF(A76="","",'3.員工名單'!C76)</f>
        <v/>
      </c>
      <c r="D76" s="120">
        <f>IF(A76="","",'3.員工名單'!D76)</f>
        <v/>
      </c>
      <c r="E76" s="120">
        <f>IF(A76="","",COUNTIFS('4.個人職能盤點'!$A$2:$A$1486,A76,'4.個人職能盤點'!$K$2:$K$1486,"達標")+COUNTIFS('4.個人職能盤點'!$A$2:$A$1486,A76,'4.個人職能盤點'!$K$2:$K$1486,"超越")+COUNTIFS('4.個人職能盤點'!$A$2:$A$1486,A76,'4.個人職能盤點'!$K$2:$K$1486,"待發展"))</f>
        <v/>
      </c>
      <c r="F76" s="120">
        <f>IF(A76="","",COUNTIFS('4.個人職能盤點'!$A$2:$A$1486,A76,'4.個人職能盤點'!$K$2:$K$1486,"達標")+COUNTIFS('4.個人職能盤點'!$A$2:$A$1486,A76,'4.個人職能盤點'!$K$2:$K$1486,"超越"))</f>
        <v/>
      </c>
      <c r="G76" s="120">
        <f>IF(A76="","",COUNTIFS('4.個人職能盤點'!$A$2:$A$1486,A76,'4.個人職能盤點'!$K$2:$K$1486,"待發展"))</f>
        <v/>
      </c>
      <c r="H76" s="121">
        <f>IF(OR(A76="",E76=0),"",F76/E76)</f>
        <v/>
      </c>
      <c r="I76" s="122">
        <f>IF(OR(A76="",E76=0),"",IFERROR(AVERAGEIFS('4.個人職能盤點'!$J$2:$J$1486,'4.個人職能盤點'!$A$2:$A$1486,A76),""))</f>
        <v/>
      </c>
      <c r="J76" s="123">
        <f>IF(A76="","",IFERROR(AVERAGEIFS('4.個人職能盤點'!$I$2:$I$1486,'4.個人職能盤點'!$A$2:$A$1486,A76,'4.個人職能盤點'!$E$2:$E$1486,"核心職能",'4.個人職能盤點'!$G$2:$G$1486,"&gt;0"),"-"))</f>
        <v/>
      </c>
      <c r="K76" s="123">
        <f>IF(A76="","",IFERROR(AVERAGEIFS('4.個人職能盤點'!$I$2:$I$1486,'4.個人職能盤點'!$A$2:$A$1486,A76,'4.個人職能盤點'!$E$2:$E$1486,"管理職能",'4.個人職能盤點'!$G$2:$G$1486,"&gt;0"),"-"))</f>
        <v/>
      </c>
      <c r="L76" s="123">
        <f>IF(A76="","",IFERROR(AVERAGEIFS('4.個人職能盤點'!$I$2:$I$1486,'4.個人職能盤點'!$A$2:$A$1486,A76,'4.個人職能盤點'!$E$2:$E$1486,"專業職能",'4.個人職能盤點'!$G$2:$G$1486,"&gt;0"),"-"))</f>
        <v/>
      </c>
      <c r="M76" s="120">
        <f>IF(H76="","",IF(H76&gt;=0.9,"優秀",IF(H76&gt;=0.7,"符合期待","需加強發展")))</f>
        <v/>
      </c>
    </row>
    <row r="77" ht="15.75" customHeight="1" s="64">
      <c r="A77" s="120">
        <f>IF('3.員工名單'!A77="","",'3.員工名單'!A77)</f>
        <v/>
      </c>
      <c r="B77" s="120">
        <f>IF(A77="","",'3.員工名單'!B77)</f>
        <v/>
      </c>
      <c r="C77" s="120">
        <f>IF(A77="","",'3.員工名單'!C77)</f>
        <v/>
      </c>
      <c r="D77" s="120">
        <f>IF(A77="","",'3.員工名單'!D77)</f>
        <v/>
      </c>
      <c r="E77" s="120">
        <f>IF(A77="","",COUNTIFS('4.個人職能盤點'!$A$2:$A$1486,A77,'4.個人職能盤點'!$K$2:$K$1486,"達標")+COUNTIFS('4.個人職能盤點'!$A$2:$A$1486,A77,'4.個人職能盤點'!$K$2:$K$1486,"超越")+COUNTIFS('4.個人職能盤點'!$A$2:$A$1486,A77,'4.個人職能盤點'!$K$2:$K$1486,"待發展"))</f>
        <v/>
      </c>
      <c r="F77" s="120">
        <f>IF(A77="","",COUNTIFS('4.個人職能盤點'!$A$2:$A$1486,A77,'4.個人職能盤點'!$K$2:$K$1486,"達標")+COUNTIFS('4.個人職能盤點'!$A$2:$A$1486,A77,'4.個人職能盤點'!$K$2:$K$1486,"超越"))</f>
        <v/>
      </c>
      <c r="G77" s="120">
        <f>IF(A77="","",COUNTIFS('4.個人職能盤點'!$A$2:$A$1486,A77,'4.個人職能盤點'!$K$2:$K$1486,"待發展"))</f>
        <v/>
      </c>
      <c r="H77" s="121">
        <f>IF(OR(A77="",E77=0),"",F77/E77)</f>
        <v/>
      </c>
      <c r="I77" s="122">
        <f>IF(OR(A77="",E77=0),"",IFERROR(AVERAGEIFS('4.個人職能盤點'!$J$2:$J$1486,'4.個人職能盤點'!$A$2:$A$1486,A77),""))</f>
        <v/>
      </c>
      <c r="J77" s="123">
        <f>IF(A77="","",IFERROR(AVERAGEIFS('4.個人職能盤點'!$I$2:$I$1486,'4.個人職能盤點'!$A$2:$A$1486,A77,'4.個人職能盤點'!$E$2:$E$1486,"核心職能",'4.個人職能盤點'!$G$2:$G$1486,"&gt;0"),"-"))</f>
        <v/>
      </c>
      <c r="K77" s="123">
        <f>IF(A77="","",IFERROR(AVERAGEIFS('4.個人職能盤點'!$I$2:$I$1486,'4.個人職能盤點'!$A$2:$A$1486,A77,'4.個人職能盤點'!$E$2:$E$1486,"管理職能",'4.個人職能盤點'!$G$2:$G$1486,"&gt;0"),"-"))</f>
        <v/>
      </c>
      <c r="L77" s="123">
        <f>IF(A77="","",IFERROR(AVERAGEIFS('4.個人職能盤點'!$I$2:$I$1486,'4.個人職能盤點'!$A$2:$A$1486,A77,'4.個人職能盤點'!$E$2:$E$1486,"專業職能",'4.個人職能盤點'!$G$2:$G$1486,"&gt;0"),"-"))</f>
        <v/>
      </c>
      <c r="M77" s="120">
        <f>IF(H77="","",IF(H77&gt;=0.9,"優秀",IF(H77&gt;=0.7,"符合期待","需加強發展")))</f>
        <v/>
      </c>
    </row>
    <row r="78" ht="15.75" customHeight="1" s="64">
      <c r="A78" s="120">
        <f>IF('3.員工名單'!A78="","",'3.員工名單'!A78)</f>
        <v/>
      </c>
      <c r="B78" s="120">
        <f>IF(A78="","",'3.員工名單'!B78)</f>
        <v/>
      </c>
      <c r="C78" s="120">
        <f>IF(A78="","",'3.員工名單'!C78)</f>
        <v/>
      </c>
      <c r="D78" s="120">
        <f>IF(A78="","",'3.員工名單'!D78)</f>
        <v/>
      </c>
      <c r="E78" s="120">
        <f>IF(A78="","",COUNTIFS('4.個人職能盤點'!$A$2:$A$1486,A78,'4.個人職能盤點'!$K$2:$K$1486,"達標")+COUNTIFS('4.個人職能盤點'!$A$2:$A$1486,A78,'4.個人職能盤點'!$K$2:$K$1486,"超越")+COUNTIFS('4.個人職能盤點'!$A$2:$A$1486,A78,'4.個人職能盤點'!$K$2:$K$1486,"待發展"))</f>
        <v/>
      </c>
      <c r="F78" s="120">
        <f>IF(A78="","",COUNTIFS('4.個人職能盤點'!$A$2:$A$1486,A78,'4.個人職能盤點'!$K$2:$K$1486,"達標")+COUNTIFS('4.個人職能盤點'!$A$2:$A$1486,A78,'4.個人職能盤點'!$K$2:$K$1486,"超越"))</f>
        <v/>
      </c>
      <c r="G78" s="120">
        <f>IF(A78="","",COUNTIFS('4.個人職能盤點'!$A$2:$A$1486,A78,'4.個人職能盤點'!$K$2:$K$1486,"待發展"))</f>
        <v/>
      </c>
      <c r="H78" s="121">
        <f>IF(OR(A78="",E78=0),"",F78/E78)</f>
        <v/>
      </c>
      <c r="I78" s="122">
        <f>IF(OR(A78="",E78=0),"",IFERROR(AVERAGEIFS('4.個人職能盤點'!$J$2:$J$1486,'4.個人職能盤點'!$A$2:$A$1486,A78),""))</f>
        <v/>
      </c>
      <c r="J78" s="123">
        <f>IF(A78="","",IFERROR(AVERAGEIFS('4.個人職能盤點'!$I$2:$I$1486,'4.個人職能盤點'!$A$2:$A$1486,A78,'4.個人職能盤點'!$E$2:$E$1486,"核心職能",'4.個人職能盤點'!$G$2:$G$1486,"&gt;0"),"-"))</f>
        <v/>
      </c>
      <c r="K78" s="123">
        <f>IF(A78="","",IFERROR(AVERAGEIFS('4.個人職能盤點'!$I$2:$I$1486,'4.個人職能盤點'!$A$2:$A$1486,A78,'4.個人職能盤點'!$E$2:$E$1486,"管理職能",'4.個人職能盤點'!$G$2:$G$1486,"&gt;0"),"-"))</f>
        <v/>
      </c>
      <c r="L78" s="123">
        <f>IF(A78="","",IFERROR(AVERAGEIFS('4.個人職能盤點'!$I$2:$I$1486,'4.個人職能盤點'!$A$2:$A$1486,A78,'4.個人職能盤點'!$E$2:$E$1486,"專業職能",'4.個人職能盤點'!$G$2:$G$1486,"&gt;0"),"-"))</f>
        <v/>
      </c>
      <c r="M78" s="120">
        <f>IF(H78="","",IF(H78&gt;=0.9,"優秀",IF(H78&gt;=0.7,"符合期待","需加強發展")))</f>
        <v/>
      </c>
    </row>
    <row r="79" ht="15.75" customHeight="1" s="64">
      <c r="A79" s="120">
        <f>IF('3.員工名單'!A79="","",'3.員工名單'!A79)</f>
        <v/>
      </c>
      <c r="B79" s="120">
        <f>IF(A79="","",'3.員工名單'!B79)</f>
        <v/>
      </c>
      <c r="C79" s="120">
        <f>IF(A79="","",'3.員工名單'!C79)</f>
        <v/>
      </c>
      <c r="D79" s="120">
        <f>IF(A79="","",'3.員工名單'!D79)</f>
        <v/>
      </c>
      <c r="E79" s="120">
        <f>IF(A79="","",COUNTIFS('4.個人職能盤點'!$A$2:$A$1486,A79,'4.個人職能盤點'!$K$2:$K$1486,"達標")+COUNTIFS('4.個人職能盤點'!$A$2:$A$1486,A79,'4.個人職能盤點'!$K$2:$K$1486,"超越")+COUNTIFS('4.個人職能盤點'!$A$2:$A$1486,A79,'4.個人職能盤點'!$K$2:$K$1486,"待發展"))</f>
        <v/>
      </c>
      <c r="F79" s="120">
        <f>IF(A79="","",COUNTIFS('4.個人職能盤點'!$A$2:$A$1486,A79,'4.個人職能盤點'!$K$2:$K$1486,"達標")+COUNTIFS('4.個人職能盤點'!$A$2:$A$1486,A79,'4.個人職能盤點'!$K$2:$K$1486,"超越"))</f>
        <v/>
      </c>
      <c r="G79" s="120">
        <f>IF(A79="","",COUNTIFS('4.個人職能盤點'!$A$2:$A$1486,A79,'4.個人職能盤點'!$K$2:$K$1486,"待發展"))</f>
        <v/>
      </c>
      <c r="H79" s="121">
        <f>IF(OR(A79="",E79=0),"",F79/E79)</f>
        <v/>
      </c>
      <c r="I79" s="122">
        <f>IF(OR(A79="",E79=0),"",IFERROR(AVERAGEIFS('4.個人職能盤點'!$J$2:$J$1486,'4.個人職能盤點'!$A$2:$A$1486,A79),""))</f>
        <v/>
      </c>
      <c r="J79" s="123">
        <f>IF(A79="","",IFERROR(AVERAGEIFS('4.個人職能盤點'!$I$2:$I$1486,'4.個人職能盤點'!$A$2:$A$1486,A79,'4.個人職能盤點'!$E$2:$E$1486,"核心職能",'4.個人職能盤點'!$G$2:$G$1486,"&gt;0"),"-"))</f>
        <v/>
      </c>
      <c r="K79" s="123">
        <f>IF(A79="","",IFERROR(AVERAGEIFS('4.個人職能盤點'!$I$2:$I$1486,'4.個人職能盤點'!$A$2:$A$1486,A79,'4.個人職能盤點'!$E$2:$E$1486,"管理職能",'4.個人職能盤點'!$G$2:$G$1486,"&gt;0"),"-"))</f>
        <v/>
      </c>
      <c r="L79" s="123">
        <f>IF(A79="","",IFERROR(AVERAGEIFS('4.個人職能盤點'!$I$2:$I$1486,'4.個人職能盤點'!$A$2:$A$1486,A79,'4.個人職能盤點'!$E$2:$E$1486,"專業職能",'4.個人職能盤點'!$G$2:$G$1486,"&gt;0"),"-"))</f>
        <v/>
      </c>
      <c r="M79" s="120">
        <f>IF(H79="","",IF(H79&gt;=0.9,"優秀",IF(H79&gt;=0.7,"符合期待","需加強發展")))</f>
        <v/>
      </c>
    </row>
    <row r="80" ht="15.75" customHeight="1" s="64">
      <c r="A80" s="120">
        <f>IF('3.員工名單'!A80="","",'3.員工名單'!A80)</f>
        <v/>
      </c>
      <c r="B80" s="120">
        <f>IF(A80="","",'3.員工名單'!B80)</f>
        <v/>
      </c>
      <c r="C80" s="120">
        <f>IF(A80="","",'3.員工名單'!C80)</f>
        <v/>
      </c>
      <c r="D80" s="120">
        <f>IF(A80="","",'3.員工名單'!D80)</f>
        <v/>
      </c>
      <c r="E80" s="120">
        <f>IF(A80="","",COUNTIFS('4.個人職能盤點'!$A$2:$A$1486,A80,'4.個人職能盤點'!$K$2:$K$1486,"達標")+COUNTIFS('4.個人職能盤點'!$A$2:$A$1486,A80,'4.個人職能盤點'!$K$2:$K$1486,"超越")+COUNTIFS('4.個人職能盤點'!$A$2:$A$1486,A80,'4.個人職能盤點'!$K$2:$K$1486,"待發展"))</f>
        <v/>
      </c>
      <c r="F80" s="120">
        <f>IF(A80="","",COUNTIFS('4.個人職能盤點'!$A$2:$A$1486,A80,'4.個人職能盤點'!$K$2:$K$1486,"達標")+COUNTIFS('4.個人職能盤點'!$A$2:$A$1486,A80,'4.個人職能盤點'!$K$2:$K$1486,"超越"))</f>
        <v/>
      </c>
      <c r="G80" s="120">
        <f>IF(A80="","",COUNTIFS('4.個人職能盤點'!$A$2:$A$1486,A80,'4.個人職能盤點'!$K$2:$K$1486,"待發展"))</f>
        <v/>
      </c>
      <c r="H80" s="121">
        <f>IF(OR(A80="",E80=0),"",F80/E80)</f>
        <v/>
      </c>
      <c r="I80" s="122">
        <f>IF(OR(A80="",E80=0),"",IFERROR(AVERAGEIFS('4.個人職能盤點'!$J$2:$J$1486,'4.個人職能盤點'!$A$2:$A$1486,A80),""))</f>
        <v/>
      </c>
      <c r="J80" s="123">
        <f>IF(A80="","",IFERROR(AVERAGEIFS('4.個人職能盤點'!$I$2:$I$1486,'4.個人職能盤點'!$A$2:$A$1486,A80,'4.個人職能盤點'!$E$2:$E$1486,"核心職能",'4.個人職能盤點'!$G$2:$G$1486,"&gt;0"),"-"))</f>
        <v/>
      </c>
      <c r="K80" s="123">
        <f>IF(A80="","",IFERROR(AVERAGEIFS('4.個人職能盤點'!$I$2:$I$1486,'4.個人職能盤點'!$A$2:$A$1486,A80,'4.個人職能盤點'!$E$2:$E$1486,"管理職能",'4.個人職能盤點'!$G$2:$G$1486,"&gt;0"),"-"))</f>
        <v/>
      </c>
      <c r="L80" s="123">
        <f>IF(A80="","",IFERROR(AVERAGEIFS('4.個人職能盤點'!$I$2:$I$1486,'4.個人職能盤點'!$A$2:$A$1486,A80,'4.個人職能盤點'!$E$2:$E$1486,"專業職能",'4.個人職能盤點'!$G$2:$G$1486,"&gt;0"),"-"))</f>
        <v/>
      </c>
      <c r="M80" s="120">
        <f>IF(H80="","",IF(H80&gt;=0.9,"優秀",IF(H80&gt;=0.7,"符合期待","需加強發展")))</f>
        <v/>
      </c>
    </row>
    <row r="81" ht="15.75" customHeight="1" s="64">
      <c r="A81" s="120">
        <f>IF('3.員工名單'!A81="","",'3.員工名單'!A81)</f>
        <v/>
      </c>
      <c r="B81" s="120">
        <f>IF(A81="","",'3.員工名單'!B81)</f>
        <v/>
      </c>
      <c r="C81" s="120">
        <f>IF(A81="","",'3.員工名單'!C81)</f>
        <v/>
      </c>
      <c r="D81" s="120">
        <f>IF(A81="","",'3.員工名單'!D81)</f>
        <v/>
      </c>
      <c r="E81" s="120">
        <f>IF(A81="","",COUNTIFS('4.個人職能盤點'!$A$2:$A$1486,A81,'4.個人職能盤點'!$K$2:$K$1486,"達標")+COUNTIFS('4.個人職能盤點'!$A$2:$A$1486,A81,'4.個人職能盤點'!$K$2:$K$1486,"超越")+COUNTIFS('4.個人職能盤點'!$A$2:$A$1486,A81,'4.個人職能盤點'!$K$2:$K$1486,"待發展"))</f>
        <v/>
      </c>
      <c r="F81" s="120">
        <f>IF(A81="","",COUNTIFS('4.個人職能盤點'!$A$2:$A$1486,A81,'4.個人職能盤點'!$K$2:$K$1486,"達標")+COUNTIFS('4.個人職能盤點'!$A$2:$A$1486,A81,'4.個人職能盤點'!$K$2:$K$1486,"超越"))</f>
        <v/>
      </c>
      <c r="G81" s="120">
        <f>IF(A81="","",COUNTIFS('4.個人職能盤點'!$A$2:$A$1486,A81,'4.個人職能盤點'!$K$2:$K$1486,"待發展"))</f>
        <v/>
      </c>
      <c r="H81" s="121">
        <f>IF(OR(A81="",E81=0),"",F81/E81)</f>
        <v/>
      </c>
      <c r="I81" s="122">
        <f>IF(OR(A81="",E81=0),"",IFERROR(AVERAGEIFS('4.個人職能盤點'!$J$2:$J$1486,'4.個人職能盤點'!$A$2:$A$1486,A81),""))</f>
        <v/>
      </c>
      <c r="J81" s="123">
        <f>IF(A81="","",IFERROR(AVERAGEIFS('4.個人職能盤點'!$I$2:$I$1486,'4.個人職能盤點'!$A$2:$A$1486,A81,'4.個人職能盤點'!$E$2:$E$1486,"核心職能",'4.個人職能盤點'!$G$2:$G$1486,"&gt;0"),"-"))</f>
        <v/>
      </c>
      <c r="K81" s="123">
        <f>IF(A81="","",IFERROR(AVERAGEIFS('4.個人職能盤點'!$I$2:$I$1486,'4.個人職能盤點'!$A$2:$A$1486,A81,'4.個人職能盤點'!$E$2:$E$1486,"管理職能",'4.個人職能盤點'!$G$2:$G$1486,"&gt;0"),"-"))</f>
        <v/>
      </c>
      <c r="L81" s="123">
        <f>IF(A81="","",IFERROR(AVERAGEIFS('4.個人職能盤點'!$I$2:$I$1486,'4.個人職能盤點'!$A$2:$A$1486,A81,'4.個人職能盤點'!$E$2:$E$1486,"專業職能",'4.個人職能盤點'!$G$2:$G$1486,"&gt;0"),"-"))</f>
        <v/>
      </c>
      <c r="M81" s="120">
        <f>IF(H81="","",IF(H81&gt;=0.9,"優秀",IF(H81&gt;=0.7,"符合期待","需加強發展")))</f>
        <v/>
      </c>
    </row>
    <row r="82" ht="15.75" customHeight="1" s="64">
      <c r="A82" s="120">
        <f>IF('3.員工名單'!A82="","",'3.員工名單'!A82)</f>
        <v/>
      </c>
      <c r="B82" s="120">
        <f>IF(A82="","",'3.員工名單'!B82)</f>
        <v/>
      </c>
      <c r="C82" s="120">
        <f>IF(A82="","",'3.員工名單'!C82)</f>
        <v/>
      </c>
      <c r="D82" s="120">
        <f>IF(A82="","",'3.員工名單'!D82)</f>
        <v/>
      </c>
      <c r="E82" s="120">
        <f>IF(A82="","",COUNTIFS('4.個人職能盤點'!$A$2:$A$1486,A82,'4.個人職能盤點'!$K$2:$K$1486,"達標")+COUNTIFS('4.個人職能盤點'!$A$2:$A$1486,A82,'4.個人職能盤點'!$K$2:$K$1486,"超越")+COUNTIFS('4.個人職能盤點'!$A$2:$A$1486,A82,'4.個人職能盤點'!$K$2:$K$1486,"待發展"))</f>
        <v/>
      </c>
      <c r="F82" s="120">
        <f>IF(A82="","",COUNTIFS('4.個人職能盤點'!$A$2:$A$1486,A82,'4.個人職能盤點'!$K$2:$K$1486,"達標")+COUNTIFS('4.個人職能盤點'!$A$2:$A$1486,A82,'4.個人職能盤點'!$K$2:$K$1486,"超越"))</f>
        <v/>
      </c>
      <c r="G82" s="120">
        <f>IF(A82="","",COUNTIFS('4.個人職能盤點'!$A$2:$A$1486,A82,'4.個人職能盤點'!$K$2:$K$1486,"待發展"))</f>
        <v/>
      </c>
      <c r="H82" s="121">
        <f>IF(OR(A82="",E82=0),"",F82/E82)</f>
        <v/>
      </c>
      <c r="I82" s="122">
        <f>IF(OR(A82="",E82=0),"",IFERROR(AVERAGEIFS('4.個人職能盤點'!$J$2:$J$1486,'4.個人職能盤點'!$A$2:$A$1486,A82),""))</f>
        <v/>
      </c>
      <c r="J82" s="123">
        <f>IF(A82="","",IFERROR(AVERAGEIFS('4.個人職能盤點'!$I$2:$I$1486,'4.個人職能盤點'!$A$2:$A$1486,A82,'4.個人職能盤點'!$E$2:$E$1486,"核心職能",'4.個人職能盤點'!$G$2:$G$1486,"&gt;0"),"-"))</f>
        <v/>
      </c>
      <c r="K82" s="123">
        <f>IF(A82="","",IFERROR(AVERAGEIFS('4.個人職能盤點'!$I$2:$I$1486,'4.個人職能盤點'!$A$2:$A$1486,A82,'4.個人職能盤點'!$E$2:$E$1486,"管理職能",'4.個人職能盤點'!$G$2:$G$1486,"&gt;0"),"-"))</f>
        <v/>
      </c>
      <c r="L82" s="123">
        <f>IF(A82="","",IFERROR(AVERAGEIFS('4.個人職能盤點'!$I$2:$I$1486,'4.個人職能盤點'!$A$2:$A$1486,A82,'4.個人職能盤點'!$E$2:$E$1486,"專業職能",'4.個人職能盤點'!$G$2:$G$1486,"&gt;0"),"-"))</f>
        <v/>
      </c>
      <c r="M82" s="120">
        <f>IF(H82="","",IF(H82&gt;=0.9,"優秀",IF(H82&gt;=0.7,"符合期待","需加強發展")))</f>
        <v/>
      </c>
    </row>
    <row r="83" ht="15.75" customHeight="1" s="64">
      <c r="A83" s="120">
        <f>IF('3.員工名單'!A83="","",'3.員工名單'!A83)</f>
        <v/>
      </c>
      <c r="B83" s="120">
        <f>IF(A83="","",'3.員工名單'!B83)</f>
        <v/>
      </c>
      <c r="C83" s="120">
        <f>IF(A83="","",'3.員工名單'!C83)</f>
        <v/>
      </c>
      <c r="D83" s="120">
        <f>IF(A83="","",'3.員工名單'!D83)</f>
        <v/>
      </c>
      <c r="E83" s="120">
        <f>IF(A83="","",COUNTIFS('4.個人職能盤點'!$A$2:$A$1486,A83,'4.個人職能盤點'!$K$2:$K$1486,"達標")+COUNTIFS('4.個人職能盤點'!$A$2:$A$1486,A83,'4.個人職能盤點'!$K$2:$K$1486,"超越")+COUNTIFS('4.個人職能盤點'!$A$2:$A$1486,A83,'4.個人職能盤點'!$K$2:$K$1486,"待發展"))</f>
        <v/>
      </c>
      <c r="F83" s="120">
        <f>IF(A83="","",COUNTIFS('4.個人職能盤點'!$A$2:$A$1486,A83,'4.個人職能盤點'!$K$2:$K$1486,"達標")+COUNTIFS('4.個人職能盤點'!$A$2:$A$1486,A83,'4.個人職能盤點'!$K$2:$K$1486,"超越"))</f>
        <v/>
      </c>
      <c r="G83" s="120">
        <f>IF(A83="","",COUNTIFS('4.個人職能盤點'!$A$2:$A$1486,A83,'4.個人職能盤點'!$K$2:$K$1486,"待發展"))</f>
        <v/>
      </c>
      <c r="H83" s="121">
        <f>IF(OR(A83="",E83=0),"",F83/E83)</f>
        <v/>
      </c>
      <c r="I83" s="122">
        <f>IF(OR(A83="",E83=0),"",IFERROR(AVERAGEIFS('4.個人職能盤點'!$J$2:$J$1486,'4.個人職能盤點'!$A$2:$A$1486,A83),""))</f>
        <v/>
      </c>
      <c r="J83" s="123">
        <f>IF(A83="","",IFERROR(AVERAGEIFS('4.個人職能盤點'!$I$2:$I$1486,'4.個人職能盤點'!$A$2:$A$1486,A83,'4.個人職能盤點'!$E$2:$E$1486,"核心職能",'4.個人職能盤點'!$G$2:$G$1486,"&gt;0"),"-"))</f>
        <v/>
      </c>
      <c r="K83" s="123">
        <f>IF(A83="","",IFERROR(AVERAGEIFS('4.個人職能盤點'!$I$2:$I$1486,'4.個人職能盤點'!$A$2:$A$1486,A83,'4.個人職能盤點'!$E$2:$E$1486,"管理職能",'4.個人職能盤點'!$G$2:$G$1486,"&gt;0"),"-"))</f>
        <v/>
      </c>
      <c r="L83" s="123">
        <f>IF(A83="","",IFERROR(AVERAGEIFS('4.個人職能盤點'!$I$2:$I$1486,'4.個人職能盤點'!$A$2:$A$1486,A83,'4.個人職能盤點'!$E$2:$E$1486,"專業職能",'4.個人職能盤點'!$G$2:$G$1486,"&gt;0"),"-"))</f>
        <v/>
      </c>
      <c r="M83" s="120">
        <f>IF(H83="","",IF(H83&gt;=0.9,"優秀",IF(H83&gt;=0.7,"符合期待","需加強發展")))</f>
        <v/>
      </c>
    </row>
    <row r="84" ht="15.75" customHeight="1" s="64">
      <c r="A84" s="120">
        <f>IF('3.員工名單'!A84="","",'3.員工名單'!A84)</f>
        <v/>
      </c>
      <c r="B84" s="120">
        <f>IF(A84="","",'3.員工名單'!B84)</f>
        <v/>
      </c>
      <c r="C84" s="120">
        <f>IF(A84="","",'3.員工名單'!C84)</f>
        <v/>
      </c>
      <c r="D84" s="120">
        <f>IF(A84="","",'3.員工名單'!D84)</f>
        <v/>
      </c>
      <c r="E84" s="120">
        <f>IF(A84="","",COUNTIFS('4.個人職能盤點'!$A$2:$A$1486,A84,'4.個人職能盤點'!$K$2:$K$1486,"達標")+COUNTIFS('4.個人職能盤點'!$A$2:$A$1486,A84,'4.個人職能盤點'!$K$2:$K$1486,"超越")+COUNTIFS('4.個人職能盤點'!$A$2:$A$1486,A84,'4.個人職能盤點'!$K$2:$K$1486,"待發展"))</f>
        <v/>
      </c>
      <c r="F84" s="120">
        <f>IF(A84="","",COUNTIFS('4.個人職能盤點'!$A$2:$A$1486,A84,'4.個人職能盤點'!$K$2:$K$1486,"達標")+COUNTIFS('4.個人職能盤點'!$A$2:$A$1486,A84,'4.個人職能盤點'!$K$2:$K$1486,"超越"))</f>
        <v/>
      </c>
      <c r="G84" s="120">
        <f>IF(A84="","",COUNTIFS('4.個人職能盤點'!$A$2:$A$1486,A84,'4.個人職能盤點'!$K$2:$K$1486,"待發展"))</f>
        <v/>
      </c>
      <c r="H84" s="121">
        <f>IF(OR(A84="",E84=0),"",F84/E84)</f>
        <v/>
      </c>
      <c r="I84" s="122">
        <f>IF(OR(A84="",E84=0),"",IFERROR(AVERAGEIFS('4.個人職能盤點'!$J$2:$J$1486,'4.個人職能盤點'!$A$2:$A$1486,A84),""))</f>
        <v/>
      </c>
      <c r="J84" s="123">
        <f>IF(A84="","",IFERROR(AVERAGEIFS('4.個人職能盤點'!$I$2:$I$1486,'4.個人職能盤點'!$A$2:$A$1486,A84,'4.個人職能盤點'!$E$2:$E$1486,"核心職能",'4.個人職能盤點'!$G$2:$G$1486,"&gt;0"),"-"))</f>
        <v/>
      </c>
      <c r="K84" s="123">
        <f>IF(A84="","",IFERROR(AVERAGEIFS('4.個人職能盤點'!$I$2:$I$1486,'4.個人職能盤點'!$A$2:$A$1486,A84,'4.個人職能盤點'!$E$2:$E$1486,"管理職能",'4.個人職能盤點'!$G$2:$G$1486,"&gt;0"),"-"))</f>
        <v/>
      </c>
      <c r="L84" s="123">
        <f>IF(A84="","",IFERROR(AVERAGEIFS('4.個人職能盤點'!$I$2:$I$1486,'4.個人職能盤點'!$A$2:$A$1486,A84,'4.個人職能盤點'!$E$2:$E$1486,"專業職能",'4.個人職能盤點'!$G$2:$G$1486,"&gt;0"),"-"))</f>
        <v/>
      </c>
      <c r="M84" s="120">
        <f>IF(H84="","",IF(H84&gt;=0.9,"優秀",IF(H84&gt;=0.7,"符合期待","需加強發展")))</f>
        <v/>
      </c>
    </row>
    <row r="85" ht="15.75" customHeight="1" s="64">
      <c r="A85" s="120">
        <f>IF('3.員工名單'!A85="","",'3.員工名單'!A85)</f>
        <v/>
      </c>
      <c r="B85" s="120">
        <f>IF(A85="","",'3.員工名單'!B85)</f>
        <v/>
      </c>
      <c r="C85" s="120">
        <f>IF(A85="","",'3.員工名單'!C85)</f>
        <v/>
      </c>
      <c r="D85" s="120">
        <f>IF(A85="","",'3.員工名單'!D85)</f>
        <v/>
      </c>
      <c r="E85" s="120">
        <f>IF(A85="","",COUNTIFS('4.個人職能盤點'!$A$2:$A$1486,A85,'4.個人職能盤點'!$K$2:$K$1486,"達標")+COUNTIFS('4.個人職能盤點'!$A$2:$A$1486,A85,'4.個人職能盤點'!$K$2:$K$1486,"超越")+COUNTIFS('4.個人職能盤點'!$A$2:$A$1486,A85,'4.個人職能盤點'!$K$2:$K$1486,"待發展"))</f>
        <v/>
      </c>
      <c r="F85" s="120">
        <f>IF(A85="","",COUNTIFS('4.個人職能盤點'!$A$2:$A$1486,A85,'4.個人職能盤點'!$K$2:$K$1486,"達標")+COUNTIFS('4.個人職能盤點'!$A$2:$A$1486,A85,'4.個人職能盤點'!$K$2:$K$1486,"超越"))</f>
        <v/>
      </c>
      <c r="G85" s="120">
        <f>IF(A85="","",COUNTIFS('4.個人職能盤點'!$A$2:$A$1486,A85,'4.個人職能盤點'!$K$2:$K$1486,"待發展"))</f>
        <v/>
      </c>
      <c r="H85" s="121">
        <f>IF(OR(A85="",E85=0),"",F85/E85)</f>
        <v/>
      </c>
      <c r="I85" s="122">
        <f>IF(OR(A85="",E85=0),"",IFERROR(AVERAGEIFS('4.個人職能盤點'!$J$2:$J$1486,'4.個人職能盤點'!$A$2:$A$1486,A85),""))</f>
        <v/>
      </c>
      <c r="J85" s="123">
        <f>IF(A85="","",IFERROR(AVERAGEIFS('4.個人職能盤點'!$I$2:$I$1486,'4.個人職能盤點'!$A$2:$A$1486,A85,'4.個人職能盤點'!$E$2:$E$1486,"核心職能",'4.個人職能盤點'!$G$2:$G$1486,"&gt;0"),"-"))</f>
        <v/>
      </c>
      <c r="K85" s="123">
        <f>IF(A85="","",IFERROR(AVERAGEIFS('4.個人職能盤點'!$I$2:$I$1486,'4.個人職能盤點'!$A$2:$A$1486,A85,'4.個人職能盤點'!$E$2:$E$1486,"管理職能",'4.個人職能盤點'!$G$2:$G$1486,"&gt;0"),"-"))</f>
        <v/>
      </c>
      <c r="L85" s="123">
        <f>IF(A85="","",IFERROR(AVERAGEIFS('4.個人職能盤點'!$I$2:$I$1486,'4.個人職能盤點'!$A$2:$A$1486,A85,'4.個人職能盤點'!$E$2:$E$1486,"專業職能",'4.個人職能盤點'!$G$2:$G$1486,"&gt;0"),"-"))</f>
        <v/>
      </c>
      <c r="M85" s="120">
        <f>IF(H85="","",IF(H85&gt;=0.9,"優秀",IF(H85&gt;=0.7,"符合期待","需加強發展")))</f>
        <v/>
      </c>
    </row>
    <row r="86" ht="15.75" customHeight="1" s="64">
      <c r="A86" s="120">
        <f>IF('3.員工名單'!A86="","",'3.員工名單'!A86)</f>
        <v/>
      </c>
      <c r="B86" s="120">
        <f>IF(A86="","",'3.員工名單'!B86)</f>
        <v/>
      </c>
      <c r="C86" s="120">
        <f>IF(A86="","",'3.員工名單'!C86)</f>
        <v/>
      </c>
      <c r="D86" s="120">
        <f>IF(A86="","",'3.員工名單'!D86)</f>
        <v/>
      </c>
      <c r="E86" s="120">
        <f>IF(A86="","",COUNTIFS('4.個人職能盤點'!$A$2:$A$1486,A86,'4.個人職能盤點'!$K$2:$K$1486,"達標")+COUNTIFS('4.個人職能盤點'!$A$2:$A$1486,A86,'4.個人職能盤點'!$K$2:$K$1486,"超越")+COUNTIFS('4.個人職能盤點'!$A$2:$A$1486,A86,'4.個人職能盤點'!$K$2:$K$1486,"待發展"))</f>
        <v/>
      </c>
      <c r="F86" s="120">
        <f>IF(A86="","",COUNTIFS('4.個人職能盤點'!$A$2:$A$1486,A86,'4.個人職能盤點'!$K$2:$K$1486,"達標")+COUNTIFS('4.個人職能盤點'!$A$2:$A$1486,A86,'4.個人職能盤點'!$K$2:$K$1486,"超越"))</f>
        <v/>
      </c>
      <c r="G86" s="120">
        <f>IF(A86="","",COUNTIFS('4.個人職能盤點'!$A$2:$A$1486,A86,'4.個人職能盤點'!$K$2:$K$1486,"待發展"))</f>
        <v/>
      </c>
      <c r="H86" s="121">
        <f>IF(OR(A86="",E86=0),"",F86/E86)</f>
        <v/>
      </c>
      <c r="I86" s="122">
        <f>IF(OR(A86="",E86=0),"",IFERROR(AVERAGEIFS('4.個人職能盤點'!$J$2:$J$1486,'4.個人職能盤點'!$A$2:$A$1486,A86),""))</f>
        <v/>
      </c>
      <c r="J86" s="123">
        <f>IF(A86="","",IFERROR(AVERAGEIFS('4.個人職能盤點'!$I$2:$I$1486,'4.個人職能盤點'!$A$2:$A$1486,A86,'4.個人職能盤點'!$E$2:$E$1486,"核心職能",'4.個人職能盤點'!$G$2:$G$1486,"&gt;0"),"-"))</f>
        <v/>
      </c>
      <c r="K86" s="123">
        <f>IF(A86="","",IFERROR(AVERAGEIFS('4.個人職能盤點'!$I$2:$I$1486,'4.個人職能盤點'!$A$2:$A$1486,A86,'4.個人職能盤點'!$E$2:$E$1486,"管理職能",'4.個人職能盤點'!$G$2:$G$1486,"&gt;0"),"-"))</f>
        <v/>
      </c>
      <c r="L86" s="123">
        <f>IF(A86="","",IFERROR(AVERAGEIFS('4.個人職能盤點'!$I$2:$I$1486,'4.個人職能盤點'!$A$2:$A$1486,A86,'4.個人職能盤點'!$E$2:$E$1486,"專業職能",'4.個人職能盤點'!$G$2:$G$1486,"&gt;0"),"-"))</f>
        <v/>
      </c>
      <c r="M86" s="120">
        <f>IF(H86="","",IF(H86&gt;=0.9,"優秀",IF(H86&gt;=0.7,"符合期待","需加強發展")))</f>
        <v/>
      </c>
    </row>
    <row r="87" ht="15.75" customHeight="1" s="64">
      <c r="A87" s="120">
        <f>IF('3.員工名單'!A87="","",'3.員工名單'!A87)</f>
        <v/>
      </c>
      <c r="B87" s="120">
        <f>IF(A87="","",'3.員工名單'!B87)</f>
        <v/>
      </c>
      <c r="C87" s="120">
        <f>IF(A87="","",'3.員工名單'!C87)</f>
        <v/>
      </c>
      <c r="D87" s="120">
        <f>IF(A87="","",'3.員工名單'!D87)</f>
        <v/>
      </c>
      <c r="E87" s="120">
        <f>IF(A87="","",COUNTIFS('4.個人職能盤點'!$A$2:$A$1486,A87,'4.個人職能盤點'!$K$2:$K$1486,"達標")+COUNTIFS('4.個人職能盤點'!$A$2:$A$1486,A87,'4.個人職能盤點'!$K$2:$K$1486,"超越")+COUNTIFS('4.個人職能盤點'!$A$2:$A$1486,A87,'4.個人職能盤點'!$K$2:$K$1486,"待發展"))</f>
        <v/>
      </c>
      <c r="F87" s="120">
        <f>IF(A87="","",COUNTIFS('4.個人職能盤點'!$A$2:$A$1486,A87,'4.個人職能盤點'!$K$2:$K$1486,"達標")+COUNTIFS('4.個人職能盤點'!$A$2:$A$1486,A87,'4.個人職能盤點'!$K$2:$K$1486,"超越"))</f>
        <v/>
      </c>
      <c r="G87" s="120">
        <f>IF(A87="","",COUNTIFS('4.個人職能盤點'!$A$2:$A$1486,A87,'4.個人職能盤點'!$K$2:$K$1486,"待發展"))</f>
        <v/>
      </c>
      <c r="H87" s="121">
        <f>IF(OR(A87="",E87=0),"",F87/E87)</f>
        <v/>
      </c>
      <c r="I87" s="122">
        <f>IF(OR(A87="",E87=0),"",IFERROR(AVERAGEIFS('4.個人職能盤點'!$J$2:$J$1486,'4.個人職能盤點'!$A$2:$A$1486,A87),""))</f>
        <v/>
      </c>
      <c r="J87" s="123">
        <f>IF(A87="","",IFERROR(AVERAGEIFS('4.個人職能盤點'!$I$2:$I$1486,'4.個人職能盤點'!$A$2:$A$1486,A87,'4.個人職能盤點'!$E$2:$E$1486,"核心職能",'4.個人職能盤點'!$G$2:$G$1486,"&gt;0"),"-"))</f>
        <v/>
      </c>
      <c r="K87" s="123">
        <f>IF(A87="","",IFERROR(AVERAGEIFS('4.個人職能盤點'!$I$2:$I$1486,'4.個人職能盤點'!$A$2:$A$1486,A87,'4.個人職能盤點'!$E$2:$E$1486,"管理職能",'4.個人職能盤點'!$G$2:$G$1486,"&gt;0"),"-"))</f>
        <v/>
      </c>
      <c r="L87" s="123">
        <f>IF(A87="","",IFERROR(AVERAGEIFS('4.個人職能盤點'!$I$2:$I$1486,'4.個人職能盤點'!$A$2:$A$1486,A87,'4.個人職能盤點'!$E$2:$E$1486,"專業職能",'4.個人職能盤點'!$G$2:$G$1486,"&gt;0"),"-"))</f>
        <v/>
      </c>
      <c r="M87" s="120">
        <f>IF(H87="","",IF(H87&gt;=0.9,"優秀",IF(H87&gt;=0.7,"符合期待","需加強發展")))</f>
        <v/>
      </c>
    </row>
    <row r="88" ht="15.75" customHeight="1" s="64">
      <c r="A88" s="120">
        <f>IF('3.員工名單'!A88="","",'3.員工名單'!A88)</f>
        <v/>
      </c>
      <c r="B88" s="120">
        <f>IF(A88="","",'3.員工名單'!B88)</f>
        <v/>
      </c>
      <c r="C88" s="120">
        <f>IF(A88="","",'3.員工名單'!C88)</f>
        <v/>
      </c>
      <c r="D88" s="120">
        <f>IF(A88="","",'3.員工名單'!D88)</f>
        <v/>
      </c>
      <c r="E88" s="120">
        <f>IF(A88="","",COUNTIFS('4.個人職能盤點'!$A$2:$A$1486,A88,'4.個人職能盤點'!$K$2:$K$1486,"達標")+COUNTIFS('4.個人職能盤點'!$A$2:$A$1486,A88,'4.個人職能盤點'!$K$2:$K$1486,"超越")+COUNTIFS('4.個人職能盤點'!$A$2:$A$1486,A88,'4.個人職能盤點'!$K$2:$K$1486,"待發展"))</f>
        <v/>
      </c>
      <c r="F88" s="120">
        <f>IF(A88="","",COUNTIFS('4.個人職能盤點'!$A$2:$A$1486,A88,'4.個人職能盤點'!$K$2:$K$1486,"達標")+COUNTIFS('4.個人職能盤點'!$A$2:$A$1486,A88,'4.個人職能盤點'!$K$2:$K$1486,"超越"))</f>
        <v/>
      </c>
      <c r="G88" s="120">
        <f>IF(A88="","",COUNTIFS('4.個人職能盤點'!$A$2:$A$1486,A88,'4.個人職能盤點'!$K$2:$K$1486,"待發展"))</f>
        <v/>
      </c>
      <c r="H88" s="121">
        <f>IF(OR(A88="",E88=0),"",F88/E88)</f>
        <v/>
      </c>
      <c r="I88" s="122">
        <f>IF(OR(A88="",E88=0),"",IFERROR(AVERAGEIFS('4.個人職能盤點'!$J$2:$J$1486,'4.個人職能盤點'!$A$2:$A$1486,A88),""))</f>
        <v/>
      </c>
      <c r="J88" s="123">
        <f>IF(A88="","",IFERROR(AVERAGEIFS('4.個人職能盤點'!$I$2:$I$1486,'4.個人職能盤點'!$A$2:$A$1486,A88,'4.個人職能盤點'!$E$2:$E$1486,"核心職能",'4.個人職能盤點'!$G$2:$G$1486,"&gt;0"),"-"))</f>
        <v/>
      </c>
      <c r="K88" s="123">
        <f>IF(A88="","",IFERROR(AVERAGEIFS('4.個人職能盤點'!$I$2:$I$1486,'4.個人職能盤點'!$A$2:$A$1486,A88,'4.個人職能盤點'!$E$2:$E$1486,"管理職能",'4.個人職能盤點'!$G$2:$G$1486,"&gt;0"),"-"))</f>
        <v/>
      </c>
      <c r="L88" s="123">
        <f>IF(A88="","",IFERROR(AVERAGEIFS('4.個人職能盤點'!$I$2:$I$1486,'4.個人職能盤點'!$A$2:$A$1486,A88,'4.個人職能盤點'!$E$2:$E$1486,"專業職能",'4.個人職能盤點'!$G$2:$G$1486,"&gt;0"),"-"))</f>
        <v/>
      </c>
      <c r="M88" s="120">
        <f>IF(H88="","",IF(H88&gt;=0.9,"優秀",IF(H88&gt;=0.7,"符合期待","需加強發展")))</f>
        <v/>
      </c>
    </row>
    <row r="89" ht="15.75" customHeight="1" s="64">
      <c r="A89" s="120">
        <f>IF('3.員工名單'!A89="","",'3.員工名單'!A89)</f>
        <v/>
      </c>
      <c r="B89" s="120">
        <f>IF(A89="","",'3.員工名單'!B89)</f>
        <v/>
      </c>
      <c r="C89" s="120">
        <f>IF(A89="","",'3.員工名單'!C89)</f>
        <v/>
      </c>
      <c r="D89" s="120">
        <f>IF(A89="","",'3.員工名單'!D89)</f>
        <v/>
      </c>
      <c r="E89" s="120">
        <f>IF(A89="","",COUNTIFS('4.個人職能盤點'!$A$2:$A$1486,A89,'4.個人職能盤點'!$K$2:$K$1486,"達標")+COUNTIFS('4.個人職能盤點'!$A$2:$A$1486,A89,'4.個人職能盤點'!$K$2:$K$1486,"超越")+COUNTIFS('4.個人職能盤點'!$A$2:$A$1486,A89,'4.個人職能盤點'!$K$2:$K$1486,"待發展"))</f>
        <v/>
      </c>
      <c r="F89" s="120">
        <f>IF(A89="","",COUNTIFS('4.個人職能盤點'!$A$2:$A$1486,A89,'4.個人職能盤點'!$K$2:$K$1486,"達標")+COUNTIFS('4.個人職能盤點'!$A$2:$A$1486,A89,'4.個人職能盤點'!$K$2:$K$1486,"超越"))</f>
        <v/>
      </c>
      <c r="G89" s="120">
        <f>IF(A89="","",COUNTIFS('4.個人職能盤點'!$A$2:$A$1486,A89,'4.個人職能盤點'!$K$2:$K$1486,"待發展"))</f>
        <v/>
      </c>
      <c r="H89" s="121">
        <f>IF(OR(A89="",E89=0),"",F89/E89)</f>
        <v/>
      </c>
      <c r="I89" s="122">
        <f>IF(OR(A89="",E89=0),"",IFERROR(AVERAGEIFS('4.個人職能盤點'!$J$2:$J$1486,'4.個人職能盤點'!$A$2:$A$1486,A89),""))</f>
        <v/>
      </c>
      <c r="J89" s="123">
        <f>IF(A89="","",IFERROR(AVERAGEIFS('4.個人職能盤點'!$I$2:$I$1486,'4.個人職能盤點'!$A$2:$A$1486,A89,'4.個人職能盤點'!$E$2:$E$1486,"核心職能",'4.個人職能盤點'!$G$2:$G$1486,"&gt;0"),"-"))</f>
        <v/>
      </c>
      <c r="K89" s="123">
        <f>IF(A89="","",IFERROR(AVERAGEIFS('4.個人職能盤點'!$I$2:$I$1486,'4.個人職能盤點'!$A$2:$A$1486,A89,'4.個人職能盤點'!$E$2:$E$1486,"管理職能",'4.個人職能盤點'!$G$2:$G$1486,"&gt;0"),"-"))</f>
        <v/>
      </c>
      <c r="L89" s="123">
        <f>IF(A89="","",IFERROR(AVERAGEIFS('4.個人職能盤點'!$I$2:$I$1486,'4.個人職能盤點'!$A$2:$A$1486,A89,'4.個人職能盤點'!$E$2:$E$1486,"專業職能",'4.個人職能盤點'!$G$2:$G$1486,"&gt;0"),"-"))</f>
        <v/>
      </c>
      <c r="M89" s="120">
        <f>IF(H89="","",IF(H89&gt;=0.9,"優秀",IF(H89&gt;=0.7,"符合期待","需加強發展")))</f>
        <v/>
      </c>
    </row>
    <row r="90" ht="15.75" customHeight="1" s="64">
      <c r="A90" s="120">
        <f>IF('3.員工名單'!A90="","",'3.員工名單'!A90)</f>
        <v/>
      </c>
      <c r="B90" s="120">
        <f>IF(A90="","",'3.員工名單'!B90)</f>
        <v/>
      </c>
      <c r="C90" s="120">
        <f>IF(A90="","",'3.員工名單'!C90)</f>
        <v/>
      </c>
      <c r="D90" s="120">
        <f>IF(A90="","",'3.員工名單'!D90)</f>
        <v/>
      </c>
      <c r="E90" s="120">
        <f>IF(A90="","",COUNTIFS('4.個人職能盤點'!$A$2:$A$1486,A90,'4.個人職能盤點'!$K$2:$K$1486,"達標")+COUNTIFS('4.個人職能盤點'!$A$2:$A$1486,A90,'4.個人職能盤點'!$K$2:$K$1486,"超越")+COUNTIFS('4.個人職能盤點'!$A$2:$A$1486,A90,'4.個人職能盤點'!$K$2:$K$1486,"待發展"))</f>
        <v/>
      </c>
      <c r="F90" s="120">
        <f>IF(A90="","",COUNTIFS('4.個人職能盤點'!$A$2:$A$1486,A90,'4.個人職能盤點'!$K$2:$K$1486,"達標")+COUNTIFS('4.個人職能盤點'!$A$2:$A$1486,A90,'4.個人職能盤點'!$K$2:$K$1486,"超越"))</f>
        <v/>
      </c>
      <c r="G90" s="120">
        <f>IF(A90="","",COUNTIFS('4.個人職能盤點'!$A$2:$A$1486,A90,'4.個人職能盤點'!$K$2:$K$1486,"待發展"))</f>
        <v/>
      </c>
      <c r="H90" s="121">
        <f>IF(OR(A90="",E90=0),"",F90/E90)</f>
        <v/>
      </c>
      <c r="I90" s="122">
        <f>IF(OR(A90="",E90=0),"",IFERROR(AVERAGEIFS('4.個人職能盤點'!$J$2:$J$1486,'4.個人職能盤點'!$A$2:$A$1486,A90),""))</f>
        <v/>
      </c>
      <c r="J90" s="123">
        <f>IF(A90="","",IFERROR(AVERAGEIFS('4.個人職能盤點'!$I$2:$I$1486,'4.個人職能盤點'!$A$2:$A$1486,A90,'4.個人職能盤點'!$E$2:$E$1486,"核心職能",'4.個人職能盤點'!$G$2:$G$1486,"&gt;0"),"-"))</f>
        <v/>
      </c>
      <c r="K90" s="123">
        <f>IF(A90="","",IFERROR(AVERAGEIFS('4.個人職能盤點'!$I$2:$I$1486,'4.個人職能盤點'!$A$2:$A$1486,A90,'4.個人職能盤點'!$E$2:$E$1486,"管理職能",'4.個人職能盤點'!$G$2:$G$1486,"&gt;0"),"-"))</f>
        <v/>
      </c>
      <c r="L90" s="123">
        <f>IF(A90="","",IFERROR(AVERAGEIFS('4.個人職能盤點'!$I$2:$I$1486,'4.個人職能盤點'!$A$2:$A$1486,A90,'4.個人職能盤點'!$E$2:$E$1486,"專業職能",'4.個人職能盤點'!$G$2:$G$1486,"&gt;0"),"-"))</f>
        <v/>
      </c>
      <c r="M90" s="120">
        <f>IF(H90="","",IF(H90&gt;=0.9,"優秀",IF(H90&gt;=0.7,"符合期待","需加強發展")))</f>
        <v/>
      </c>
    </row>
    <row r="91" ht="15.75" customHeight="1" s="64">
      <c r="A91" s="120">
        <f>IF('3.員工名單'!A91="","",'3.員工名單'!A91)</f>
        <v/>
      </c>
      <c r="B91" s="120">
        <f>IF(A91="","",'3.員工名單'!B91)</f>
        <v/>
      </c>
      <c r="C91" s="120">
        <f>IF(A91="","",'3.員工名單'!C91)</f>
        <v/>
      </c>
      <c r="D91" s="120">
        <f>IF(A91="","",'3.員工名單'!D91)</f>
        <v/>
      </c>
      <c r="E91" s="120">
        <f>IF(A91="","",COUNTIFS('4.個人職能盤點'!$A$2:$A$1486,A91,'4.個人職能盤點'!$K$2:$K$1486,"達標")+COUNTIFS('4.個人職能盤點'!$A$2:$A$1486,A91,'4.個人職能盤點'!$K$2:$K$1486,"超越")+COUNTIFS('4.個人職能盤點'!$A$2:$A$1486,A91,'4.個人職能盤點'!$K$2:$K$1486,"待發展"))</f>
        <v/>
      </c>
      <c r="F91" s="120">
        <f>IF(A91="","",COUNTIFS('4.個人職能盤點'!$A$2:$A$1486,A91,'4.個人職能盤點'!$K$2:$K$1486,"達標")+COUNTIFS('4.個人職能盤點'!$A$2:$A$1486,A91,'4.個人職能盤點'!$K$2:$K$1486,"超越"))</f>
        <v/>
      </c>
      <c r="G91" s="120">
        <f>IF(A91="","",COUNTIFS('4.個人職能盤點'!$A$2:$A$1486,A91,'4.個人職能盤點'!$K$2:$K$1486,"待發展"))</f>
        <v/>
      </c>
      <c r="H91" s="121">
        <f>IF(OR(A91="",E91=0),"",F91/E91)</f>
        <v/>
      </c>
      <c r="I91" s="122">
        <f>IF(OR(A91="",E91=0),"",IFERROR(AVERAGEIFS('4.個人職能盤點'!$J$2:$J$1486,'4.個人職能盤點'!$A$2:$A$1486,A91),""))</f>
        <v/>
      </c>
      <c r="J91" s="123">
        <f>IF(A91="","",IFERROR(AVERAGEIFS('4.個人職能盤點'!$I$2:$I$1486,'4.個人職能盤點'!$A$2:$A$1486,A91,'4.個人職能盤點'!$E$2:$E$1486,"核心職能",'4.個人職能盤點'!$G$2:$G$1486,"&gt;0"),"-"))</f>
        <v/>
      </c>
      <c r="K91" s="123">
        <f>IF(A91="","",IFERROR(AVERAGEIFS('4.個人職能盤點'!$I$2:$I$1486,'4.個人職能盤點'!$A$2:$A$1486,A91,'4.個人職能盤點'!$E$2:$E$1486,"管理職能",'4.個人職能盤點'!$G$2:$G$1486,"&gt;0"),"-"))</f>
        <v/>
      </c>
      <c r="L91" s="123">
        <f>IF(A91="","",IFERROR(AVERAGEIFS('4.個人職能盤點'!$I$2:$I$1486,'4.個人職能盤點'!$A$2:$A$1486,A91,'4.個人職能盤點'!$E$2:$E$1486,"專業職能",'4.個人職能盤點'!$G$2:$G$1486,"&gt;0"),"-"))</f>
        <v/>
      </c>
      <c r="M91" s="120">
        <f>IF(H91="","",IF(H91&gt;=0.9,"優秀",IF(H91&gt;=0.7,"符合期待","需加強發展")))</f>
        <v/>
      </c>
    </row>
    <row r="92" ht="15.75" customHeight="1" s="64">
      <c r="A92" s="120">
        <f>IF('3.員工名單'!A92="","",'3.員工名單'!A92)</f>
        <v/>
      </c>
      <c r="B92" s="120">
        <f>IF(A92="","",'3.員工名單'!B92)</f>
        <v/>
      </c>
      <c r="C92" s="120">
        <f>IF(A92="","",'3.員工名單'!C92)</f>
        <v/>
      </c>
      <c r="D92" s="120">
        <f>IF(A92="","",'3.員工名單'!D92)</f>
        <v/>
      </c>
      <c r="E92" s="120">
        <f>IF(A92="","",COUNTIFS('4.個人職能盤點'!$A$2:$A$1486,A92,'4.個人職能盤點'!$K$2:$K$1486,"達標")+COUNTIFS('4.個人職能盤點'!$A$2:$A$1486,A92,'4.個人職能盤點'!$K$2:$K$1486,"超越")+COUNTIFS('4.個人職能盤點'!$A$2:$A$1486,A92,'4.個人職能盤點'!$K$2:$K$1486,"待發展"))</f>
        <v/>
      </c>
      <c r="F92" s="120">
        <f>IF(A92="","",COUNTIFS('4.個人職能盤點'!$A$2:$A$1486,A92,'4.個人職能盤點'!$K$2:$K$1486,"達標")+COUNTIFS('4.個人職能盤點'!$A$2:$A$1486,A92,'4.個人職能盤點'!$K$2:$K$1486,"超越"))</f>
        <v/>
      </c>
      <c r="G92" s="120">
        <f>IF(A92="","",COUNTIFS('4.個人職能盤點'!$A$2:$A$1486,A92,'4.個人職能盤點'!$K$2:$K$1486,"待發展"))</f>
        <v/>
      </c>
      <c r="H92" s="121">
        <f>IF(OR(A92="",E92=0),"",F92/E92)</f>
        <v/>
      </c>
      <c r="I92" s="122">
        <f>IF(OR(A92="",E92=0),"",IFERROR(AVERAGEIFS('4.個人職能盤點'!$J$2:$J$1486,'4.個人職能盤點'!$A$2:$A$1486,A92),""))</f>
        <v/>
      </c>
      <c r="J92" s="123">
        <f>IF(A92="","",IFERROR(AVERAGEIFS('4.個人職能盤點'!$I$2:$I$1486,'4.個人職能盤點'!$A$2:$A$1486,A92,'4.個人職能盤點'!$E$2:$E$1486,"核心職能",'4.個人職能盤點'!$G$2:$G$1486,"&gt;0"),"-"))</f>
        <v/>
      </c>
      <c r="K92" s="123">
        <f>IF(A92="","",IFERROR(AVERAGEIFS('4.個人職能盤點'!$I$2:$I$1486,'4.個人職能盤點'!$A$2:$A$1486,A92,'4.個人職能盤點'!$E$2:$E$1486,"管理職能",'4.個人職能盤點'!$G$2:$G$1486,"&gt;0"),"-"))</f>
        <v/>
      </c>
      <c r="L92" s="123">
        <f>IF(A92="","",IFERROR(AVERAGEIFS('4.個人職能盤點'!$I$2:$I$1486,'4.個人職能盤點'!$A$2:$A$1486,A92,'4.個人職能盤點'!$E$2:$E$1486,"專業職能",'4.個人職能盤點'!$G$2:$G$1486,"&gt;0"),"-"))</f>
        <v/>
      </c>
      <c r="M92" s="120">
        <f>IF(H92="","",IF(H92&gt;=0.9,"優秀",IF(H92&gt;=0.7,"符合期待","需加強發展")))</f>
        <v/>
      </c>
    </row>
    <row r="93" ht="15.75" customHeight="1" s="64">
      <c r="A93" s="120">
        <f>IF('3.員工名單'!A93="","",'3.員工名單'!A93)</f>
        <v/>
      </c>
      <c r="B93" s="120">
        <f>IF(A93="","",'3.員工名單'!B93)</f>
        <v/>
      </c>
      <c r="C93" s="120">
        <f>IF(A93="","",'3.員工名單'!C93)</f>
        <v/>
      </c>
      <c r="D93" s="120">
        <f>IF(A93="","",'3.員工名單'!D93)</f>
        <v/>
      </c>
      <c r="E93" s="120">
        <f>IF(A93="","",COUNTIFS('4.個人職能盤點'!$A$2:$A$1486,A93,'4.個人職能盤點'!$K$2:$K$1486,"達標")+COUNTIFS('4.個人職能盤點'!$A$2:$A$1486,A93,'4.個人職能盤點'!$K$2:$K$1486,"超越")+COUNTIFS('4.個人職能盤點'!$A$2:$A$1486,A93,'4.個人職能盤點'!$K$2:$K$1486,"待發展"))</f>
        <v/>
      </c>
      <c r="F93" s="120">
        <f>IF(A93="","",COUNTIFS('4.個人職能盤點'!$A$2:$A$1486,A93,'4.個人職能盤點'!$K$2:$K$1486,"達標")+COUNTIFS('4.個人職能盤點'!$A$2:$A$1486,A93,'4.個人職能盤點'!$K$2:$K$1486,"超越"))</f>
        <v/>
      </c>
      <c r="G93" s="120">
        <f>IF(A93="","",COUNTIFS('4.個人職能盤點'!$A$2:$A$1486,A93,'4.個人職能盤點'!$K$2:$K$1486,"待發展"))</f>
        <v/>
      </c>
      <c r="H93" s="121">
        <f>IF(OR(A93="",E93=0),"",F93/E93)</f>
        <v/>
      </c>
      <c r="I93" s="122">
        <f>IF(OR(A93="",E93=0),"",IFERROR(AVERAGEIFS('4.個人職能盤點'!$J$2:$J$1486,'4.個人職能盤點'!$A$2:$A$1486,A93),""))</f>
        <v/>
      </c>
      <c r="J93" s="123">
        <f>IF(A93="","",IFERROR(AVERAGEIFS('4.個人職能盤點'!$I$2:$I$1486,'4.個人職能盤點'!$A$2:$A$1486,A93,'4.個人職能盤點'!$E$2:$E$1486,"核心職能",'4.個人職能盤點'!$G$2:$G$1486,"&gt;0"),"-"))</f>
        <v/>
      </c>
      <c r="K93" s="123">
        <f>IF(A93="","",IFERROR(AVERAGEIFS('4.個人職能盤點'!$I$2:$I$1486,'4.個人職能盤點'!$A$2:$A$1486,A93,'4.個人職能盤點'!$E$2:$E$1486,"管理職能",'4.個人職能盤點'!$G$2:$G$1486,"&gt;0"),"-"))</f>
        <v/>
      </c>
      <c r="L93" s="123">
        <f>IF(A93="","",IFERROR(AVERAGEIFS('4.個人職能盤點'!$I$2:$I$1486,'4.個人職能盤點'!$A$2:$A$1486,A93,'4.個人職能盤點'!$E$2:$E$1486,"專業職能",'4.個人職能盤點'!$G$2:$G$1486,"&gt;0"),"-"))</f>
        <v/>
      </c>
      <c r="M93" s="120">
        <f>IF(H93="","",IF(H93&gt;=0.9,"優秀",IF(H93&gt;=0.7,"符合期待","需加強發展")))</f>
        <v/>
      </c>
    </row>
    <row r="94" ht="15.75" customHeight="1" s="64">
      <c r="A94" s="120">
        <f>IF('3.員工名單'!A94="","",'3.員工名單'!A94)</f>
        <v/>
      </c>
      <c r="B94" s="120">
        <f>IF(A94="","",'3.員工名單'!B94)</f>
        <v/>
      </c>
      <c r="C94" s="120">
        <f>IF(A94="","",'3.員工名單'!C94)</f>
        <v/>
      </c>
      <c r="D94" s="120">
        <f>IF(A94="","",'3.員工名單'!D94)</f>
        <v/>
      </c>
      <c r="E94" s="120">
        <f>IF(A94="","",COUNTIFS('4.個人職能盤點'!$A$2:$A$1486,A94,'4.個人職能盤點'!$K$2:$K$1486,"達標")+COUNTIFS('4.個人職能盤點'!$A$2:$A$1486,A94,'4.個人職能盤點'!$K$2:$K$1486,"超越")+COUNTIFS('4.個人職能盤點'!$A$2:$A$1486,A94,'4.個人職能盤點'!$K$2:$K$1486,"待發展"))</f>
        <v/>
      </c>
      <c r="F94" s="120">
        <f>IF(A94="","",COUNTIFS('4.個人職能盤點'!$A$2:$A$1486,A94,'4.個人職能盤點'!$K$2:$K$1486,"達標")+COUNTIFS('4.個人職能盤點'!$A$2:$A$1486,A94,'4.個人職能盤點'!$K$2:$K$1486,"超越"))</f>
        <v/>
      </c>
      <c r="G94" s="120">
        <f>IF(A94="","",COUNTIFS('4.個人職能盤點'!$A$2:$A$1486,A94,'4.個人職能盤點'!$K$2:$K$1486,"待發展"))</f>
        <v/>
      </c>
      <c r="H94" s="121">
        <f>IF(OR(A94="",E94=0),"",F94/E94)</f>
        <v/>
      </c>
      <c r="I94" s="122">
        <f>IF(OR(A94="",E94=0),"",IFERROR(AVERAGEIFS('4.個人職能盤點'!$J$2:$J$1486,'4.個人職能盤點'!$A$2:$A$1486,A94),""))</f>
        <v/>
      </c>
      <c r="J94" s="123">
        <f>IF(A94="","",IFERROR(AVERAGEIFS('4.個人職能盤點'!$I$2:$I$1486,'4.個人職能盤點'!$A$2:$A$1486,A94,'4.個人職能盤點'!$E$2:$E$1486,"核心職能",'4.個人職能盤點'!$G$2:$G$1486,"&gt;0"),"-"))</f>
        <v/>
      </c>
      <c r="K94" s="123">
        <f>IF(A94="","",IFERROR(AVERAGEIFS('4.個人職能盤點'!$I$2:$I$1486,'4.個人職能盤點'!$A$2:$A$1486,A94,'4.個人職能盤點'!$E$2:$E$1486,"管理職能",'4.個人職能盤點'!$G$2:$G$1486,"&gt;0"),"-"))</f>
        <v/>
      </c>
      <c r="L94" s="123">
        <f>IF(A94="","",IFERROR(AVERAGEIFS('4.個人職能盤點'!$I$2:$I$1486,'4.個人職能盤點'!$A$2:$A$1486,A94,'4.個人職能盤點'!$E$2:$E$1486,"專業職能",'4.個人職能盤點'!$G$2:$G$1486,"&gt;0"),"-"))</f>
        <v/>
      </c>
      <c r="M94" s="120">
        <f>IF(H94="","",IF(H94&gt;=0.9,"優秀",IF(H94&gt;=0.7,"符合期待","需加強發展")))</f>
        <v/>
      </c>
    </row>
    <row r="95" ht="15.75" customHeight="1" s="64">
      <c r="A95" s="120">
        <f>IF('3.員工名單'!A95="","",'3.員工名單'!A95)</f>
        <v/>
      </c>
      <c r="B95" s="120">
        <f>IF(A95="","",'3.員工名單'!B95)</f>
        <v/>
      </c>
      <c r="C95" s="120">
        <f>IF(A95="","",'3.員工名單'!C95)</f>
        <v/>
      </c>
      <c r="D95" s="120">
        <f>IF(A95="","",'3.員工名單'!D95)</f>
        <v/>
      </c>
      <c r="E95" s="120">
        <f>IF(A95="","",COUNTIFS('4.個人職能盤點'!$A$2:$A$1486,A95,'4.個人職能盤點'!$K$2:$K$1486,"達標")+COUNTIFS('4.個人職能盤點'!$A$2:$A$1486,A95,'4.個人職能盤點'!$K$2:$K$1486,"超越")+COUNTIFS('4.個人職能盤點'!$A$2:$A$1486,A95,'4.個人職能盤點'!$K$2:$K$1486,"待發展"))</f>
        <v/>
      </c>
      <c r="F95" s="120">
        <f>IF(A95="","",COUNTIFS('4.個人職能盤點'!$A$2:$A$1486,A95,'4.個人職能盤點'!$K$2:$K$1486,"達標")+COUNTIFS('4.個人職能盤點'!$A$2:$A$1486,A95,'4.個人職能盤點'!$K$2:$K$1486,"超越"))</f>
        <v/>
      </c>
      <c r="G95" s="120">
        <f>IF(A95="","",COUNTIFS('4.個人職能盤點'!$A$2:$A$1486,A95,'4.個人職能盤點'!$K$2:$K$1486,"待發展"))</f>
        <v/>
      </c>
      <c r="H95" s="121">
        <f>IF(OR(A95="",E95=0),"",F95/E95)</f>
        <v/>
      </c>
      <c r="I95" s="122">
        <f>IF(OR(A95="",E95=0),"",IFERROR(AVERAGEIFS('4.個人職能盤點'!$J$2:$J$1486,'4.個人職能盤點'!$A$2:$A$1486,A95),""))</f>
        <v/>
      </c>
      <c r="J95" s="123">
        <f>IF(A95="","",IFERROR(AVERAGEIFS('4.個人職能盤點'!$I$2:$I$1486,'4.個人職能盤點'!$A$2:$A$1486,A95,'4.個人職能盤點'!$E$2:$E$1486,"核心職能",'4.個人職能盤點'!$G$2:$G$1486,"&gt;0"),"-"))</f>
        <v/>
      </c>
      <c r="K95" s="123">
        <f>IF(A95="","",IFERROR(AVERAGEIFS('4.個人職能盤點'!$I$2:$I$1486,'4.個人職能盤點'!$A$2:$A$1486,A95,'4.個人職能盤點'!$E$2:$E$1486,"管理職能",'4.個人職能盤點'!$G$2:$G$1486,"&gt;0"),"-"))</f>
        <v/>
      </c>
      <c r="L95" s="123">
        <f>IF(A95="","",IFERROR(AVERAGEIFS('4.個人職能盤點'!$I$2:$I$1486,'4.個人職能盤點'!$A$2:$A$1486,A95,'4.個人職能盤點'!$E$2:$E$1486,"專業職能",'4.個人職能盤點'!$G$2:$G$1486,"&gt;0"),"-"))</f>
        <v/>
      </c>
      <c r="M95" s="120">
        <f>IF(H95="","",IF(H95&gt;=0.9,"優秀",IF(H95&gt;=0.7,"符合期待","需加強發展")))</f>
        <v/>
      </c>
    </row>
    <row r="96" ht="15.75" customHeight="1" s="64">
      <c r="A96" s="120">
        <f>IF('3.員工名單'!A96="","",'3.員工名單'!A96)</f>
        <v/>
      </c>
      <c r="B96" s="120">
        <f>IF(A96="","",'3.員工名單'!B96)</f>
        <v/>
      </c>
      <c r="C96" s="120">
        <f>IF(A96="","",'3.員工名單'!C96)</f>
        <v/>
      </c>
      <c r="D96" s="120">
        <f>IF(A96="","",'3.員工名單'!D96)</f>
        <v/>
      </c>
      <c r="E96" s="120">
        <f>IF(A96="","",COUNTIFS('4.個人職能盤點'!$A$2:$A$1486,A96,'4.個人職能盤點'!$K$2:$K$1486,"達標")+COUNTIFS('4.個人職能盤點'!$A$2:$A$1486,A96,'4.個人職能盤點'!$K$2:$K$1486,"超越")+COUNTIFS('4.個人職能盤點'!$A$2:$A$1486,A96,'4.個人職能盤點'!$K$2:$K$1486,"待發展"))</f>
        <v/>
      </c>
      <c r="F96" s="120">
        <f>IF(A96="","",COUNTIFS('4.個人職能盤點'!$A$2:$A$1486,A96,'4.個人職能盤點'!$K$2:$K$1486,"達標")+COUNTIFS('4.個人職能盤點'!$A$2:$A$1486,A96,'4.個人職能盤點'!$K$2:$K$1486,"超越"))</f>
        <v/>
      </c>
      <c r="G96" s="120">
        <f>IF(A96="","",COUNTIFS('4.個人職能盤點'!$A$2:$A$1486,A96,'4.個人職能盤點'!$K$2:$K$1486,"待發展"))</f>
        <v/>
      </c>
      <c r="H96" s="121">
        <f>IF(OR(A96="",E96=0),"",F96/E96)</f>
        <v/>
      </c>
      <c r="I96" s="122">
        <f>IF(OR(A96="",E96=0),"",IFERROR(AVERAGEIFS('4.個人職能盤點'!$J$2:$J$1486,'4.個人職能盤點'!$A$2:$A$1486,A96),""))</f>
        <v/>
      </c>
      <c r="J96" s="123">
        <f>IF(A96="","",IFERROR(AVERAGEIFS('4.個人職能盤點'!$I$2:$I$1486,'4.個人職能盤點'!$A$2:$A$1486,A96,'4.個人職能盤點'!$E$2:$E$1486,"核心職能",'4.個人職能盤點'!$G$2:$G$1486,"&gt;0"),"-"))</f>
        <v/>
      </c>
      <c r="K96" s="123">
        <f>IF(A96="","",IFERROR(AVERAGEIFS('4.個人職能盤點'!$I$2:$I$1486,'4.個人職能盤點'!$A$2:$A$1486,A96,'4.個人職能盤點'!$E$2:$E$1486,"管理職能",'4.個人職能盤點'!$G$2:$G$1486,"&gt;0"),"-"))</f>
        <v/>
      </c>
      <c r="L96" s="123">
        <f>IF(A96="","",IFERROR(AVERAGEIFS('4.個人職能盤點'!$I$2:$I$1486,'4.個人職能盤點'!$A$2:$A$1486,A96,'4.個人職能盤點'!$E$2:$E$1486,"專業職能",'4.個人職能盤點'!$G$2:$G$1486,"&gt;0"),"-"))</f>
        <v/>
      </c>
      <c r="M96" s="120">
        <f>IF(H96="","",IF(H96&gt;=0.9,"優秀",IF(H96&gt;=0.7,"符合期待","需加強發展")))</f>
        <v/>
      </c>
    </row>
    <row r="97" ht="15.75" customHeight="1" s="64">
      <c r="A97" s="120">
        <f>IF('3.員工名單'!A97="","",'3.員工名單'!A97)</f>
        <v/>
      </c>
      <c r="B97" s="120">
        <f>IF(A97="","",'3.員工名單'!B97)</f>
        <v/>
      </c>
      <c r="C97" s="120">
        <f>IF(A97="","",'3.員工名單'!C97)</f>
        <v/>
      </c>
      <c r="D97" s="120">
        <f>IF(A97="","",'3.員工名單'!D97)</f>
        <v/>
      </c>
      <c r="E97" s="120">
        <f>IF(A97="","",COUNTIFS('4.個人職能盤點'!$A$2:$A$1486,A97,'4.個人職能盤點'!$K$2:$K$1486,"達標")+COUNTIFS('4.個人職能盤點'!$A$2:$A$1486,A97,'4.個人職能盤點'!$K$2:$K$1486,"超越")+COUNTIFS('4.個人職能盤點'!$A$2:$A$1486,A97,'4.個人職能盤點'!$K$2:$K$1486,"待發展"))</f>
        <v/>
      </c>
      <c r="F97" s="120">
        <f>IF(A97="","",COUNTIFS('4.個人職能盤點'!$A$2:$A$1486,A97,'4.個人職能盤點'!$K$2:$K$1486,"達標")+COUNTIFS('4.個人職能盤點'!$A$2:$A$1486,A97,'4.個人職能盤點'!$K$2:$K$1486,"超越"))</f>
        <v/>
      </c>
      <c r="G97" s="120">
        <f>IF(A97="","",COUNTIFS('4.個人職能盤點'!$A$2:$A$1486,A97,'4.個人職能盤點'!$K$2:$K$1486,"待發展"))</f>
        <v/>
      </c>
      <c r="H97" s="121">
        <f>IF(OR(A97="",E97=0),"",F97/E97)</f>
        <v/>
      </c>
      <c r="I97" s="122">
        <f>IF(OR(A97="",E97=0),"",IFERROR(AVERAGEIFS('4.個人職能盤點'!$J$2:$J$1486,'4.個人職能盤點'!$A$2:$A$1486,A97),""))</f>
        <v/>
      </c>
      <c r="J97" s="123">
        <f>IF(A97="","",IFERROR(AVERAGEIFS('4.個人職能盤點'!$I$2:$I$1486,'4.個人職能盤點'!$A$2:$A$1486,A97,'4.個人職能盤點'!$E$2:$E$1486,"核心職能",'4.個人職能盤點'!$G$2:$G$1486,"&gt;0"),"-"))</f>
        <v/>
      </c>
      <c r="K97" s="123">
        <f>IF(A97="","",IFERROR(AVERAGEIFS('4.個人職能盤點'!$I$2:$I$1486,'4.個人職能盤點'!$A$2:$A$1486,A97,'4.個人職能盤點'!$E$2:$E$1486,"管理職能",'4.個人職能盤點'!$G$2:$G$1486,"&gt;0"),"-"))</f>
        <v/>
      </c>
      <c r="L97" s="123">
        <f>IF(A97="","",IFERROR(AVERAGEIFS('4.個人職能盤點'!$I$2:$I$1486,'4.個人職能盤點'!$A$2:$A$1486,A97,'4.個人職能盤點'!$E$2:$E$1486,"專業職能",'4.個人職能盤點'!$G$2:$G$1486,"&gt;0"),"-"))</f>
        <v/>
      </c>
      <c r="M97" s="120">
        <f>IF(H97="","",IF(H97&gt;=0.9,"優秀",IF(H97&gt;=0.7,"符合期待","需加強發展")))</f>
        <v/>
      </c>
    </row>
    <row r="98" ht="15.75" customHeight="1" s="64">
      <c r="A98" s="120">
        <f>IF('3.員工名單'!A98="","",'3.員工名單'!A98)</f>
        <v/>
      </c>
      <c r="B98" s="120">
        <f>IF(A98="","",'3.員工名單'!B98)</f>
        <v/>
      </c>
      <c r="C98" s="120">
        <f>IF(A98="","",'3.員工名單'!C98)</f>
        <v/>
      </c>
      <c r="D98" s="120">
        <f>IF(A98="","",'3.員工名單'!D98)</f>
        <v/>
      </c>
      <c r="E98" s="120">
        <f>IF(A98="","",COUNTIFS('4.個人職能盤點'!$A$2:$A$1486,A98,'4.個人職能盤點'!$K$2:$K$1486,"達標")+COUNTIFS('4.個人職能盤點'!$A$2:$A$1486,A98,'4.個人職能盤點'!$K$2:$K$1486,"超越")+COUNTIFS('4.個人職能盤點'!$A$2:$A$1486,A98,'4.個人職能盤點'!$K$2:$K$1486,"待發展"))</f>
        <v/>
      </c>
      <c r="F98" s="120">
        <f>IF(A98="","",COUNTIFS('4.個人職能盤點'!$A$2:$A$1486,A98,'4.個人職能盤點'!$K$2:$K$1486,"達標")+COUNTIFS('4.個人職能盤點'!$A$2:$A$1486,A98,'4.個人職能盤點'!$K$2:$K$1486,"超越"))</f>
        <v/>
      </c>
      <c r="G98" s="120">
        <f>IF(A98="","",COUNTIFS('4.個人職能盤點'!$A$2:$A$1486,A98,'4.個人職能盤點'!$K$2:$K$1486,"待發展"))</f>
        <v/>
      </c>
      <c r="H98" s="121">
        <f>IF(OR(A98="",E98=0),"",F98/E98)</f>
        <v/>
      </c>
      <c r="I98" s="122">
        <f>IF(OR(A98="",E98=0),"",IFERROR(AVERAGEIFS('4.個人職能盤點'!$J$2:$J$1486,'4.個人職能盤點'!$A$2:$A$1486,A98),""))</f>
        <v/>
      </c>
      <c r="J98" s="123">
        <f>IF(A98="","",IFERROR(AVERAGEIFS('4.個人職能盤點'!$I$2:$I$1486,'4.個人職能盤點'!$A$2:$A$1486,A98,'4.個人職能盤點'!$E$2:$E$1486,"核心職能",'4.個人職能盤點'!$G$2:$G$1486,"&gt;0"),"-"))</f>
        <v/>
      </c>
      <c r="K98" s="123">
        <f>IF(A98="","",IFERROR(AVERAGEIFS('4.個人職能盤點'!$I$2:$I$1486,'4.個人職能盤點'!$A$2:$A$1486,A98,'4.個人職能盤點'!$E$2:$E$1486,"管理職能",'4.個人職能盤點'!$G$2:$G$1486,"&gt;0"),"-"))</f>
        <v/>
      </c>
      <c r="L98" s="123">
        <f>IF(A98="","",IFERROR(AVERAGEIFS('4.個人職能盤點'!$I$2:$I$1486,'4.個人職能盤點'!$A$2:$A$1486,A98,'4.個人職能盤點'!$E$2:$E$1486,"專業職能",'4.個人職能盤點'!$G$2:$G$1486,"&gt;0"),"-"))</f>
        <v/>
      </c>
      <c r="M98" s="120">
        <f>IF(H98="","",IF(H98&gt;=0.9,"優秀",IF(H98&gt;=0.7,"符合期待","需加強發展")))</f>
        <v/>
      </c>
    </row>
    <row r="99" ht="15.75" customHeight="1" s="64">
      <c r="A99" s="120">
        <f>IF('3.員工名單'!A99="","",'3.員工名單'!A99)</f>
        <v/>
      </c>
      <c r="B99" s="120">
        <f>IF(A99="","",'3.員工名單'!B99)</f>
        <v/>
      </c>
      <c r="C99" s="120">
        <f>IF(A99="","",'3.員工名單'!C99)</f>
        <v/>
      </c>
      <c r="D99" s="120">
        <f>IF(A99="","",'3.員工名單'!D99)</f>
        <v/>
      </c>
      <c r="E99" s="120">
        <f>IF(A99="","",COUNTIFS('4.個人職能盤點'!$A$2:$A$1486,A99,'4.個人職能盤點'!$K$2:$K$1486,"達標")+COUNTIFS('4.個人職能盤點'!$A$2:$A$1486,A99,'4.個人職能盤點'!$K$2:$K$1486,"超越")+COUNTIFS('4.個人職能盤點'!$A$2:$A$1486,A99,'4.個人職能盤點'!$K$2:$K$1486,"待發展"))</f>
        <v/>
      </c>
      <c r="F99" s="120">
        <f>IF(A99="","",COUNTIFS('4.個人職能盤點'!$A$2:$A$1486,A99,'4.個人職能盤點'!$K$2:$K$1486,"達標")+COUNTIFS('4.個人職能盤點'!$A$2:$A$1486,A99,'4.個人職能盤點'!$K$2:$K$1486,"超越"))</f>
        <v/>
      </c>
      <c r="G99" s="120">
        <f>IF(A99="","",COUNTIFS('4.個人職能盤點'!$A$2:$A$1486,A99,'4.個人職能盤點'!$K$2:$K$1486,"待發展"))</f>
        <v/>
      </c>
      <c r="H99" s="121">
        <f>IF(OR(A99="",E99=0),"",F99/E99)</f>
        <v/>
      </c>
      <c r="I99" s="122">
        <f>IF(OR(A99="",E99=0),"",IFERROR(AVERAGEIFS('4.個人職能盤點'!$J$2:$J$1486,'4.個人職能盤點'!$A$2:$A$1486,A99),""))</f>
        <v/>
      </c>
      <c r="J99" s="123">
        <f>IF(A99="","",IFERROR(AVERAGEIFS('4.個人職能盤點'!$I$2:$I$1486,'4.個人職能盤點'!$A$2:$A$1486,A99,'4.個人職能盤點'!$E$2:$E$1486,"核心職能",'4.個人職能盤點'!$G$2:$G$1486,"&gt;0"),"-"))</f>
        <v/>
      </c>
      <c r="K99" s="123">
        <f>IF(A99="","",IFERROR(AVERAGEIFS('4.個人職能盤點'!$I$2:$I$1486,'4.個人職能盤點'!$A$2:$A$1486,A99,'4.個人職能盤點'!$E$2:$E$1486,"管理職能",'4.個人職能盤點'!$G$2:$G$1486,"&gt;0"),"-"))</f>
        <v/>
      </c>
      <c r="L99" s="123">
        <f>IF(A99="","",IFERROR(AVERAGEIFS('4.個人職能盤點'!$I$2:$I$1486,'4.個人職能盤點'!$A$2:$A$1486,A99,'4.個人職能盤點'!$E$2:$E$1486,"專業職能",'4.個人職能盤點'!$G$2:$G$1486,"&gt;0"),"-"))</f>
        <v/>
      </c>
      <c r="M99" s="120">
        <f>IF(H99="","",IF(H99&gt;=0.9,"優秀",IF(H99&gt;=0.7,"符合期待","需加強發展")))</f>
        <v/>
      </c>
    </row>
    <row r="100" ht="15.75" customHeight="1" s="64">
      <c r="A100" s="120">
        <f>IF('3.員工名單'!A100="","",'3.員工名單'!A100)</f>
        <v/>
      </c>
      <c r="B100" s="120">
        <f>IF(A100="","",'3.員工名單'!B100)</f>
        <v/>
      </c>
      <c r="C100" s="120">
        <f>IF(A100="","",'3.員工名單'!C100)</f>
        <v/>
      </c>
      <c r="D100" s="120">
        <f>IF(A100="","",'3.員工名單'!D100)</f>
        <v/>
      </c>
      <c r="E100" s="120">
        <f>IF(A100="","",COUNTIFS('4.個人職能盤點'!$A$2:$A$1486,A100,'4.個人職能盤點'!$K$2:$K$1486,"達標")+COUNTIFS('4.個人職能盤點'!$A$2:$A$1486,A100,'4.個人職能盤點'!$K$2:$K$1486,"超越")+COUNTIFS('4.個人職能盤點'!$A$2:$A$1486,A100,'4.個人職能盤點'!$K$2:$K$1486,"待發展"))</f>
        <v/>
      </c>
      <c r="F100" s="120">
        <f>IF(A100="","",COUNTIFS('4.個人職能盤點'!$A$2:$A$1486,A100,'4.個人職能盤點'!$K$2:$K$1486,"達標")+COUNTIFS('4.個人職能盤點'!$A$2:$A$1486,A100,'4.個人職能盤點'!$K$2:$K$1486,"超越"))</f>
        <v/>
      </c>
      <c r="G100" s="120">
        <f>IF(A100="","",COUNTIFS('4.個人職能盤點'!$A$2:$A$1486,A100,'4.個人職能盤點'!$K$2:$K$1486,"待發展"))</f>
        <v/>
      </c>
      <c r="H100" s="121">
        <f>IF(OR(A100="",E100=0),"",F100/E100)</f>
        <v/>
      </c>
      <c r="I100" s="122">
        <f>IF(OR(A100="",E100=0),"",IFERROR(AVERAGEIFS('4.個人職能盤點'!$J$2:$J$1486,'4.個人職能盤點'!$A$2:$A$1486,A100),""))</f>
        <v/>
      </c>
      <c r="J100" s="123">
        <f>IF(A100="","",IFERROR(AVERAGEIFS('4.個人職能盤點'!$I$2:$I$1486,'4.個人職能盤點'!$A$2:$A$1486,A100,'4.個人職能盤點'!$E$2:$E$1486,"核心職能",'4.個人職能盤點'!$G$2:$G$1486,"&gt;0"),"-"))</f>
        <v/>
      </c>
      <c r="K100" s="123">
        <f>IF(A100="","",IFERROR(AVERAGEIFS('4.個人職能盤點'!$I$2:$I$1486,'4.個人職能盤點'!$A$2:$A$1486,A100,'4.個人職能盤點'!$E$2:$E$1486,"管理職能",'4.個人職能盤點'!$G$2:$G$1486,"&gt;0"),"-"))</f>
        <v/>
      </c>
      <c r="L100" s="123">
        <f>IF(A100="","",IFERROR(AVERAGEIFS('4.個人職能盤點'!$I$2:$I$1486,'4.個人職能盤點'!$A$2:$A$1486,A100,'4.個人職能盤點'!$E$2:$E$1486,"專業職能",'4.個人職能盤點'!$G$2:$G$1486,"&gt;0"),"-"))</f>
        <v/>
      </c>
      <c r="M100" s="120">
        <f>IF(H100="","",IF(H100&gt;=0.9,"優秀",IF(H100&gt;=0.7,"符合期待","需加強發展")))</f>
        <v/>
      </c>
    </row>
    <row r="101" ht="15.75" customHeight="1" s="64">
      <c r="A101" s="120">
        <f>IF('3.員工名單'!A101="","",'3.員工名單'!A101)</f>
        <v/>
      </c>
      <c r="B101" s="120">
        <f>IF(A101="","",'3.員工名單'!B101)</f>
        <v/>
      </c>
      <c r="C101" s="120">
        <f>IF(A101="","",'3.員工名單'!C101)</f>
        <v/>
      </c>
      <c r="D101" s="120">
        <f>IF(A101="","",'3.員工名單'!D101)</f>
        <v/>
      </c>
      <c r="E101" s="120">
        <f>IF(A101="","",COUNTIFS('4.個人職能盤點'!$A$2:$A$1486,A101,'4.個人職能盤點'!$K$2:$K$1486,"達標")+COUNTIFS('4.個人職能盤點'!$A$2:$A$1486,A101,'4.個人職能盤點'!$K$2:$K$1486,"超越")+COUNTIFS('4.個人職能盤點'!$A$2:$A$1486,A101,'4.個人職能盤點'!$K$2:$K$1486,"待發展"))</f>
        <v/>
      </c>
      <c r="F101" s="120">
        <f>IF(A101="","",COUNTIFS('4.個人職能盤點'!$A$2:$A$1486,A101,'4.個人職能盤點'!$K$2:$K$1486,"達標")+COUNTIFS('4.個人職能盤點'!$A$2:$A$1486,A101,'4.個人職能盤點'!$K$2:$K$1486,"超越"))</f>
        <v/>
      </c>
      <c r="G101" s="120">
        <f>IF(A101="","",COUNTIFS('4.個人職能盤點'!$A$2:$A$1486,A101,'4.個人職能盤點'!$K$2:$K$1486,"待發展"))</f>
        <v/>
      </c>
      <c r="H101" s="121">
        <f>IF(OR(A101="",E101=0),"",F101/E101)</f>
        <v/>
      </c>
      <c r="I101" s="122">
        <f>IF(OR(A101="",E101=0),"",IFERROR(AVERAGEIFS('4.個人職能盤點'!$J$2:$J$1486,'4.個人職能盤點'!$A$2:$A$1486,A101),""))</f>
        <v/>
      </c>
      <c r="J101" s="123">
        <f>IF(A101="","",IFERROR(AVERAGEIFS('4.個人職能盤點'!$I$2:$I$1486,'4.個人職能盤點'!$A$2:$A$1486,A101,'4.個人職能盤點'!$E$2:$E$1486,"核心職能",'4.個人職能盤點'!$G$2:$G$1486,"&gt;0"),"-"))</f>
        <v/>
      </c>
      <c r="K101" s="123">
        <f>IF(A101="","",IFERROR(AVERAGEIFS('4.個人職能盤點'!$I$2:$I$1486,'4.個人職能盤點'!$A$2:$A$1486,A101,'4.個人職能盤點'!$E$2:$E$1486,"管理職能",'4.個人職能盤點'!$G$2:$G$1486,"&gt;0"),"-"))</f>
        <v/>
      </c>
      <c r="L101" s="123">
        <f>IF(A101="","",IFERROR(AVERAGEIFS('4.個人職能盤點'!$I$2:$I$1486,'4.個人職能盤點'!$A$2:$A$1486,A101,'4.個人職能盤點'!$E$2:$E$1486,"專業職能",'4.個人職能盤點'!$G$2:$G$1486,"&gt;0"),"-"))</f>
        <v/>
      </c>
      <c r="M101" s="120">
        <f>IF(H101="","",IF(H101&gt;=0.9,"優秀",IF(H101&gt;=0.7,"符合期待","需加強發展")))</f>
        <v/>
      </c>
    </row>
    <row r="102" ht="15.75" customHeight="1" s="64">
      <c r="A102" s="120">
        <f>IF('3.員工名單'!A102="","",'3.員工名單'!A102)</f>
        <v/>
      </c>
      <c r="B102" s="120">
        <f>IF(A102="","",'3.員工名單'!B102)</f>
        <v/>
      </c>
      <c r="C102" s="120">
        <f>IF(A102="","",'3.員工名單'!C102)</f>
        <v/>
      </c>
      <c r="D102" s="120">
        <f>IF(A102="","",'3.員工名單'!D102)</f>
        <v/>
      </c>
      <c r="E102" s="120">
        <f>IF(A102="","",COUNTIFS('4.個人職能盤點'!$A$2:$A$1486,A102,'4.個人職能盤點'!$K$2:$K$1486,"達標")+COUNTIFS('4.個人職能盤點'!$A$2:$A$1486,A102,'4.個人職能盤點'!$K$2:$K$1486,"超越")+COUNTIFS('4.個人職能盤點'!$A$2:$A$1486,A102,'4.個人職能盤點'!$K$2:$K$1486,"待發展"))</f>
        <v/>
      </c>
      <c r="F102" s="120">
        <f>IF(A102="","",COUNTIFS('4.個人職能盤點'!$A$2:$A$1486,A102,'4.個人職能盤點'!$K$2:$K$1486,"達標")+COUNTIFS('4.個人職能盤點'!$A$2:$A$1486,A102,'4.個人職能盤點'!$K$2:$K$1486,"超越"))</f>
        <v/>
      </c>
      <c r="G102" s="120">
        <f>IF(A102="","",COUNTIFS('4.個人職能盤點'!$A$2:$A$1486,A102,'4.個人職能盤點'!$K$2:$K$1486,"待發展"))</f>
        <v/>
      </c>
      <c r="H102" s="121">
        <f>IF(OR(A102="",E102=0),"",F102/E102)</f>
        <v/>
      </c>
      <c r="I102" s="122">
        <f>IF(OR(A102="",E102=0),"",IFERROR(AVERAGEIFS('4.個人職能盤點'!$J$2:$J$1486,'4.個人職能盤點'!$A$2:$A$1486,A102),""))</f>
        <v/>
      </c>
      <c r="J102" s="123">
        <f>IF(A102="","",IFERROR(AVERAGEIFS('4.個人職能盤點'!$I$2:$I$1486,'4.個人職能盤點'!$A$2:$A$1486,A102,'4.個人職能盤點'!$E$2:$E$1486,"核心職能",'4.個人職能盤點'!$G$2:$G$1486,"&gt;0"),"-"))</f>
        <v/>
      </c>
      <c r="K102" s="123">
        <f>IF(A102="","",IFERROR(AVERAGEIFS('4.個人職能盤點'!$I$2:$I$1486,'4.個人職能盤點'!$A$2:$A$1486,A102,'4.個人職能盤點'!$E$2:$E$1486,"管理職能",'4.個人職能盤點'!$G$2:$G$1486,"&gt;0"),"-"))</f>
        <v/>
      </c>
      <c r="L102" s="123">
        <f>IF(A102="","",IFERROR(AVERAGEIFS('4.個人職能盤點'!$I$2:$I$1486,'4.個人職能盤點'!$A$2:$A$1486,A102,'4.個人職能盤點'!$E$2:$E$1486,"專業職能",'4.個人職能盤點'!$G$2:$G$1486,"&gt;0"),"-"))</f>
        <v/>
      </c>
      <c r="M102" s="120">
        <f>IF(H102="","",IF(H102&gt;=0.9,"優秀",IF(H102&gt;=0.7,"符合期待","需加強發展")))</f>
        <v/>
      </c>
    </row>
    <row r="103" ht="15.75" customHeight="1" s="64">
      <c r="A103" s="120">
        <f>IF('3.員工名單'!A103="","",'3.員工名單'!A103)</f>
        <v/>
      </c>
      <c r="B103" s="120">
        <f>IF(A103="","",'3.員工名單'!B103)</f>
        <v/>
      </c>
      <c r="C103" s="120">
        <f>IF(A103="","",'3.員工名單'!C103)</f>
        <v/>
      </c>
      <c r="D103" s="120">
        <f>IF(A103="","",'3.員工名單'!D103)</f>
        <v/>
      </c>
      <c r="E103" s="120">
        <f>IF(A103="","",COUNTIFS('4.個人職能盤點'!$A$2:$A$1486,A103,'4.個人職能盤點'!$K$2:$K$1486,"達標")+COUNTIFS('4.個人職能盤點'!$A$2:$A$1486,A103,'4.個人職能盤點'!$K$2:$K$1486,"超越")+COUNTIFS('4.個人職能盤點'!$A$2:$A$1486,A103,'4.個人職能盤點'!$K$2:$K$1486,"待發展"))</f>
        <v/>
      </c>
      <c r="F103" s="120">
        <f>IF(A103="","",COUNTIFS('4.個人職能盤點'!$A$2:$A$1486,A103,'4.個人職能盤點'!$K$2:$K$1486,"達標")+COUNTIFS('4.個人職能盤點'!$A$2:$A$1486,A103,'4.個人職能盤點'!$K$2:$K$1486,"超越"))</f>
        <v/>
      </c>
      <c r="G103" s="120">
        <f>IF(A103="","",COUNTIFS('4.個人職能盤點'!$A$2:$A$1486,A103,'4.個人職能盤點'!$K$2:$K$1486,"待發展"))</f>
        <v/>
      </c>
      <c r="H103" s="121">
        <f>IF(OR(A103="",E103=0),"",F103/E103)</f>
        <v/>
      </c>
      <c r="I103" s="122">
        <f>IF(OR(A103="",E103=0),"",IFERROR(AVERAGEIFS('4.個人職能盤點'!$J$2:$J$1486,'4.個人職能盤點'!$A$2:$A$1486,A103),""))</f>
        <v/>
      </c>
      <c r="J103" s="123">
        <f>IF(A103="","",IFERROR(AVERAGEIFS('4.個人職能盤點'!$I$2:$I$1486,'4.個人職能盤點'!$A$2:$A$1486,A103,'4.個人職能盤點'!$E$2:$E$1486,"核心職能",'4.個人職能盤點'!$G$2:$G$1486,"&gt;0"),"-"))</f>
        <v/>
      </c>
      <c r="K103" s="123">
        <f>IF(A103="","",IFERROR(AVERAGEIFS('4.個人職能盤點'!$I$2:$I$1486,'4.個人職能盤點'!$A$2:$A$1486,A103,'4.個人職能盤點'!$E$2:$E$1486,"管理職能",'4.個人職能盤點'!$G$2:$G$1486,"&gt;0"),"-"))</f>
        <v/>
      </c>
      <c r="L103" s="123">
        <f>IF(A103="","",IFERROR(AVERAGEIFS('4.個人職能盤點'!$I$2:$I$1486,'4.個人職能盤點'!$A$2:$A$1486,A103,'4.個人職能盤點'!$E$2:$E$1486,"專業職能",'4.個人職能盤點'!$G$2:$G$1486,"&gt;0"),"-"))</f>
        <v/>
      </c>
      <c r="M103" s="120">
        <f>IF(H103="","",IF(H103&gt;=0.9,"優秀",IF(H103&gt;=0.7,"符合期待","需加強發展")))</f>
        <v/>
      </c>
    </row>
    <row r="104" ht="15.75" customHeight="1" s="64">
      <c r="A104" s="120">
        <f>IF('3.員工名單'!A104="","",'3.員工名單'!A104)</f>
        <v/>
      </c>
      <c r="B104" s="120">
        <f>IF(A104="","",'3.員工名單'!B104)</f>
        <v/>
      </c>
      <c r="C104" s="120">
        <f>IF(A104="","",'3.員工名單'!C104)</f>
        <v/>
      </c>
      <c r="D104" s="120">
        <f>IF(A104="","",'3.員工名單'!D104)</f>
        <v/>
      </c>
      <c r="E104" s="120">
        <f>IF(A104="","",COUNTIFS('4.個人職能盤點'!$A$2:$A$1486,A104,'4.個人職能盤點'!$K$2:$K$1486,"達標")+COUNTIFS('4.個人職能盤點'!$A$2:$A$1486,A104,'4.個人職能盤點'!$K$2:$K$1486,"超越")+COUNTIFS('4.個人職能盤點'!$A$2:$A$1486,A104,'4.個人職能盤點'!$K$2:$K$1486,"待發展"))</f>
        <v/>
      </c>
      <c r="F104" s="120">
        <f>IF(A104="","",COUNTIFS('4.個人職能盤點'!$A$2:$A$1486,A104,'4.個人職能盤點'!$K$2:$K$1486,"達標")+COUNTIFS('4.個人職能盤點'!$A$2:$A$1486,A104,'4.個人職能盤點'!$K$2:$K$1486,"超越"))</f>
        <v/>
      </c>
      <c r="G104" s="120">
        <f>IF(A104="","",COUNTIFS('4.個人職能盤點'!$A$2:$A$1486,A104,'4.個人職能盤點'!$K$2:$K$1486,"待發展"))</f>
        <v/>
      </c>
      <c r="H104" s="121">
        <f>IF(OR(A104="",E104=0),"",F104/E104)</f>
        <v/>
      </c>
      <c r="I104" s="122">
        <f>IF(OR(A104="",E104=0),"",IFERROR(AVERAGEIFS('4.個人職能盤點'!$J$2:$J$1486,'4.個人職能盤點'!$A$2:$A$1486,A104),""))</f>
        <v/>
      </c>
      <c r="J104" s="123">
        <f>IF(A104="","",IFERROR(AVERAGEIFS('4.個人職能盤點'!$I$2:$I$1486,'4.個人職能盤點'!$A$2:$A$1486,A104,'4.個人職能盤點'!$E$2:$E$1486,"核心職能",'4.個人職能盤點'!$G$2:$G$1486,"&gt;0"),"-"))</f>
        <v/>
      </c>
      <c r="K104" s="123">
        <f>IF(A104="","",IFERROR(AVERAGEIFS('4.個人職能盤點'!$I$2:$I$1486,'4.個人職能盤點'!$A$2:$A$1486,A104,'4.個人職能盤點'!$E$2:$E$1486,"管理職能",'4.個人職能盤點'!$G$2:$G$1486,"&gt;0"),"-"))</f>
        <v/>
      </c>
      <c r="L104" s="123">
        <f>IF(A104="","",IFERROR(AVERAGEIFS('4.個人職能盤點'!$I$2:$I$1486,'4.個人職能盤點'!$A$2:$A$1486,A104,'4.個人職能盤點'!$E$2:$E$1486,"專業職能",'4.個人職能盤點'!$G$2:$G$1486,"&gt;0"),"-"))</f>
        <v/>
      </c>
      <c r="M104" s="120">
        <f>IF(H104="","",IF(H104&gt;=0.9,"優秀",IF(H104&gt;=0.7,"符合期待","需加強發展")))</f>
        <v/>
      </c>
    </row>
    <row r="105" ht="15.75" customHeight="1" s="64">
      <c r="A105" s="120">
        <f>IF('3.員工名單'!A105="","",'3.員工名單'!A105)</f>
        <v/>
      </c>
      <c r="B105" s="120">
        <f>IF(A105="","",'3.員工名單'!B105)</f>
        <v/>
      </c>
      <c r="C105" s="120">
        <f>IF(A105="","",'3.員工名單'!C105)</f>
        <v/>
      </c>
      <c r="D105" s="120">
        <f>IF(A105="","",'3.員工名單'!D105)</f>
        <v/>
      </c>
      <c r="E105" s="120">
        <f>IF(A105="","",COUNTIFS('4.個人職能盤點'!$A$2:$A$1486,A105,'4.個人職能盤點'!$K$2:$K$1486,"達標")+COUNTIFS('4.個人職能盤點'!$A$2:$A$1486,A105,'4.個人職能盤點'!$K$2:$K$1486,"超越")+COUNTIFS('4.個人職能盤點'!$A$2:$A$1486,A105,'4.個人職能盤點'!$K$2:$K$1486,"待發展"))</f>
        <v/>
      </c>
      <c r="F105" s="120">
        <f>IF(A105="","",COUNTIFS('4.個人職能盤點'!$A$2:$A$1486,A105,'4.個人職能盤點'!$K$2:$K$1486,"達標")+COUNTIFS('4.個人職能盤點'!$A$2:$A$1486,A105,'4.個人職能盤點'!$K$2:$K$1486,"超越"))</f>
        <v/>
      </c>
      <c r="G105" s="120">
        <f>IF(A105="","",COUNTIFS('4.個人職能盤點'!$A$2:$A$1486,A105,'4.個人職能盤點'!$K$2:$K$1486,"待發展"))</f>
        <v/>
      </c>
      <c r="H105" s="121">
        <f>IF(OR(A105="",E105=0),"",F105/E105)</f>
        <v/>
      </c>
      <c r="I105" s="122">
        <f>IF(OR(A105="",E105=0),"",IFERROR(AVERAGEIFS('4.個人職能盤點'!$J$2:$J$1486,'4.個人職能盤點'!$A$2:$A$1486,A105),""))</f>
        <v/>
      </c>
      <c r="J105" s="123">
        <f>IF(A105="","",IFERROR(AVERAGEIFS('4.個人職能盤點'!$I$2:$I$1486,'4.個人職能盤點'!$A$2:$A$1486,A105,'4.個人職能盤點'!$E$2:$E$1486,"核心職能",'4.個人職能盤點'!$G$2:$G$1486,"&gt;0"),"-"))</f>
        <v/>
      </c>
      <c r="K105" s="123">
        <f>IF(A105="","",IFERROR(AVERAGEIFS('4.個人職能盤點'!$I$2:$I$1486,'4.個人職能盤點'!$A$2:$A$1486,A105,'4.個人職能盤點'!$E$2:$E$1486,"管理職能",'4.個人職能盤點'!$G$2:$G$1486,"&gt;0"),"-"))</f>
        <v/>
      </c>
      <c r="L105" s="123">
        <f>IF(A105="","",IFERROR(AVERAGEIFS('4.個人職能盤點'!$I$2:$I$1486,'4.個人職能盤點'!$A$2:$A$1486,A105,'4.個人職能盤點'!$E$2:$E$1486,"專業職能",'4.個人職能盤點'!$G$2:$G$1486,"&gt;0"),"-"))</f>
        <v/>
      </c>
      <c r="M105" s="120">
        <f>IF(H105="","",IF(H105&gt;=0.9,"優秀",IF(H105&gt;=0.7,"符合期待","需加強發展")))</f>
        <v/>
      </c>
    </row>
    <row r="106" ht="15.75" customHeight="1" s="64">
      <c r="A106" s="120">
        <f>IF('3.員工名單'!A106="","",'3.員工名單'!A106)</f>
        <v/>
      </c>
      <c r="B106" s="120">
        <f>IF(A106="","",'3.員工名單'!B106)</f>
        <v/>
      </c>
      <c r="C106" s="120">
        <f>IF(A106="","",'3.員工名單'!C106)</f>
        <v/>
      </c>
      <c r="D106" s="120">
        <f>IF(A106="","",'3.員工名單'!D106)</f>
        <v/>
      </c>
      <c r="E106" s="120">
        <f>IF(A106="","",COUNTIFS('4.個人職能盤點'!$A$2:$A$1486,A106,'4.個人職能盤點'!$K$2:$K$1486,"達標")+COUNTIFS('4.個人職能盤點'!$A$2:$A$1486,A106,'4.個人職能盤點'!$K$2:$K$1486,"超越")+COUNTIFS('4.個人職能盤點'!$A$2:$A$1486,A106,'4.個人職能盤點'!$K$2:$K$1486,"待發展"))</f>
        <v/>
      </c>
      <c r="F106" s="120">
        <f>IF(A106="","",COUNTIFS('4.個人職能盤點'!$A$2:$A$1486,A106,'4.個人職能盤點'!$K$2:$K$1486,"達標")+COUNTIFS('4.個人職能盤點'!$A$2:$A$1486,A106,'4.個人職能盤點'!$K$2:$K$1486,"超越"))</f>
        <v/>
      </c>
      <c r="G106" s="120">
        <f>IF(A106="","",COUNTIFS('4.個人職能盤點'!$A$2:$A$1486,A106,'4.個人職能盤點'!$K$2:$K$1486,"待發展"))</f>
        <v/>
      </c>
      <c r="H106" s="121">
        <f>IF(OR(A106="",E106=0),"",F106/E106)</f>
        <v/>
      </c>
      <c r="I106" s="122">
        <f>IF(OR(A106="",E106=0),"",IFERROR(AVERAGEIFS('4.個人職能盤點'!$J$2:$J$1486,'4.個人職能盤點'!$A$2:$A$1486,A106),""))</f>
        <v/>
      </c>
      <c r="J106" s="123">
        <f>IF(A106="","",IFERROR(AVERAGEIFS('4.個人職能盤點'!$I$2:$I$1486,'4.個人職能盤點'!$A$2:$A$1486,A106,'4.個人職能盤點'!$E$2:$E$1486,"核心職能",'4.個人職能盤點'!$G$2:$G$1486,"&gt;0"),"-"))</f>
        <v/>
      </c>
      <c r="K106" s="123">
        <f>IF(A106="","",IFERROR(AVERAGEIFS('4.個人職能盤點'!$I$2:$I$1486,'4.個人職能盤點'!$A$2:$A$1486,A106,'4.個人職能盤點'!$E$2:$E$1486,"管理職能",'4.個人職能盤點'!$G$2:$G$1486,"&gt;0"),"-"))</f>
        <v/>
      </c>
      <c r="L106" s="123">
        <f>IF(A106="","",IFERROR(AVERAGEIFS('4.個人職能盤點'!$I$2:$I$1486,'4.個人職能盤點'!$A$2:$A$1486,A106,'4.個人職能盤點'!$E$2:$E$1486,"專業職能",'4.個人職能盤點'!$G$2:$G$1486,"&gt;0"),"-"))</f>
        <v/>
      </c>
      <c r="M106" s="120">
        <f>IF(H106="","",IF(H106&gt;=0.9,"優秀",IF(H106&gt;=0.7,"符合期待","需加強發展")))</f>
        <v/>
      </c>
    </row>
    <row r="107" ht="15.75" customHeight="1" s="64">
      <c r="A107" s="120">
        <f>IF('3.員工名單'!A107="","",'3.員工名單'!A107)</f>
        <v/>
      </c>
      <c r="B107" s="120">
        <f>IF(A107="","",'3.員工名單'!B107)</f>
        <v/>
      </c>
      <c r="C107" s="120">
        <f>IF(A107="","",'3.員工名單'!C107)</f>
        <v/>
      </c>
      <c r="D107" s="120">
        <f>IF(A107="","",'3.員工名單'!D107)</f>
        <v/>
      </c>
      <c r="E107" s="120">
        <f>IF(A107="","",COUNTIFS('4.個人職能盤點'!$A$2:$A$1486,A107,'4.個人職能盤點'!$K$2:$K$1486,"達標")+COUNTIFS('4.個人職能盤點'!$A$2:$A$1486,A107,'4.個人職能盤點'!$K$2:$K$1486,"超越")+COUNTIFS('4.個人職能盤點'!$A$2:$A$1486,A107,'4.個人職能盤點'!$K$2:$K$1486,"待發展"))</f>
        <v/>
      </c>
      <c r="F107" s="120">
        <f>IF(A107="","",COUNTIFS('4.個人職能盤點'!$A$2:$A$1486,A107,'4.個人職能盤點'!$K$2:$K$1486,"達標")+COUNTIFS('4.個人職能盤點'!$A$2:$A$1486,A107,'4.個人職能盤點'!$K$2:$K$1486,"超越"))</f>
        <v/>
      </c>
      <c r="G107" s="120">
        <f>IF(A107="","",COUNTIFS('4.個人職能盤點'!$A$2:$A$1486,A107,'4.個人職能盤點'!$K$2:$K$1486,"待發展"))</f>
        <v/>
      </c>
      <c r="H107" s="121">
        <f>IF(OR(A107="",E107=0),"",F107/E107)</f>
        <v/>
      </c>
      <c r="I107" s="122">
        <f>IF(OR(A107="",E107=0),"",IFERROR(AVERAGEIFS('4.個人職能盤點'!$J$2:$J$1486,'4.個人職能盤點'!$A$2:$A$1486,A107),""))</f>
        <v/>
      </c>
      <c r="J107" s="123">
        <f>IF(A107="","",IFERROR(AVERAGEIFS('4.個人職能盤點'!$I$2:$I$1486,'4.個人職能盤點'!$A$2:$A$1486,A107,'4.個人職能盤點'!$E$2:$E$1486,"核心職能",'4.個人職能盤點'!$G$2:$G$1486,"&gt;0"),"-"))</f>
        <v/>
      </c>
      <c r="K107" s="123">
        <f>IF(A107="","",IFERROR(AVERAGEIFS('4.個人職能盤點'!$I$2:$I$1486,'4.個人職能盤點'!$A$2:$A$1486,A107,'4.個人職能盤點'!$E$2:$E$1486,"管理職能",'4.個人職能盤點'!$G$2:$G$1486,"&gt;0"),"-"))</f>
        <v/>
      </c>
      <c r="L107" s="123">
        <f>IF(A107="","",IFERROR(AVERAGEIFS('4.個人職能盤點'!$I$2:$I$1486,'4.個人職能盤點'!$A$2:$A$1486,A107,'4.個人職能盤點'!$E$2:$E$1486,"專業職能",'4.個人職能盤點'!$G$2:$G$1486,"&gt;0"),"-"))</f>
        <v/>
      </c>
      <c r="M107" s="120">
        <f>IF(H107="","",IF(H107&gt;=0.9,"優秀",IF(H107&gt;=0.7,"符合期待","需加強發展")))</f>
        <v/>
      </c>
    </row>
    <row r="108" ht="15.75" customHeight="1" s="64">
      <c r="A108" s="120">
        <f>IF('3.員工名單'!A108="","",'3.員工名單'!A108)</f>
        <v/>
      </c>
      <c r="B108" s="120">
        <f>IF(A108="","",'3.員工名單'!B108)</f>
        <v/>
      </c>
      <c r="C108" s="120">
        <f>IF(A108="","",'3.員工名單'!C108)</f>
        <v/>
      </c>
      <c r="D108" s="120">
        <f>IF(A108="","",'3.員工名單'!D108)</f>
        <v/>
      </c>
      <c r="E108" s="120">
        <f>IF(A108="","",COUNTIFS('4.個人職能盤點'!$A$2:$A$1486,A108,'4.個人職能盤點'!$K$2:$K$1486,"達標")+COUNTIFS('4.個人職能盤點'!$A$2:$A$1486,A108,'4.個人職能盤點'!$K$2:$K$1486,"超越")+COUNTIFS('4.個人職能盤點'!$A$2:$A$1486,A108,'4.個人職能盤點'!$K$2:$K$1486,"待發展"))</f>
        <v/>
      </c>
      <c r="F108" s="120">
        <f>IF(A108="","",COUNTIFS('4.個人職能盤點'!$A$2:$A$1486,A108,'4.個人職能盤點'!$K$2:$K$1486,"達標")+COUNTIFS('4.個人職能盤點'!$A$2:$A$1486,A108,'4.個人職能盤點'!$K$2:$K$1486,"超越"))</f>
        <v/>
      </c>
      <c r="G108" s="120">
        <f>IF(A108="","",COUNTIFS('4.個人職能盤點'!$A$2:$A$1486,A108,'4.個人職能盤點'!$K$2:$K$1486,"待發展"))</f>
        <v/>
      </c>
      <c r="H108" s="121">
        <f>IF(OR(A108="",E108=0),"",F108/E108)</f>
        <v/>
      </c>
      <c r="I108" s="122">
        <f>IF(OR(A108="",E108=0),"",IFERROR(AVERAGEIFS('4.個人職能盤點'!$J$2:$J$1486,'4.個人職能盤點'!$A$2:$A$1486,A108),""))</f>
        <v/>
      </c>
      <c r="J108" s="123">
        <f>IF(A108="","",IFERROR(AVERAGEIFS('4.個人職能盤點'!$I$2:$I$1486,'4.個人職能盤點'!$A$2:$A$1486,A108,'4.個人職能盤點'!$E$2:$E$1486,"核心職能",'4.個人職能盤點'!$G$2:$G$1486,"&gt;0"),"-"))</f>
        <v/>
      </c>
      <c r="K108" s="123">
        <f>IF(A108="","",IFERROR(AVERAGEIFS('4.個人職能盤點'!$I$2:$I$1486,'4.個人職能盤點'!$A$2:$A$1486,A108,'4.個人職能盤點'!$E$2:$E$1486,"管理職能",'4.個人職能盤點'!$G$2:$G$1486,"&gt;0"),"-"))</f>
        <v/>
      </c>
      <c r="L108" s="123">
        <f>IF(A108="","",IFERROR(AVERAGEIFS('4.個人職能盤點'!$I$2:$I$1486,'4.個人職能盤點'!$A$2:$A$1486,A108,'4.個人職能盤點'!$E$2:$E$1486,"專業職能",'4.個人職能盤點'!$G$2:$G$1486,"&gt;0"),"-"))</f>
        <v/>
      </c>
      <c r="M108" s="120">
        <f>IF(H108="","",IF(H108&gt;=0.9,"優秀",IF(H108&gt;=0.7,"符合期待","需加強發展")))</f>
        <v/>
      </c>
    </row>
    <row r="109" ht="15.75" customHeight="1" s="64">
      <c r="A109" s="120">
        <f>IF('3.員工名單'!A109="","",'3.員工名單'!A109)</f>
        <v/>
      </c>
      <c r="B109" s="120">
        <f>IF(A109="","",'3.員工名單'!B109)</f>
        <v/>
      </c>
      <c r="C109" s="120">
        <f>IF(A109="","",'3.員工名單'!C109)</f>
        <v/>
      </c>
      <c r="D109" s="120">
        <f>IF(A109="","",'3.員工名單'!D109)</f>
        <v/>
      </c>
      <c r="E109" s="120">
        <f>IF(A109="","",COUNTIFS('4.個人職能盤點'!$A$2:$A$1486,A109,'4.個人職能盤點'!$K$2:$K$1486,"達標")+COUNTIFS('4.個人職能盤點'!$A$2:$A$1486,A109,'4.個人職能盤點'!$K$2:$K$1486,"超越")+COUNTIFS('4.個人職能盤點'!$A$2:$A$1486,A109,'4.個人職能盤點'!$K$2:$K$1486,"待發展"))</f>
        <v/>
      </c>
      <c r="F109" s="120">
        <f>IF(A109="","",COUNTIFS('4.個人職能盤點'!$A$2:$A$1486,A109,'4.個人職能盤點'!$K$2:$K$1486,"達標")+COUNTIFS('4.個人職能盤點'!$A$2:$A$1486,A109,'4.個人職能盤點'!$K$2:$K$1486,"超越"))</f>
        <v/>
      </c>
      <c r="G109" s="120">
        <f>IF(A109="","",COUNTIFS('4.個人職能盤點'!$A$2:$A$1486,A109,'4.個人職能盤點'!$K$2:$K$1486,"待發展"))</f>
        <v/>
      </c>
      <c r="H109" s="121">
        <f>IF(OR(A109="",E109=0),"",F109/E109)</f>
        <v/>
      </c>
      <c r="I109" s="122">
        <f>IF(OR(A109="",E109=0),"",IFERROR(AVERAGEIFS('4.個人職能盤點'!$J$2:$J$1486,'4.個人職能盤點'!$A$2:$A$1486,A109),""))</f>
        <v/>
      </c>
      <c r="J109" s="123">
        <f>IF(A109="","",IFERROR(AVERAGEIFS('4.個人職能盤點'!$I$2:$I$1486,'4.個人職能盤點'!$A$2:$A$1486,A109,'4.個人職能盤點'!$E$2:$E$1486,"核心職能",'4.個人職能盤點'!$G$2:$G$1486,"&gt;0"),"-"))</f>
        <v/>
      </c>
      <c r="K109" s="123">
        <f>IF(A109="","",IFERROR(AVERAGEIFS('4.個人職能盤點'!$I$2:$I$1486,'4.個人職能盤點'!$A$2:$A$1486,A109,'4.個人職能盤點'!$E$2:$E$1486,"管理職能",'4.個人職能盤點'!$G$2:$G$1486,"&gt;0"),"-"))</f>
        <v/>
      </c>
      <c r="L109" s="123">
        <f>IF(A109="","",IFERROR(AVERAGEIFS('4.個人職能盤點'!$I$2:$I$1486,'4.個人職能盤點'!$A$2:$A$1486,A109,'4.個人職能盤點'!$E$2:$E$1486,"專業職能",'4.個人職能盤點'!$G$2:$G$1486,"&gt;0"),"-"))</f>
        <v/>
      </c>
      <c r="M109" s="120">
        <f>IF(H109="","",IF(H109&gt;=0.9,"優秀",IF(H109&gt;=0.7,"符合期待","需加強發展")))</f>
        <v/>
      </c>
    </row>
    <row r="110" ht="15.75" customHeight="1" s="64">
      <c r="A110" s="120">
        <f>IF('3.員工名單'!A110="","",'3.員工名單'!A110)</f>
        <v/>
      </c>
      <c r="B110" s="120">
        <f>IF(A110="","",'3.員工名單'!B110)</f>
        <v/>
      </c>
      <c r="C110" s="120">
        <f>IF(A110="","",'3.員工名單'!C110)</f>
        <v/>
      </c>
      <c r="D110" s="120">
        <f>IF(A110="","",'3.員工名單'!D110)</f>
        <v/>
      </c>
      <c r="E110" s="120">
        <f>IF(A110="","",COUNTIFS('4.個人職能盤點'!$A$2:$A$1486,A110,'4.個人職能盤點'!$K$2:$K$1486,"達標")+COUNTIFS('4.個人職能盤點'!$A$2:$A$1486,A110,'4.個人職能盤點'!$K$2:$K$1486,"超越")+COUNTIFS('4.個人職能盤點'!$A$2:$A$1486,A110,'4.個人職能盤點'!$K$2:$K$1486,"待發展"))</f>
        <v/>
      </c>
      <c r="F110" s="120">
        <f>IF(A110="","",COUNTIFS('4.個人職能盤點'!$A$2:$A$1486,A110,'4.個人職能盤點'!$K$2:$K$1486,"達標")+COUNTIFS('4.個人職能盤點'!$A$2:$A$1486,A110,'4.個人職能盤點'!$K$2:$K$1486,"超越"))</f>
        <v/>
      </c>
      <c r="G110" s="120">
        <f>IF(A110="","",COUNTIFS('4.個人職能盤點'!$A$2:$A$1486,A110,'4.個人職能盤點'!$K$2:$K$1486,"待發展"))</f>
        <v/>
      </c>
      <c r="H110" s="121">
        <f>IF(OR(A110="",E110=0),"",F110/E110)</f>
        <v/>
      </c>
      <c r="I110" s="122">
        <f>IF(OR(A110="",E110=0),"",IFERROR(AVERAGEIFS('4.個人職能盤點'!$J$2:$J$1486,'4.個人職能盤點'!$A$2:$A$1486,A110),""))</f>
        <v/>
      </c>
      <c r="J110" s="123">
        <f>IF(A110="","",IFERROR(AVERAGEIFS('4.個人職能盤點'!$I$2:$I$1486,'4.個人職能盤點'!$A$2:$A$1486,A110,'4.個人職能盤點'!$E$2:$E$1486,"核心職能",'4.個人職能盤點'!$G$2:$G$1486,"&gt;0"),"-"))</f>
        <v/>
      </c>
      <c r="K110" s="123">
        <f>IF(A110="","",IFERROR(AVERAGEIFS('4.個人職能盤點'!$I$2:$I$1486,'4.個人職能盤點'!$A$2:$A$1486,A110,'4.個人職能盤點'!$E$2:$E$1486,"管理職能",'4.個人職能盤點'!$G$2:$G$1486,"&gt;0"),"-"))</f>
        <v/>
      </c>
      <c r="L110" s="123">
        <f>IF(A110="","",IFERROR(AVERAGEIFS('4.個人職能盤點'!$I$2:$I$1486,'4.個人職能盤點'!$A$2:$A$1486,A110,'4.個人職能盤點'!$E$2:$E$1486,"專業職能",'4.個人職能盤點'!$G$2:$G$1486,"&gt;0"),"-"))</f>
        <v/>
      </c>
      <c r="M110" s="120">
        <f>IF(H110="","",IF(H110&gt;=0.9,"優秀",IF(H110&gt;=0.7,"符合期待","需加強發展")))</f>
        <v/>
      </c>
    </row>
    <row r="111" ht="15.75" customHeight="1" s="64">
      <c r="A111" s="120">
        <f>IF('3.員工名單'!A111="","",'3.員工名單'!A111)</f>
        <v/>
      </c>
      <c r="B111" s="120">
        <f>IF(A111="","",'3.員工名單'!B111)</f>
        <v/>
      </c>
      <c r="C111" s="120">
        <f>IF(A111="","",'3.員工名單'!C111)</f>
        <v/>
      </c>
      <c r="D111" s="120">
        <f>IF(A111="","",'3.員工名單'!D111)</f>
        <v/>
      </c>
      <c r="E111" s="120">
        <f>IF(A111="","",COUNTIFS('4.個人職能盤點'!$A$2:$A$1486,A111,'4.個人職能盤點'!$K$2:$K$1486,"達標")+COUNTIFS('4.個人職能盤點'!$A$2:$A$1486,A111,'4.個人職能盤點'!$K$2:$K$1486,"超越")+COUNTIFS('4.個人職能盤點'!$A$2:$A$1486,A111,'4.個人職能盤點'!$K$2:$K$1486,"待發展"))</f>
        <v/>
      </c>
      <c r="F111" s="120">
        <f>IF(A111="","",COUNTIFS('4.個人職能盤點'!$A$2:$A$1486,A111,'4.個人職能盤點'!$K$2:$K$1486,"達標")+COUNTIFS('4.個人職能盤點'!$A$2:$A$1486,A111,'4.個人職能盤點'!$K$2:$K$1486,"超越"))</f>
        <v/>
      </c>
      <c r="G111" s="120">
        <f>IF(A111="","",COUNTIFS('4.個人職能盤點'!$A$2:$A$1486,A111,'4.個人職能盤點'!$K$2:$K$1486,"待發展"))</f>
        <v/>
      </c>
      <c r="H111" s="121">
        <f>IF(OR(A111="",E111=0),"",F111/E111)</f>
        <v/>
      </c>
      <c r="I111" s="122">
        <f>IF(OR(A111="",E111=0),"",IFERROR(AVERAGEIFS('4.個人職能盤點'!$J$2:$J$1486,'4.個人職能盤點'!$A$2:$A$1486,A111),""))</f>
        <v/>
      </c>
      <c r="J111" s="123">
        <f>IF(A111="","",IFERROR(AVERAGEIFS('4.個人職能盤點'!$I$2:$I$1486,'4.個人職能盤點'!$A$2:$A$1486,A111,'4.個人職能盤點'!$E$2:$E$1486,"核心職能",'4.個人職能盤點'!$G$2:$G$1486,"&gt;0"),"-"))</f>
        <v/>
      </c>
      <c r="K111" s="123">
        <f>IF(A111="","",IFERROR(AVERAGEIFS('4.個人職能盤點'!$I$2:$I$1486,'4.個人職能盤點'!$A$2:$A$1486,A111,'4.個人職能盤點'!$E$2:$E$1486,"管理職能",'4.個人職能盤點'!$G$2:$G$1486,"&gt;0"),"-"))</f>
        <v/>
      </c>
      <c r="L111" s="123">
        <f>IF(A111="","",IFERROR(AVERAGEIFS('4.個人職能盤點'!$I$2:$I$1486,'4.個人職能盤點'!$A$2:$A$1486,A111,'4.個人職能盤點'!$E$2:$E$1486,"專業職能",'4.個人職能盤點'!$G$2:$G$1486,"&gt;0"),"-"))</f>
        <v/>
      </c>
      <c r="M111" s="120">
        <f>IF(H111="","",IF(H111&gt;=0.9,"優秀",IF(H111&gt;=0.7,"符合期待","需加強發展")))</f>
        <v/>
      </c>
    </row>
    <row r="112" ht="15.75" customHeight="1" s="64">
      <c r="A112" s="120">
        <f>IF('3.員工名單'!A112="","",'3.員工名單'!A112)</f>
        <v/>
      </c>
      <c r="B112" s="120">
        <f>IF(A112="","",'3.員工名單'!B112)</f>
        <v/>
      </c>
      <c r="C112" s="120">
        <f>IF(A112="","",'3.員工名單'!C112)</f>
        <v/>
      </c>
      <c r="D112" s="120">
        <f>IF(A112="","",'3.員工名單'!D112)</f>
        <v/>
      </c>
      <c r="E112" s="120">
        <f>IF(A112="","",COUNTIFS('4.個人職能盤點'!$A$2:$A$1486,A112,'4.個人職能盤點'!$K$2:$K$1486,"達標")+COUNTIFS('4.個人職能盤點'!$A$2:$A$1486,A112,'4.個人職能盤點'!$K$2:$K$1486,"超越")+COUNTIFS('4.個人職能盤點'!$A$2:$A$1486,A112,'4.個人職能盤點'!$K$2:$K$1486,"待發展"))</f>
        <v/>
      </c>
      <c r="F112" s="120">
        <f>IF(A112="","",COUNTIFS('4.個人職能盤點'!$A$2:$A$1486,A112,'4.個人職能盤點'!$K$2:$K$1486,"達標")+COUNTIFS('4.個人職能盤點'!$A$2:$A$1486,A112,'4.個人職能盤點'!$K$2:$K$1486,"超越"))</f>
        <v/>
      </c>
      <c r="G112" s="120">
        <f>IF(A112="","",COUNTIFS('4.個人職能盤點'!$A$2:$A$1486,A112,'4.個人職能盤點'!$K$2:$K$1486,"待發展"))</f>
        <v/>
      </c>
      <c r="H112" s="121">
        <f>IF(OR(A112="",E112=0),"",F112/E112)</f>
        <v/>
      </c>
      <c r="I112" s="122">
        <f>IF(OR(A112="",E112=0),"",IFERROR(AVERAGEIFS('4.個人職能盤點'!$J$2:$J$1486,'4.個人職能盤點'!$A$2:$A$1486,A112),""))</f>
        <v/>
      </c>
      <c r="J112" s="123">
        <f>IF(A112="","",IFERROR(AVERAGEIFS('4.個人職能盤點'!$I$2:$I$1486,'4.個人職能盤點'!$A$2:$A$1486,A112,'4.個人職能盤點'!$E$2:$E$1486,"核心職能",'4.個人職能盤點'!$G$2:$G$1486,"&gt;0"),"-"))</f>
        <v/>
      </c>
      <c r="K112" s="123">
        <f>IF(A112="","",IFERROR(AVERAGEIFS('4.個人職能盤點'!$I$2:$I$1486,'4.個人職能盤點'!$A$2:$A$1486,A112,'4.個人職能盤點'!$E$2:$E$1486,"管理職能",'4.個人職能盤點'!$G$2:$G$1486,"&gt;0"),"-"))</f>
        <v/>
      </c>
      <c r="L112" s="123">
        <f>IF(A112="","",IFERROR(AVERAGEIFS('4.個人職能盤點'!$I$2:$I$1486,'4.個人職能盤點'!$A$2:$A$1486,A112,'4.個人職能盤點'!$E$2:$E$1486,"專業職能",'4.個人職能盤點'!$G$2:$G$1486,"&gt;0"),"-"))</f>
        <v/>
      </c>
      <c r="M112" s="120">
        <f>IF(H112="","",IF(H112&gt;=0.9,"優秀",IF(H112&gt;=0.7,"符合期待","需加強發展")))</f>
        <v/>
      </c>
    </row>
    <row r="113" ht="15.75" customHeight="1" s="64">
      <c r="A113" s="120">
        <f>IF('3.員工名單'!A113="","",'3.員工名單'!A113)</f>
        <v/>
      </c>
      <c r="B113" s="120">
        <f>IF(A113="","",'3.員工名單'!B113)</f>
        <v/>
      </c>
      <c r="C113" s="120">
        <f>IF(A113="","",'3.員工名單'!C113)</f>
        <v/>
      </c>
      <c r="D113" s="120">
        <f>IF(A113="","",'3.員工名單'!D113)</f>
        <v/>
      </c>
      <c r="E113" s="120">
        <f>IF(A113="","",COUNTIFS('4.個人職能盤點'!$A$2:$A$1486,A113,'4.個人職能盤點'!$K$2:$K$1486,"達標")+COUNTIFS('4.個人職能盤點'!$A$2:$A$1486,A113,'4.個人職能盤點'!$K$2:$K$1486,"超越")+COUNTIFS('4.個人職能盤點'!$A$2:$A$1486,A113,'4.個人職能盤點'!$K$2:$K$1486,"待發展"))</f>
        <v/>
      </c>
      <c r="F113" s="120">
        <f>IF(A113="","",COUNTIFS('4.個人職能盤點'!$A$2:$A$1486,A113,'4.個人職能盤點'!$K$2:$K$1486,"達標")+COUNTIFS('4.個人職能盤點'!$A$2:$A$1486,A113,'4.個人職能盤點'!$K$2:$K$1486,"超越"))</f>
        <v/>
      </c>
      <c r="G113" s="120">
        <f>IF(A113="","",COUNTIFS('4.個人職能盤點'!$A$2:$A$1486,A113,'4.個人職能盤點'!$K$2:$K$1486,"待發展"))</f>
        <v/>
      </c>
      <c r="H113" s="121">
        <f>IF(OR(A113="",E113=0),"",F113/E113)</f>
        <v/>
      </c>
      <c r="I113" s="122">
        <f>IF(OR(A113="",E113=0),"",IFERROR(AVERAGEIFS('4.個人職能盤點'!$J$2:$J$1486,'4.個人職能盤點'!$A$2:$A$1486,A113),""))</f>
        <v/>
      </c>
      <c r="J113" s="123">
        <f>IF(A113="","",IFERROR(AVERAGEIFS('4.個人職能盤點'!$I$2:$I$1486,'4.個人職能盤點'!$A$2:$A$1486,A113,'4.個人職能盤點'!$E$2:$E$1486,"核心職能",'4.個人職能盤點'!$G$2:$G$1486,"&gt;0"),"-"))</f>
        <v/>
      </c>
      <c r="K113" s="123">
        <f>IF(A113="","",IFERROR(AVERAGEIFS('4.個人職能盤點'!$I$2:$I$1486,'4.個人職能盤點'!$A$2:$A$1486,A113,'4.個人職能盤點'!$E$2:$E$1486,"管理職能",'4.個人職能盤點'!$G$2:$G$1486,"&gt;0"),"-"))</f>
        <v/>
      </c>
      <c r="L113" s="123">
        <f>IF(A113="","",IFERROR(AVERAGEIFS('4.個人職能盤點'!$I$2:$I$1486,'4.個人職能盤點'!$A$2:$A$1486,A113,'4.個人職能盤點'!$E$2:$E$1486,"專業職能",'4.個人職能盤點'!$G$2:$G$1486,"&gt;0"),"-"))</f>
        <v/>
      </c>
      <c r="M113" s="120">
        <f>IF(H113="","",IF(H113&gt;=0.9,"優秀",IF(H113&gt;=0.7,"符合期待","需加強發展")))</f>
        <v/>
      </c>
    </row>
    <row r="114" ht="15.75" customHeight="1" s="64">
      <c r="A114" s="120">
        <f>IF('3.員工名單'!A114="","",'3.員工名單'!A114)</f>
        <v/>
      </c>
      <c r="B114" s="120">
        <f>IF(A114="","",'3.員工名單'!B114)</f>
        <v/>
      </c>
      <c r="C114" s="120">
        <f>IF(A114="","",'3.員工名單'!C114)</f>
        <v/>
      </c>
      <c r="D114" s="120">
        <f>IF(A114="","",'3.員工名單'!D114)</f>
        <v/>
      </c>
      <c r="E114" s="120">
        <f>IF(A114="","",COUNTIFS('4.個人職能盤點'!$A$2:$A$1486,A114,'4.個人職能盤點'!$K$2:$K$1486,"達標")+COUNTIFS('4.個人職能盤點'!$A$2:$A$1486,A114,'4.個人職能盤點'!$K$2:$K$1486,"超越")+COUNTIFS('4.個人職能盤點'!$A$2:$A$1486,A114,'4.個人職能盤點'!$K$2:$K$1486,"待發展"))</f>
        <v/>
      </c>
      <c r="F114" s="120">
        <f>IF(A114="","",COUNTIFS('4.個人職能盤點'!$A$2:$A$1486,A114,'4.個人職能盤點'!$K$2:$K$1486,"達標")+COUNTIFS('4.個人職能盤點'!$A$2:$A$1486,A114,'4.個人職能盤點'!$K$2:$K$1486,"超越"))</f>
        <v/>
      </c>
      <c r="G114" s="120">
        <f>IF(A114="","",COUNTIFS('4.個人職能盤點'!$A$2:$A$1486,A114,'4.個人職能盤點'!$K$2:$K$1486,"待發展"))</f>
        <v/>
      </c>
      <c r="H114" s="121">
        <f>IF(OR(A114="",E114=0),"",F114/E114)</f>
        <v/>
      </c>
      <c r="I114" s="122">
        <f>IF(OR(A114="",E114=0),"",IFERROR(AVERAGEIFS('4.個人職能盤點'!$J$2:$J$1486,'4.個人職能盤點'!$A$2:$A$1486,A114),""))</f>
        <v/>
      </c>
      <c r="J114" s="123">
        <f>IF(A114="","",IFERROR(AVERAGEIFS('4.個人職能盤點'!$I$2:$I$1486,'4.個人職能盤點'!$A$2:$A$1486,A114,'4.個人職能盤點'!$E$2:$E$1486,"核心職能",'4.個人職能盤點'!$G$2:$G$1486,"&gt;0"),"-"))</f>
        <v/>
      </c>
      <c r="K114" s="123">
        <f>IF(A114="","",IFERROR(AVERAGEIFS('4.個人職能盤點'!$I$2:$I$1486,'4.個人職能盤點'!$A$2:$A$1486,A114,'4.個人職能盤點'!$E$2:$E$1486,"管理職能",'4.個人職能盤點'!$G$2:$G$1486,"&gt;0"),"-"))</f>
        <v/>
      </c>
      <c r="L114" s="123">
        <f>IF(A114="","",IFERROR(AVERAGEIFS('4.個人職能盤點'!$I$2:$I$1486,'4.個人職能盤點'!$A$2:$A$1486,A114,'4.個人職能盤點'!$E$2:$E$1486,"專業職能",'4.個人職能盤點'!$G$2:$G$1486,"&gt;0"),"-"))</f>
        <v/>
      </c>
      <c r="M114" s="120">
        <f>IF(H114="","",IF(H114&gt;=0.9,"優秀",IF(H114&gt;=0.7,"符合期待","需加強發展")))</f>
        <v/>
      </c>
    </row>
    <row r="115" ht="15.75" customHeight="1" s="64">
      <c r="A115" s="120">
        <f>IF('3.員工名單'!A115="","",'3.員工名單'!A115)</f>
        <v/>
      </c>
      <c r="B115" s="120">
        <f>IF(A115="","",'3.員工名單'!B115)</f>
        <v/>
      </c>
      <c r="C115" s="120">
        <f>IF(A115="","",'3.員工名單'!C115)</f>
        <v/>
      </c>
      <c r="D115" s="120">
        <f>IF(A115="","",'3.員工名單'!D115)</f>
        <v/>
      </c>
      <c r="E115" s="120">
        <f>IF(A115="","",COUNTIFS('4.個人職能盤點'!$A$2:$A$1486,A115,'4.個人職能盤點'!$K$2:$K$1486,"達標")+COUNTIFS('4.個人職能盤點'!$A$2:$A$1486,A115,'4.個人職能盤點'!$K$2:$K$1486,"超越")+COUNTIFS('4.個人職能盤點'!$A$2:$A$1486,A115,'4.個人職能盤點'!$K$2:$K$1486,"待發展"))</f>
        <v/>
      </c>
      <c r="F115" s="120">
        <f>IF(A115="","",COUNTIFS('4.個人職能盤點'!$A$2:$A$1486,A115,'4.個人職能盤點'!$K$2:$K$1486,"達標")+COUNTIFS('4.個人職能盤點'!$A$2:$A$1486,A115,'4.個人職能盤點'!$K$2:$K$1486,"超越"))</f>
        <v/>
      </c>
      <c r="G115" s="120">
        <f>IF(A115="","",COUNTIFS('4.個人職能盤點'!$A$2:$A$1486,A115,'4.個人職能盤點'!$K$2:$K$1486,"待發展"))</f>
        <v/>
      </c>
      <c r="H115" s="121">
        <f>IF(OR(A115="",E115=0),"",F115/E115)</f>
        <v/>
      </c>
      <c r="I115" s="122">
        <f>IF(OR(A115="",E115=0),"",IFERROR(AVERAGEIFS('4.個人職能盤點'!$J$2:$J$1486,'4.個人職能盤點'!$A$2:$A$1486,A115),""))</f>
        <v/>
      </c>
      <c r="J115" s="123">
        <f>IF(A115="","",IFERROR(AVERAGEIFS('4.個人職能盤點'!$I$2:$I$1486,'4.個人職能盤點'!$A$2:$A$1486,A115,'4.個人職能盤點'!$E$2:$E$1486,"核心職能",'4.個人職能盤點'!$G$2:$G$1486,"&gt;0"),"-"))</f>
        <v/>
      </c>
      <c r="K115" s="123">
        <f>IF(A115="","",IFERROR(AVERAGEIFS('4.個人職能盤點'!$I$2:$I$1486,'4.個人職能盤點'!$A$2:$A$1486,A115,'4.個人職能盤點'!$E$2:$E$1486,"管理職能",'4.個人職能盤點'!$G$2:$G$1486,"&gt;0"),"-"))</f>
        <v/>
      </c>
      <c r="L115" s="123">
        <f>IF(A115="","",IFERROR(AVERAGEIFS('4.個人職能盤點'!$I$2:$I$1486,'4.個人職能盤點'!$A$2:$A$1486,A115,'4.個人職能盤點'!$E$2:$E$1486,"專業職能",'4.個人職能盤點'!$G$2:$G$1486,"&gt;0"),"-"))</f>
        <v/>
      </c>
      <c r="M115" s="120">
        <f>IF(H115="","",IF(H115&gt;=0.9,"優秀",IF(H115&gt;=0.7,"符合期待","需加強發展")))</f>
        <v/>
      </c>
    </row>
    <row r="116" ht="15.75" customHeight="1" s="64">
      <c r="A116" s="120">
        <f>IF('3.員工名單'!A116="","",'3.員工名單'!A116)</f>
        <v/>
      </c>
      <c r="B116" s="120">
        <f>IF(A116="","",'3.員工名單'!B116)</f>
        <v/>
      </c>
      <c r="C116" s="120">
        <f>IF(A116="","",'3.員工名單'!C116)</f>
        <v/>
      </c>
      <c r="D116" s="120">
        <f>IF(A116="","",'3.員工名單'!D116)</f>
        <v/>
      </c>
      <c r="E116" s="120">
        <f>IF(A116="","",COUNTIFS('4.個人職能盤點'!$A$2:$A$1486,A116,'4.個人職能盤點'!$K$2:$K$1486,"達標")+COUNTIFS('4.個人職能盤點'!$A$2:$A$1486,A116,'4.個人職能盤點'!$K$2:$K$1486,"超越")+COUNTIFS('4.個人職能盤點'!$A$2:$A$1486,A116,'4.個人職能盤點'!$K$2:$K$1486,"待發展"))</f>
        <v/>
      </c>
      <c r="F116" s="120">
        <f>IF(A116="","",COUNTIFS('4.個人職能盤點'!$A$2:$A$1486,A116,'4.個人職能盤點'!$K$2:$K$1486,"達標")+COUNTIFS('4.個人職能盤點'!$A$2:$A$1486,A116,'4.個人職能盤點'!$K$2:$K$1486,"超越"))</f>
        <v/>
      </c>
      <c r="G116" s="120">
        <f>IF(A116="","",COUNTIFS('4.個人職能盤點'!$A$2:$A$1486,A116,'4.個人職能盤點'!$K$2:$K$1486,"待發展"))</f>
        <v/>
      </c>
      <c r="H116" s="121">
        <f>IF(OR(A116="",E116=0),"",F116/E116)</f>
        <v/>
      </c>
      <c r="I116" s="122">
        <f>IF(OR(A116="",E116=0),"",IFERROR(AVERAGEIFS('4.個人職能盤點'!$J$2:$J$1486,'4.個人職能盤點'!$A$2:$A$1486,A116),""))</f>
        <v/>
      </c>
      <c r="J116" s="123">
        <f>IF(A116="","",IFERROR(AVERAGEIFS('4.個人職能盤點'!$I$2:$I$1486,'4.個人職能盤點'!$A$2:$A$1486,A116,'4.個人職能盤點'!$E$2:$E$1486,"核心職能",'4.個人職能盤點'!$G$2:$G$1486,"&gt;0"),"-"))</f>
        <v/>
      </c>
      <c r="K116" s="123">
        <f>IF(A116="","",IFERROR(AVERAGEIFS('4.個人職能盤點'!$I$2:$I$1486,'4.個人職能盤點'!$A$2:$A$1486,A116,'4.個人職能盤點'!$E$2:$E$1486,"管理職能",'4.個人職能盤點'!$G$2:$G$1486,"&gt;0"),"-"))</f>
        <v/>
      </c>
      <c r="L116" s="123">
        <f>IF(A116="","",IFERROR(AVERAGEIFS('4.個人職能盤點'!$I$2:$I$1486,'4.個人職能盤點'!$A$2:$A$1486,A116,'4.個人職能盤點'!$E$2:$E$1486,"專業職能",'4.個人職能盤點'!$G$2:$G$1486,"&gt;0"),"-"))</f>
        <v/>
      </c>
      <c r="M116" s="120">
        <f>IF(H116="","",IF(H116&gt;=0.9,"優秀",IF(H116&gt;=0.7,"符合期待","需加強發展")))</f>
        <v/>
      </c>
    </row>
    <row r="117" ht="15.75" customHeight="1" s="64">
      <c r="A117" s="120">
        <f>IF('3.員工名單'!A117="","",'3.員工名單'!A117)</f>
        <v/>
      </c>
      <c r="B117" s="120">
        <f>IF(A117="","",'3.員工名單'!B117)</f>
        <v/>
      </c>
      <c r="C117" s="120">
        <f>IF(A117="","",'3.員工名單'!C117)</f>
        <v/>
      </c>
      <c r="D117" s="120">
        <f>IF(A117="","",'3.員工名單'!D117)</f>
        <v/>
      </c>
      <c r="E117" s="120">
        <f>IF(A117="","",COUNTIFS('4.個人職能盤點'!$A$2:$A$1486,A117,'4.個人職能盤點'!$K$2:$K$1486,"達標")+COUNTIFS('4.個人職能盤點'!$A$2:$A$1486,A117,'4.個人職能盤點'!$K$2:$K$1486,"超越")+COUNTIFS('4.個人職能盤點'!$A$2:$A$1486,A117,'4.個人職能盤點'!$K$2:$K$1486,"待發展"))</f>
        <v/>
      </c>
      <c r="F117" s="120">
        <f>IF(A117="","",COUNTIFS('4.個人職能盤點'!$A$2:$A$1486,A117,'4.個人職能盤點'!$K$2:$K$1486,"達標")+COUNTIFS('4.個人職能盤點'!$A$2:$A$1486,A117,'4.個人職能盤點'!$K$2:$K$1486,"超越"))</f>
        <v/>
      </c>
      <c r="G117" s="120">
        <f>IF(A117="","",COUNTIFS('4.個人職能盤點'!$A$2:$A$1486,A117,'4.個人職能盤點'!$K$2:$K$1486,"待發展"))</f>
        <v/>
      </c>
      <c r="H117" s="121">
        <f>IF(OR(A117="",E117=0),"",F117/E117)</f>
        <v/>
      </c>
      <c r="I117" s="122">
        <f>IF(OR(A117="",E117=0),"",IFERROR(AVERAGEIFS('4.個人職能盤點'!$J$2:$J$1486,'4.個人職能盤點'!$A$2:$A$1486,A117),""))</f>
        <v/>
      </c>
      <c r="J117" s="123">
        <f>IF(A117="","",IFERROR(AVERAGEIFS('4.個人職能盤點'!$I$2:$I$1486,'4.個人職能盤點'!$A$2:$A$1486,A117,'4.個人職能盤點'!$E$2:$E$1486,"核心職能",'4.個人職能盤點'!$G$2:$G$1486,"&gt;0"),"-"))</f>
        <v/>
      </c>
      <c r="K117" s="123">
        <f>IF(A117="","",IFERROR(AVERAGEIFS('4.個人職能盤點'!$I$2:$I$1486,'4.個人職能盤點'!$A$2:$A$1486,A117,'4.個人職能盤點'!$E$2:$E$1486,"管理職能",'4.個人職能盤點'!$G$2:$G$1486,"&gt;0"),"-"))</f>
        <v/>
      </c>
      <c r="L117" s="123">
        <f>IF(A117="","",IFERROR(AVERAGEIFS('4.個人職能盤點'!$I$2:$I$1486,'4.個人職能盤點'!$A$2:$A$1486,A117,'4.個人職能盤點'!$E$2:$E$1486,"專業職能",'4.個人職能盤點'!$G$2:$G$1486,"&gt;0"),"-"))</f>
        <v/>
      </c>
      <c r="M117" s="120">
        <f>IF(H117="","",IF(H117&gt;=0.9,"優秀",IF(H117&gt;=0.7,"符合期待","需加強發展")))</f>
        <v/>
      </c>
    </row>
    <row r="118" ht="15.75" customHeight="1" s="64">
      <c r="A118" s="120">
        <f>IF('3.員工名單'!A118="","",'3.員工名單'!A118)</f>
        <v/>
      </c>
      <c r="B118" s="120">
        <f>IF(A118="","",'3.員工名單'!B118)</f>
        <v/>
      </c>
      <c r="C118" s="120">
        <f>IF(A118="","",'3.員工名單'!C118)</f>
        <v/>
      </c>
      <c r="D118" s="120">
        <f>IF(A118="","",'3.員工名單'!D118)</f>
        <v/>
      </c>
      <c r="E118" s="120">
        <f>IF(A118="","",COUNTIFS('4.個人職能盤點'!$A$2:$A$1486,A118,'4.個人職能盤點'!$K$2:$K$1486,"達標")+COUNTIFS('4.個人職能盤點'!$A$2:$A$1486,A118,'4.個人職能盤點'!$K$2:$K$1486,"超越")+COUNTIFS('4.個人職能盤點'!$A$2:$A$1486,A118,'4.個人職能盤點'!$K$2:$K$1486,"待發展"))</f>
        <v/>
      </c>
      <c r="F118" s="120">
        <f>IF(A118="","",COUNTIFS('4.個人職能盤點'!$A$2:$A$1486,A118,'4.個人職能盤點'!$K$2:$K$1486,"達標")+COUNTIFS('4.個人職能盤點'!$A$2:$A$1486,A118,'4.個人職能盤點'!$K$2:$K$1486,"超越"))</f>
        <v/>
      </c>
      <c r="G118" s="120">
        <f>IF(A118="","",COUNTIFS('4.個人職能盤點'!$A$2:$A$1486,A118,'4.個人職能盤點'!$K$2:$K$1486,"待發展"))</f>
        <v/>
      </c>
      <c r="H118" s="121">
        <f>IF(OR(A118="",E118=0),"",F118/E118)</f>
        <v/>
      </c>
      <c r="I118" s="122">
        <f>IF(OR(A118="",E118=0),"",IFERROR(AVERAGEIFS('4.個人職能盤點'!$J$2:$J$1486,'4.個人職能盤點'!$A$2:$A$1486,A118),""))</f>
        <v/>
      </c>
      <c r="J118" s="123">
        <f>IF(A118="","",IFERROR(AVERAGEIFS('4.個人職能盤點'!$I$2:$I$1486,'4.個人職能盤點'!$A$2:$A$1486,A118,'4.個人職能盤點'!$E$2:$E$1486,"核心職能",'4.個人職能盤點'!$G$2:$G$1486,"&gt;0"),"-"))</f>
        <v/>
      </c>
      <c r="K118" s="123">
        <f>IF(A118="","",IFERROR(AVERAGEIFS('4.個人職能盤點'!$I$2:$I$1486,'4.個人職能盤點'!$A$2:$A$1486,A118,'4.個人職能盤點'!$E$2:$E$1486,"管理職能",'4.個人職能盤點'!$G$2:$G$1486,"&gt;0"),"-"))</f>
        <v/>
      </c>
      <c r="L118" s="123">
        <f>IF(A118="","",IFERROR(AVERAGEIFS('4.個人職能盤點'!$I$2:$I$1486,'4.個人職能盤點'!$A$2:$A$1486,A118,'4.個人職能盤點'!$E$2:$E$1486,"專業職能",'4.個人職能盤點'!$G$2:$G$1486,"&gt;0"),"-"))</f>
        <v/>
      </c>
      <c r="M118" s="120">
        <f>IF(H118="","",IF(H118&gt;=0.9,"優秀",IF(H118&gt;=0.7,"符合期待","需加強發展")))</f>
        <v/>
      </c>
    </row>
    <row r="119" ht="15.75" customHeight="1" s="64">
      <c r="A119" s="120">
        <f>IF('3.員工名單'!A119="","",'3.員工名單'!A119)</f>
        <v/>
      </c>
      <c r="B119" s="120">
        <f>IF(A119="","",'3.員工名單'!B119)</f>
        <v/>
      </c>
      <c r="C119" s="120">
        <f>IF(A119="","",'3.員工名單'!C119)</f>
        <v/>
      </c>
      <c r="D119" s="120">
        <f>IF(A119="","",'3.員工名單'!D119)</f>
        <v/>
      </c>
      <c r="E119" s="120">
        <f>IF(A119="","",COUNTIFS('4.個人職能盤點'!$A$2:$A$1486,A119,'4.個人職能盤點'!$K$2:$K$1486,"達標")+COUNTIFS('4.個人職能盤點'!$A$2:$A$1486,A119,'4.個人職能盤點'!$K$2:$K$1486,"超越")+COUNTIFS('4.個人職能盤點'!$A$2:$A$1486,A119,'4.個人職能盤點'!$K$2:$K$1486,"待發展"))</f>
        <v/>
      </c>
      <c r="F119" s="120">
        <f>IF(A119="","",COUNTIFS('4.個人職能盤點'!$A$2:$A$1486,A119,'4.個人職能盤點'!$K$2:$K$1486,"達標")+COUNTIFS('4.個人職能盤點'!$A$2:$A$1486,A119,'4.個人職能盤點'!$K$2:$K$1486,"超越"))</f>
        <v/>
      </c>
      <c r="G119" s="120">
        <f>IF(A119="","",COUNTIFS('4.個人職能盤點'!$A$2:$A$1486,A119,'4.個人職能盤點'!$K$2:$K$1486,"待發展"))</f>
        <v/>
      </c>
      <c r="H119" s="121">
        <f>IF(OR(A119="",E119=0),"",F119/E119)</f>
        <v/>
      </c>
      <c r="I119" s="122">
        <f>IF(OR(A119="",E119=0),"",IFERROR(AVERAGEIFS('4.個人職能盤點'!$J$2:$J$1486,'4.個人職能盤點'!$A$2:$A$1486,A119),""))</f>
        <v/>
      </c>
      <c r="J119" s="123">
        <f>IF(A119="","",IFERROR(AVERAGEIFS('4.個人職能盤點'!$I$2:$I$1486,'4.個人職能盤點'!$A$2:$A$1486,A119,'4.個人職能盤點'!$E$2:$E$1486,"核心職能",'4.個人職能盤點'!$G$2:$G$1486,"&gt;0"),"-"))</f>
        <v/>
      </c>
      <c r="K119" s="123">
        <f>IF(A119="","",IFERROR(AVERAGEIFS('4.個人職能盤點'!$I$2:$I$1486,'4.個人職能盤點'!$A$2:$A$1486,A119,'4.個人職能盤點'!$E$2:$E$1486,"管理職能",'4.個人職能盤點'!$G$2:$G$1486,"&gt;0"),"-"))</f>
        <v/>
      </c>
      <c r="L119" s="123">
        <f>IF(A119="","",IFERROR(AVERAGEIFS('4.個人職能盤點'!$I$2:$I$1486,'4.個人職能盤點'!$A$2:$A$1486,A119,'4.個人職能盤點'!$E$2:$E$1486,"專業職能",'4.個人職能盤點'!$G$2:$G$1486,"&gt;0"),"-"))</f>
        <v/>
      </c>
      <c r="M119" s="120">
        <f>IF(H119="","",IF(H119&gt;=0.9,"優秀",IF(H119&gt;=0.7,"符合期待","需加強發展")))</f>
        <v/>
      </c>
    </row>
    <row r="120" ht="15.75" customHeight="1" s="64">
      <c r="A120" s="120">
        <f>IF('3.員工名單'!A120="","",'3.員工名單'!A120)</f>
        <v/>
      </c>
      <c r="B120" s="120">
        <f>IF(A120="","",'3.員工名單'!B120)</f>
        <v/>
      </c>
      <c r="C120" s="120">
        <f>IF(A120="","",'3.員工名單'!C120)</f>
        <v/>
      </c>
      <c r="D120" s="120">
        <f>IF(A120="","",'3.員工名單'!D120)</f>
        <v/>
      </c>
      <c r="E120" s="120">
        <f>IF(A120="","",COUNTIFS('4.個人職能盤點'!$A$2:$A$1486,A120,'4.個人職能盤點'!$K$2:$K$1486,"達標")+COUNTIFS('4.個人職能盤點'!$A$2:$A$1486,A120,'4.個人職能盤點'!$K$2:$K$1486,"超越")+COUNTIFS('4.個人職能盤點'!$A$2:$A$1486,A120,'4.個人職能盤點'!$K$2:$K$1486,"待發展"))</f>
        <v/>
      </c>
      <c r="F120" s="120">
        <f>IF(A120="","",COUNTIFS('4.個人職能盤點'!$A$2:$A$1486,A120,'4.個人職能盤點'!$K$2:$K$1486,"達標")+COUNTIFS('4.個人職能盤點'!$A$2:$A$1486,A120,'4.個人職能盤點'!$K$2:$K$1486,"超越"))</f>
        <v/>
      </c>
      <c r="G120" s="120">
        <f>IF(A120="","",COUNTIFS('4.個人職能盤點'!$A$2:$A$1486,A120,'4.個人職能盤點'!$K$2:$K$1486,"待發展"))</f>
        <v/>
      </c>
      <c r="H120" s="121">
        <f>IF(OR(A120="",E120=0),"",F120/E120)</f>
        <v/>
      </c>
      <c r="I120" s="122">
        <f>IF(OR(A120="",E120=0),"",IFERROR(AVERAGEIFS('4.個人職能盤點'!$J$2:$J$1486,'4.個人職能盤點'!$A$2:$A$1486,A120),""))</f>
        <v/>
      </c>
      <c r="J120" s="123">
        <f>IF(A120="","",IFERROR(AVERAGEIFS('4.個人職能盤點'!$I$2:$I$1486,'4.個人職能盤點'!$A$2:$A$1486,A120,'4.個人職能盤點'!$E$2:$E$1486,"核心職能",'4.個人職能盤點'!$G$2:$G$1486,"&gt;0"),"-"))</f>
        <v/>
      </c>
      <c r="K120" s="123">
        <f>IF(A120="","",IFERROR(AVERAGEIFS('4.個人職能盤點'!$I$2:$I$1486,'4.個人職能盤點'!$A$2:$A$1486,A120,'4.個人職能盤點'!$E$2:$E$1486,"管理職能",'4.個人職能盤點'!$G$2:$G$1486,"&gt;0"),"-"))</f>
        <v/>
      </c>
      <c r="L120" s="123">
        <f>IF(A120="","",IFERROR(AVERAGEIFS('4.個人職能盤點'!$I$2:$I$1486,'4.個人職能盤點'!$A$2:$A$1486,A120,'4.個人職能盤點'!$E$2:$E$1486,"專業職能",'4.個人職能盤點'!$G$2:$G$1486,"&gt;0"),"-"))</f>
        <v/>
      </c>
      <c r="M120" s="120">
        <f>IF(H120="","",IF(H120&gt;=0.9,"優秀",IF(H120&gt;=0.7,"符合期待","需加強發展")))</f>
        <v/>
      </c>
    </row>
    <row r="121" ht="15.75" customHeight="1" s="64">
      <c r="A121" s="120">
        <f>IF('3.員工名單'!A121="","",'3.員工名單'!A121)</f>
        <v/>
      </c>
      <c r="B121" s="120">
        <f>IF(A121="","",'3.員工名單'!B121)</f>
        <v/>
      </c>
      <c r="C121" s="120">
        <f>IF(A121="","",'3.員工名單'!C121)</f>
        <v/>
      </c>
      <c r="D121" s="120">
        <f>IF(A121="","",'3.員工名單'!D121)</f>
        <v/>
      </c>
      <c r="E121" s="120">
        <f>IF(A121="","",COUNTIFS('4.個人職能盤點'!$A$2:$A$1486,A121,'4.個人職能盤點'!$K$2:$K$1486,"達標")+COUNTIFS('4.個人職能盤點'!$A$2:$A$1486,A121,'4.個人職能盤點'!$K$2:$K$1486,"超越")+COUNTIFS('4.個人職能盤點'!$A$2:$A$1486,A121,'4.個人職能盤點'!$K$2:$K$1486,"待發展"))</f>
        <v/>
      </c>
      <c r="F121" s="120">
        <f>IF(A121="","",COUNTIFS('4.個人職能盤點'!$A$2:$A$1486,A121,'4.個人職能盤點'!$K$2:$K$1486,"達標")+COUNTIFS('4.個人職能盤點'!$A$2:$A$1486,A121,'4.個人職能盤點'!$K$2:$K$1486,"超越"))</f>
        <v/>
      </c>
      <c r="G121" s="120">
        <f>IF(A121="","",COUNTIFS('4.個人職能盤點'!$A$2:$A$1486,A121,'4.個人職能盤點'!$K$2:$K$1486,"待發展"))</f>
        <v/>
      </c>
      <c r="H121" s="121">
        <f>IF(OR(A121="",E121=0),"",F121/E121)</f>
        <v/>
      </c>
      <c r="I121" s="122">
        <f>IF(OR(A121="",E121=0),"",IFERROR(AVERAGEIFS('4.個人職能盤點'!$J$2:$J$1486,'4.個人職能盤點'!$A$2:$A$1486,A121),""))</f>
        <v/>
      </c>
      <c r="J121" s="123">
        <f>IF(A121="","",IFERROR(AVERAGEIFS('4.個人職能盤點'!$I$2:$I$1486,'4.個人職能盤點'!$A$2:$A$1486,A121,'4.個人職能盤點'!$E$2:$E$1486,"核心職能",'4.個人職能盤點'!$G$2:$G$1486,"&gt;0"),"-"))</f>
        <v/>
      </c>
      <c r="K121" s="123">
        <f>IF(A121="","",IFERROR(AVERAGEIFS('4.個人職能盤點'!$I$2:$I$1486,'4.個人職能盤點'!$A$2:$A$1486,A121,'4.個人職能盤點'!$E$2:$E$1486,"管理職能",'4.個人職能盤點'!$G$2:$G$1486,"&gt;0"),"-"))</f>
        <v/>
      </c>
      <c r="L121" s="123">
        <f>IF(A121="","",IFERROR(AVERAGEIFS('4.個人職能盤點'!$I$2:$I$1486,'4.個人職能盤點'!$A$2:$A$1486,A121,'4.個人職能盤點'!$E$2:$E$1486,"專業職能",'4.個人職能盤點'!$G$2:$G$1486,"&gt;0"),"-"))</f>
        <v/>
      </c>
      <c r="M121" s="120">
        <f>IF(H121="","",IF(H121&gt;=0.9,"優秀",IF(H121&gt;=0.7,"符合期待","需加強發展")))</f>
        <v/>
      </c>
    </row>
    <row r="122" ht="15.75" customHeight="1" s="64">
      <c r="A122" s="120">
        <f>IF('3.員工名單'!A122="","",'3.員工名單'!A122)</f>
        <v/>
      </c>
      <c r="B122" s="120">
        <f>IF(A122="","",'3.員工名單'!B122)</f>
        <v/>
      </c>
      <c r="C122" s="120">
        <f>IF(A122="","",'3.員工名單'!C122)</f>
        <v/>
      </c>
      <c r="D122" s="120">
        <f>IF(A122="","",'3.員工名單'!D122)</f>
        <v/>
      </c>
      <c r="E122" s="120">
        <f>IF(A122="","",COUNTIFS('4.個人職能盤點'!$A$2:$A$1486,A122,'4.個人職能盤點'!$K$2:$K$1486,"達標")+COUNTIFS('4.個人職能盤點'!$A$2:$A$1486,A122,'4.個人職能盤點'!$K$2:$K$1486,"超越")+COUNTIFS('4.個人職能盤點'!$A$2:$A$1486,A122,'4.個人職能盤點'!$K$2:$K$1486,"待發展"))</f>
        <v/>
      </c>
      <c r="F122" s="120">
        <f>IF(A122="","",COUNTIFS('4.個人職能盤點'!$A$2:$A$1486,A122,'4.個人職能盤點'!$K$2:$K$1486,"達標")+COUNTIFS('4.個人職能盤點'!$A$2:$A$1486,A122,'4.個人職能盤點'!$K$2:$K$1486,"超越"))</f>
        <v/>
      </c>
      <c r="G122" s="120">
        <f>IF(A122="","",COUNTIFS('4.個人職能盤點'!$A$2:$A$1486,A122,'4.個人職能盤點'!$K$2:$K$1486,"待發展"))</f>
        <v/>
      </c>
      <c r="H122" s="121">
        <f>IF(OR(A122="",E122=0),"",F122/E122)</f>
        <v/>
      </c>
      <c r="I122" s="122">
        <f>IF(OR(A122="",E122=0),"",IFERROR(AVERAGEIFS('4.個人職能盤點'!$J$2:$J$1486,'4.個人職能盤點'!$A$2:$A$1486,A122),""))</f>
        <v/>
      </c>
      <c r="J122" s="123">
        <f>IF(A122="","",IFERROR(AVERAGEIFS('4.個人職能盤點'!$I$2:$I$1486,'4.個人職能盤點'!$A$2:$A$1486,A122,'4.個人職能盤點'!$E$2:$E$1486,"核心職能",'4.個人職能盤點'!$G$2:$G$1486,"&gt;0"),"-"))</f>
        <v/>
      </c>
      <c r="K122" s="123">
        <f>IF(A122="","",IFERROR(AVERAGEIFS('4.個人職能盤點'!$I$2:$I$1486,'4.個人職能盤點'!$A$2:$A$1486,A122,'4.個人職能盤點'!$E$2:$E$1486,"管理職能",'4.個人職能盤點'!$G$2:$G$1486,"&gt;0"),"-"))</f>
        <v/>
      </c>
      <c r="L122" s="123">
        <f>IF(A122="","",IFERROR(AVERAGEIFS('4.個人職能盤點'!$I$2:$I$1486,'4.個人職能盤點'!$A$2:$A$1486,A122,'4.個人職能盤點'!$E$2:$E$1486,"專業職能",'4.個人職能盤點'!$G$2:$G$1486,"&gt;0"),"-"))</f>
        <v/>
      </c>
      <c r="M122" s="120">
        <f>IF(H122="","",IF(H122&gt;=0.9,"優秀",IF(H122&gt;=0.7,"符合期待","需加強發展")))</f>
        <v/>
      </c>
    </row>
    <row r="123" ht="15.75" customHeight="1" s="64">
      <c r="A123" s="120">
        <f>IF('3.員工名單'!A123="","",'3.員工名單'!A123)</f>
        <v/>
      </c>
      <c r="B123" s="120">
        <f>IF(A123="","",'3.員工名單'!B123)</f>
        <v/>
      </c>
      <c r="C123" s="120">
        <f>IF(A123="","",'3.員工名單'!C123)</f>
        <v/>
      </c>
      <c r="D123" s="120">
        <f>IF(A123="","",'3.員工名單'!D123)</f>
        <v/>
      </c>
      <c r="E123" s="120">
        <f>IF(A123="","",COUNTIFS('4.個人職能盤點'!$A$2:$A$1486,A123,'4.個人職能盤點'!$K$2:$K$1486,"達標")+COUNTIFS('4.個人職能盤點'!$A$2:$A$1486,A123,'4.個人職能盤點'!$K$2:$K$1486,"超越")+COUNTIFS('4.個人職能盤點'!$A$2:$A$1486,A123,'4.個人職能盤點'!$K$2:$K$1486,"待發展"))</f>
        <v/>
      </c>
      <c r="F123" s="120">
        <f>IF(A123="","",COUNTIFS('4.個人職能盤點'!$A$2:$A$1486,A123,'4.個人職能盤點'!$K$2:$K$1486,"達標")+COUNTIFS('4.個人職能盤點'!$A$2:$A$1486,A123,'4.個人職能盤點'!$K$2:$K$1486,"超越"))</f>
        <v/>
      </c>
      <c r="G123" s="120">
        <f>IF(A123="","",COUNTIFS('4.個人職能盤點'!$A$2:$A$1486,A123,'4.個人職能盤點'!$K$2:$K$1486,"待發展"))</f>
        <v/>
      </c>
      <c r="H123" s="121">
        <f>IF(OR(A123="",E123=0),"",F123/E123)</f>
        <v/>
      </c>
      <c r="I123" s="122">
        <f>IF(OR(A123="",E123=0),"",IFERROR(AVERAGEIFS('4.個人職能盤點'!$J$2:$J$1486,'4.個人職能盤點'!$A$2:$A$1486,A123),""))</f>
        <v/>
      </c>
      <c r="J123" s="123">
        <f>IF(A123="","",IFERROR(AVERAGEIFS('4.個人職能盤點'!$I$2:$I$1486,'4.個人職能盤點'!$A$2:$A$1486,A123,'4.個人職能盤點'!$E$2:$E$1486,"核心職能",'4.個人職能盤點'!$G$2:$G$1486,"&gt;0"),"-"))</f>
        <v/>
      </c>
      <c r="K123" s="123">
        <f>IF(A123="","",IFERROR(AVERAGEIFS('4.個人職能盤點'!$I$2:$I$1486,'4.個人職能盤點'!$A$2:$A$1486,A123,'4.個人職能盤點'!$E$2:$E$1486,"管理職能",'4.個人職能盤點'!$G$2:$G$1486,"&gt;0"),"-"))</f>
        <v/>
      </c>
      <c r="L123" s="123">
        <f>IF(A123="","",IFERROR(AVERAGEIFS('4.個人職能盤點'!$I$2:$I$1486,'4.個人職能盤點'!$A$2:$A$1486,A123,'4.個人職能盤點'!$E$2:$E$1486,"專業職能",'4.個人職能盤點'!$G$2:$G$1486,"&gt;0"),"-"))</f>
        <v/>
      </c>
      <c r="M123" s="120">
        <f>IF(H123="","",IF(H123&gt;=0.9,"優秀",IF(H123&gt;=0.7,"符合期待","需加強發展")))</f>
        <v/>
      </c>
    </row>
    <row r="124" ht="15.75" customHeight="1" s="64">
      <c r="A124" s="120">
        <f>IF('3.員工名單'!A124="","",'3.員工名單'!A124)</f>
        <v/>
      </c>
      <c r="B124" s="120">
        <f>IF(A124="","",'3.員工名單'!B124)</f>
        <v/>
      </c>
      <c r="C124" s="120">
        <f>IF(A124="","",'3.員工名單'!C124)</f>
        <v/>
      </c>
      <c r="D124" s="120">
        <f>IF(A124="","",'3.員工名單'!D124)</f>
        <v/>
      </c>
      <c r="E124" s="120">
        <f>IF(A124="","",COUNTIFS('4.個人職能盤點'!$A$2:$A$1486,A124,'4.個人職能盤點'!$K$2:$K$1486,"達標")+COUNTIFS('4.個人職能盤點'!$A$2:$A$1486,A124,'4.個人職能盤點'!$K$2:$K$1486,"超越")+COUNTIFS('4.個人職能盤點'!$A$2:$A$1486,A124,'4.個人職能盤點'!$K$2:$K$1486,"待發展"))</f>
        <v/>
      </c>
      <c r="F124" s="120">
        <f>IF(A124="","",COUNTIFS('4.個人職能盤點'!$A$2:$A$1486,A124,'4.個人職能盤點'!$K$2:$K$1486,"達標")+COUNTIFS('4.個人職能盤點'!$A$2:$A$1486,A124,'4.個人職能盤點'!$K$2:$K$1486,"超越"))</f>
        <v/>
      </c>
      <c r="G124" s="120">
        <f>IF(A124="","",COUNTIFS('4.個人職能盤點'!$A$2:$A$1486,A124,'4.個人職能盤點'!$K$2:$K$1486,"待發展"))</f>
        <v/>
      </c>
      <c r="H124" s="121">
        <f>IF(OR(A124="",E124=0),"",F124/E124)</f>
        <v/>
      </c>
      <c r="I124" s="122">
        <f>IF(OR(A124="",E124=0),"",IFERROR(AVERAGEIFS('4.個人職能盤點'!$J$2:$J$1486,'4.個人職能盤點'!$A$2:$A$1486,A124),""))</f>
        <v/>
      </c>
      <c r="J124" s="123">
        <f>IF(A124="","",IFERROR(AVERAGEIFS('4.個人職能盤點'!$I$2:$I$1486,'4.個人職能盤點'!$A$2:$A$1486,A124,'4.個人職能盤點'!$E$2:$E$1486,"核心職能",'4.個人職能盤點'!$G$2:$G$1486,"&gt;0"),"-"))</f>
        <v/>
      </c>
      <c r="K124" s="123">
        <f>IF(A124="","",IFERROR(AVERAGEIFS('4.個人職能盤點'!$I$2:$I$1486,'4.個人職能盤點'!$A$2:$A$1486,A124,'4.個人職能盤點'!$E$2:$E$1486,"管理職能",'4.個人職能盤點'!$G$2:$G$1486,"&gt;0"),"-"))</f>
        <v/>
      </c>
      <c r="L124" s="123">
        <f>IF(A124="","",IFERROR(AVERAGEIFS('4.個人職能盤點'!$I$2:$I$1486,'4.個人職能盤點'!$A$2:$A$1486,A124,'4.個人職能盤點'!$E$2:$E$1486,"專業職能",'4.個人職能盤點'!$G$2:$G$1486,"&gt;0"),"-"))</f>
        <v/>
      </c>
      <c r="M124" s="120">
        <f>IF(H124="","",IF(H124&gt;=0.9,"優秀",IF(H124&gt;=0.7,"符合期待","需加強發展")))</f>
        <v/>
      </c>
    </row>
    <row r="125" ht="15.75" customHeight="1" s="64">
      <c r="A125" s="120">
        <f>IF('3.員工名單'!A125="","",'3.員工名單'!A125)</f>
        <v/>
      </c>
      <c r="B125" s="120">
        <f>IF(A125="","",'3.員工名單'!B125)</f>
        <v/>
      </c>
      <c r="C125" s="120">
        <f>IF(A125="","",'3.員工名單'!C125)</f>
        <v/>
      </c>
      <c r="D125" s="120">
        <f>IF(A125="","",'3.員工名單'!D125)</f>
        <v/>
      </c>
      <c r="E125" s="120">
        <f>IF(A125="","",COUNTIFS('4.個人職能盤點'!$A$2:$A$1486,A125,'4.個人職能盤點'!$K$2:$K$1486,"達標")+COUNTIFS('4.個人職能盤點'!$A$2:$A$1486,A125,'4.個人職能盤點'!$K$2:$K$1486,"超越")+COUNTIFS('4.個人職能盤點'!$A$2:$A$1486,A125,'4.個人職能盤點'!$K$2:$K$1486,"待發展"))</f>
        <v/>
      </c>
      <c r="F125" s="120">
        <f>IF(A125="","",COUNTIFS('4.個人職能盤點'!$A$2:$A$1486,A125,'4.個人職能盤點'!$K$2:$K$1486,"達標")+COUNTIFS('4.個人職能盤點'!$A$2:$A$1486,A125,'4.個人職能盤點'!$K$2:$K$1486,"超越"))</f>
        <v/>
      </c>
      <c r="G125" s="120">
        <f>IF(A125="","",COUNTIFS('4.個人職能盤點'!$A$2:$A$1486,A125,'4.個人職能盤點'!$K$2:$K$1486,"待發展"))</f>
        <v/>
      </c>
      <c r="H125" s="121">
        <f>IF(OR(A125="",E125=0),"",F125/E125)</f>
        <v/>
      </c>
      <c r="I125" s="122">
        <f>IF(OR(A125="",E125=0),"",IFERROR(AVERAGEIFS('4.個人職能盤點'!$J$2:$J$1486,'4.個人職能盤點'!$A$2:$A$1486,A125),""))</f>
        <v/>
      </c>
      <c r="J125" s="123">
        <f>IF(A125="","",IFERROR(AVERAGEIFS('4.個人職能盤點'!$I$2:$I$1486,'4.個人職能盤點'!$A$2:$A$1486,A125,'4.個人職能盤點'!$E$2:$E$1486,"核心職能",'4.個人職能盤點'!$G$2:$G$1486,"&gt;0"),"-"))</f>
        <v/>
      </c>
      <c r="K125" s="123">
        <f>IF(A125="","",IFERROR(AVERAGEIFS('4.個人職能盤點'!$I$2:$I$1486,'4.個人職能盤點'!$A$2:$A$1486,A125,'4.個人職能盤點'!$E$2:$E$1486,"管理職能",'4.個人職能盤點'!$G$2:$G$1486,"&gt;0"),"-"))</f>
        <v/>
      </c>
      <c r="L125" s="123">
        <f>IF(A125="","",IFERROR(AVERAGEIFS('4.個人職能盤點'!$I$2:$I$1486,'4.個人職能盤點'!$A$2:$A$1486,A125,'4.個人職能盤點'!$E$2:$E$1486,"專業職能",'4.個人職能盤點'!$G$2:$G$1486,"&gt;0"),"-"))</f>
        <v/>
      </c>
      <c r="M125" s="120">
        <f>IF(H125="","",IF(H125&gt;=0.9,"優秀",IF(H125&gt;=0.7,"符合期待","需加強發展")))</f>
        <v/>
      </c>
    </row>
    <row r="126" ht="15.75" customHeight="1" s="64">
      <c r="A126" s="120">
        <f>IF('3.員工名單'!A126="","",'3.員工名單'!A126)</f>
        <v/>
      </c>
      <c r="B126" s="120">
        <f>IF(A126="","",'3.員工名單'!B126)</f>
        <v/>
      </c>
      <c r="C126" s="120">
        <f>IF(A126="","",'3.員工名單'!C126)</f>
        <v/>
      </c>
      <c r="D126" s="120">
        <f>IF(A126="","",'3.員工名單'!D126)</f>
        <v/>
      </c>
      <c r="E126" s="120">
        <f>IF(A126="","",COUNTIFS('4.個人職能盤點'!$A$2:$A$1486,A126,'4.個人職能盤點'!$K$2:$K$1486,"達標")+COUNTIFS('4.個人職能盤點'!$A$2:$A$1486,A126,'4.個人職能盤點'!$K$2:$K$1486,"超越")+COUNTIFS('4.個人職能盤點'!$A$2:$A$1486,A126,'4.個人職能盤點'!$K$2:$K$1486,"待發展"))</f>
        <v/>
      </c>
      <c r="F126" s="120">
        <f>IF(A126="","",COUNTIFS('4.個人職能盤點'!$A$2:$A$1486,A126,'4.個人職能盤點'!$K$2:$K$1486,"達標")+COUNTIFS('4.個人職能盤點'!$A$2:$A$1486,A126,'4.個人職能盤點'!$K$2:$K$1486,"超越"))</f>
        <v/>
      </c>
      <c r="G126" s="120">
        <f>IF(A126="","",COUNTIFS('4.個人職能盤點'!$A$2:$A$1486,A126,'4.個人職能盤點'!$K$2:$K$1486,"待發展"))</f>
        <v/>
      </c>
      <c r="H126" s="121">
        <f>IF(OR(A126="",E126=0),"",F126/E126)</f>
        <v/>
      </c>
      <c r="I126" s="122">
        <f>IF(OR(A126="",E126=0),"",IFERROR(AVERAGEIFS('4.個人職能盤點'!$J$2:$J$1486,'4.個人職能盤點'!$A$2:$A$1486,A126),""))</f>
        <v/>
      </c>
      <c r="J126" s="123">
        <f>IF(A126="","",IFERROR(AVERAGEIFS('4.個人職能盤點'!$I$2:$I$1486,'4.個人職能盤點'!$A$2:$A$1486,A126,'4.個人職能盤點'!$E$2:$E$1486,"核心職能",'4.個人職能盤點'!$G$2:$G$1486,"&gt;0"),"-"))</f>
        <v/>
      </c>
      <c r="K126" s="123">
        <f>IF(A126="","",IFERROR(AVERAGEIFS('4.個人職能盤點'!$I$2:$I$1486,'4.個人職能盤點'!$A$2:$A$1486,A126,'4.個人職能盤點'!$E$2:$E$1486,"管理職能",'4.個人職能盤點'!$G$2:$G$1486,"&gt;0"),"-"))</f>
        <v/>
      </c>
      <c r="L126" s="123">
        <f>IF(A126="","",IFERROR(AVERAGEIFS('4.個人職能盤點'!$I$2:$I$1486,'4.個人職能盤點'!$A$2:$A$1486,A126,'4.個人職能盤點'!$E$2:$E$1486,"專業職能",'4.個人職能盤點'!$G$2:$G$1486,"&gt;0"),"-"))</f>
        <v/>
      </c>
      <c r="M126" s="120">
        <f>IF(H126="","",IF(H126&gt;=0.9,"優秀",IF(H126&gt;=0.7,"符合期待","需加強發展")))</f>
        <v/>
      </c>
    </row>
    <row r="127" ht="15.75" customHeight="1" s="64">
      <c r="A127" s="120">
        <f>IF('3.員工名單'!A127="","",'3.員工名單'!A127)</f>
        <v/>
      </c>
      <c r="B127" s="120">
        <f>IF(A127="","",'3.員工名單'!B127)</f>
        <v/>
      </c>
      <c r="C127" s="120">
        <f>IF(A127="","",'3.員工名單'!C127)</f>
        <v/>
      </c>
      <c r="D127" s="120">
        <f>IF(A127="","",'3.員工名單'!D127)</f>
        <v/>
      </c>
      <c r="E127" s="120">
        <f>IF(A127="","",COUNTIFS('4.個人職能盤點'!$A$2:$A$1486,A127,'4.個人職能盤點'!$K$2:$K$1486,"達標")+COUNTIFS('4.個人職能盤點'!$A$2:$A$1486,A127,'4.個人職能盤點'!$K$2:$K$1486,"超越")+COUNTIFS('4.個人職能盤點'!$A$2:$A$1486,A127,'4.個人職能盤點'!$K$2:$K$1486,"待發展"))</f>
        <v/>
      </c>
      <c r="F127" s="120">
        <f>IF(A127="","",COUNTIFS('4.個人職能盤點'!$A$2:$A$1486,A127,'4.個人職能盤點'!$K$2:$K$1486,"達標")+COUNTIFS('4.個人職能盤點'!$A$2:$A$1486,A127,'4.個人職能盤點'!$K$2:$K$1486,"超越"))</f>
        <v/>
      </c>
      <c r="G127" s="120">
        <f>IF(A127="","",COUNTIFS('4.個人職能盤點'!$A$2:$A$1486,A127,'4.個人職能盤點'!$K$2:$K$1486,"待發展"))</f>
        <v/>
      </c>
      <c r="H127" s="121">
        <f>IF(OR(A127="",E127=0),"",F127/E127)</f>
        <v/>
      </c>
      <c r="I127" s="122">
        <f>IF(OR(A127="",E127=0),"",IFERROR(AVERAGEIFS('4.個人職能盤點'!$J$2:$J$1486,'4.個人職能盤點'!$A$2:$A$1486,A127),""))</f>
        <v/>
      </c>
      <c r="J127" s="123">
        <f>IF(A127="","",IFERROR(AVERAGEIFS('4.個人職能盤點'!$I$2:$I$1486,'4.個人職能盤點'!$A$2:$A$1486,A127,'4.個人職能盤點'!$E$2:$E$1486,"核心職能",'4.個人職能盤點'!$G$2:$G$1486,"&gt;0"),"-"))</f>
        <v/>
      </c>
      <c r="K127" s="123">
        <f>IF(A127="","",IFERROR(AVERAGEIFS('4.個人職能盤點'!$I$2:$I$1486,'4.個人職能盤點'!$A$2:$A$1486,A127,'4.個人職能盤點'!$E$2:$E$1486,"管理職能",'4.個人職能盤點'!$G$2:$G$1486,"&gt;0"),"-"))</f>
        <v/>
      </c>
      <c r="L127" s="123">
        <f>IF(A127="","",IFERROR(AVERAGEIFS('4.個人職能盤點'!$I$2:$I$1486,'4.個人職能盤點'!$A$2:$A$1486,A127,'4.個人職能盤點'!$E$2:$E$1486,"專業職能",'4.個人職能盤點'!$G$2:$G$1486,"&gt;0"),"-"))</f>
        <v/>
      </c>
      <c r="M127" s="120">
        <f>IF(H127="","",IF(H127&gt;=0.9,"優秀",IF(H127&gt;=0.7,"符合期待","需加強發展")))</f>
        <v/>
      </c>
    </row>
    <row r="128" ht="15.75" customHeight="1" s="64">
      <c r="A128" s="120">
        <f>IF('3.員工名單'!A128="","",'3.員工名單'!A128)</f>
        <v/>
      </c>
      <c r="B128" s="120">
        <f>IF(A128="","",'3.員工名單'!B128)</f>
        <v/>
      </c>
      <c r="C128" s="120">
        <f>IF(A128="","",'3.員工名單'!C128)</f>
        <v/>
      </c>
      <c r="D128" s="120">
        <f>IF(A128="","",'3.員工名單'!D128)</f>
        <v/>
      </c>
      <c r="E128" s="120">
        <f>IF(A128="","",COUNTIFS('4.個人職能盤點'!$A$2:$A$1486,A128,'4.個人職能盤點'!$K$2:$K$1486,"達標")+COUNTIFS('4.個人職能盤點'!$A$2:$A$1486,A128,'4.個人職能盤點'!$K$2:$K$1486,"超越")+COUNTIFS('4.個人職能盤點'!$A$2:$A$1486,A128,'4.個人職能盤點'!$K$2:$K$1486,"待發展"))</f>
        <v/>
      </c>
      <c r="F128" s="120">
        <f>IF(A128="","",COUNTIFS('4.個人職能盤點'!$A$2:$A$1486,A128,'4.個人職能盤點'!$K$2:$K$1486,"達標")+COUNTIFS('4.個人職能盤點'!$A$2:$A$1486,A128,'4.個人職能盤點'!$K$2:$K$1486,"超越"))</f>
        <v/>
      </c>
      <c r="G128" s="120">
        <f>IF(A128="","",COUNTIFS('4.個人職能盤點'!$A$2:$A$1486,A128,'4.個人職能盤點'!$K$2:$K$1486,"待發展"))</f>
        <v/>
      </c>
      <c r="H128" s="121">
        <f>IF(OR(A128="",E128=0),"",F128/E128)</f>
        <v/>
      </c>
      <c r="I128" s="122">
        <f>IF(OR(A128="",E128=0),"",IFERROR(AVERAGEIFS('4.個人職能盤點'!$J$2:$J$1486,'4.個人職能盤點'!$A$2:$A$1486,A128),""))</f>
        <v/>
      </c>
      <c r="J128" s="123">
        <f>IF(A128="","",IFERROR(AVERAGEIFS('4.個人職能盤點'!$I$2:$I$1486,'4.個人職能盤點'!$A$2:$A$1486,A128,'4.個人職能盤點'!$E$2:$E$1486,"核心職能",'4.個人職能盤點'!$G$2:$G$1486,"&gt;0"),"-"))</f>
        <v/>
      </c>
      <c r="K128" s="123">
        <f>IF(A128="","",IFERROR(AVERAGEIFS('4.個人職能盤點'!$I$2:$I$1486,'4.個人職能盤點'!$A$2:$A$1486,A128,'4.個人職能盤點'!$E$2:$E$1486,"管理職能",'4.個人職能盤點'!$G$2:$G$1486,"&gt;0"),"-"))</f>
        <v/>
      </c>
      <c r="L128" s="123">
        <f>IF(A128="","",IFERROR(AVERAGEIFS('4.個人職能盤點'!$I$2:$I$1486,'4.個人職能盤點'!$A$2:$A$1486,A128,'4.個人職能盤點'!$E$2:$E$1486,"專業職能",'4.個人職能盤點'!$G$2:$G$1486,"&gt;0"),"-"))</f>
        <v/>
      </c>
      <c r="M128" s="120">
        <f>IF(H128="","",IF(H128&gt;=0.9,"優秀",IF(H128&gt;=0.7,"符合期待","需加強發展")))</f>
        <v/>
      </c>
    </row>
    <row r="129" ht="15.75" customHeight="1" s="64">
      <c r="A129" s="120">
        <f>IF('3.員工名單'!A129="","",'3.員工名單'!A129)</f>
        <v/>
      </c>
      <c r="B129" s="120">
        <f>IF(A129="","",'3.員工名單'!B129)</f>
        <v/>
      </c>
      <c r="C129" s="120">
        <f>IF(A129="","",'3.員工名單'!C129)</f>
        <v/>
      </c>
      <c r="D129" s="120">
        <f>IF(A129="","",'3.員工名單'!D129)</f>
        <v/>
      </c>
      <c r="E129" s="120">
        <f>IF(A129="","",COUNTIFS('4.個人職能盤點'!$A$2:$A$1486,A129,'4.個人職能盤點'!$K$2:$K$1486,"達標")+COUNTIFS('4.個人職能盤點'!$A$2:$A$1486,A129,'4.個人職能盤點'!$K$2:$K$1486,"超越")+COUNTIFS('4.個人職能盤點'!$A$2:$A$1486,A129,'4.個人職能盤點'!$K$2:$K$1486,"待發展"))</f>
        <v/>
      </c>
      <c r="F129" s="120">
        <f>IF(A129="","",COUNTIFS('4.個人職能盤點'!$A$2:$A$1486,A129,'4.個人職能盤點'!$K$2:$K$1486,"達標")+COUNTIFS('4.個人職能盤點'!$A$2:$A$1486,A129,'4.個人職能盤點'!$K$2:$K$1486,"超越"))</f>
        <v/>
      </c>
      <c r="G129" s="120">
        <f>IF(A129="","",COUNTIFS('4.個人職能盤點'!$A$2:$A$1486,A129,'4.個人職能盤點'!$K$2:$K$1486,"待發展"))</f>
        <v/>
      </c>
      <c r="H129" s="121">
        <f>IF(OR(A129="",E129=0),"",F129/E129)</f>
        <v/>
      </c>
      <c r="I129" s="122">
        <f>IF(OR(A129="",E129=0),"",IFERROR(AVERAGEIFS('4.個人職能盤點'!$J$2:$J$1486,'4.個人職能盤點'!$A$2:$A$1486,A129),""))</f>
        <v/>
      </c>
      <c r="J129" s="123">
        <f>IF(A129="","",IFERROR(AVERAGEIFS('4.個人職能盤點'!$I$2:$I$1486,'4.個人職能盤點'!$A$2:$A$1486,A129,'4.個人職能盤點'!$E$2:$E$1486,"核心職能",'4.個人職能盤點'!$G$2:$G$1486,"&gt;0"),"-"))</f>
        <v/>
      </c>
      <c r="K129" s="123">
        <f>IF(A129="","",IFERROR(AVERAGEIFS('4.個人職能盤點'!$I$2:$I$1486,'4.個人職能盤點'!$A$2:$A$1486,A129,'4.個人職能盤點'!$E$2:$E$1486,"管理職能",'4.個人職能盤點'!$G$2:$G$1486,"&gt;0"),"-"))</f>
        <v/>
      </c>
      <c r="L129" s="123">
        <f>IF(A129="","",IFERROR(AVERAGEIFS('4.個人職能盤點'!$I$2:$I$1486,'4.個人職能盤點'!$A$2:$A$1486,A129,'4.個人職能盤點'!$E$2:$E$1486,"專業職能",'4.個人職能盤點'!$G$2:$G$1486,"&gt;0"),"-"))</f>
        <v/>
      </c>
      <c r="M129" s="120">
        <f>IF(H129="","",IF(H129&gt;=0.9,"優秀",IF(H129&gt;=0.7,"符合期待","需加強發展")))</f>
        <v/>
      </c>
    </row>
    <row r="130" ht="15.75" customHeight="1" s="64">
      <c r="A130" s="120">
        <f>IF('3.員工名單'!A130="","",'3.員工名單'!A130)</f>
        <v/>
      </c>
      <c r="B130" s="120">
        <f>IF(A130="","",'3.員工名單'!B130)</f>
        <v/>
      </c>
      <c r="C130" s="120">
        <f>IF(A130="","",'3.員工名單'!C130)</f>
        <v/>
      </c>
      <c r="D130" s="120">
        <f>IF(A130="","",'3.員工名單'!D130)</f>
        <v/>
      </c>
      <c r="E130" s="120">
        <f>IF(A130="","",COUNTIFS('4.個人職能盤點'!$A$2:$A$1486,A130,'4.個人職能盤點'!$K$2:$K$1486,"達標")+COUNTIFS('4.個人職能盤點'!$A$2:$A$1486,A130,'4.個人職能盤點'!$K$2:$K$1486,"超越")+COUNTIFS('4.個人職能盤點'!$A$2:$A$1486,A130,'4.個人職能盤點'!$K$2:$K$1486,"待發展"))</f>
        <v/>
      </c>
      <c r="F130" s="120">
        <f>IF(A130="","",COUNTIFS('4.個人職能盤點'!$A$2:$A$1486,A130,'4.個人職能盤點'!$K$2:$K$1486,"達標")+COUNTIFS('4.個人職能盤點'!$A$2:$A$1486,A130,'4.個人職能盤點'!$K$2:$K$1486,"超越"))</f>
        <v/>
      </c>
      <c r="G130" s="120">
        <f>IF(A130="","",COUNTIFS('4.個人職能盤點'!$A$2:$A$1486,A130,'4.個人職能盤點'!$K$2:$K$1486,"待發展"))</f>
        <v/>
      </c>
      <c r="H130" s="121">
        <f>IF(OR(A130="",E130=0),"",F130/E130)</f>
        <v/>
      </c>
      <c r="I130" s="122">
        <f>IF(OR(A130="",E130=0),"",IFERROR(AVERAGEIFS('4.個人職能盤點'!$J$2:$J$1486,'4.個人職能盤點'!$A$2:$A$1486,A130),""))</f>
        <v/>
      </c>
      <c r="J130" s="123">
        <f>IF(A130="","",IFERROR(AVERAGEIFS('4.個人職能盤點'!$I$2:$I$1486,'4.個人職能盤點'!$A$2:$A$1486,A130,'4.個人職能盤點'!$E$2:$E$1486,"核心職能",'4.個人職能盤點'!$G$2:$G$1486,"&gt;0"),"-"))</f>
        <v/>
      </c>
      <c r="K130" s="123">
        <f>IF(A130="","",IFERROR(AVERAGEIFS('4.個人職能盤點'!$I$2:$I$1486,'4.個人職能盤點'!$A$2:$A$1486,A130,'4.個人職能盤點'!$E$2:$E$1486,"管理職能",'4.個人職能盤點'!$G$2:$G$1486,"&gt;0"),"-"))</f>
        <v/>
      </c>
      <c r="L130" s="123">
        <f>IF(A130="","",IFERROR(AVERAGEIFS('4.個人職能盤點'!$I$2:$I$1486,'4.個人職能盤點'!$A$2:$A$1486,A130,'4.個人職能盤點'!$E$2:$E$1486,"專業職能",'4.個人職能盤點'!$G$2:$G$1486,"&gt;0"),"-"))</f>
        <v/>
      </c>
      <c r="M130" s="120">
        <f>IF(H130="","",IF(H130&gt;=0.9,"優秀",IF(H130&gt;=0.7,"符合期待","需加強發展")))</f>
        <v/>
      </c>
    </row>
    <row r="131" ht="15.75" customHeight="1" s="64">
      <c r="A131" s="120">
        <f>IF('3.員工名單'!A131="","",'3.員工名單'!A131)</f>
        <v/>
      </c>
      <c r="B131" s="120">
        <f>IF(A131="","",'3.員工名單'!B131)</f>
        <v/>
      </c>
      <c r="C131" s="120">
        <f>IF(A131="","",'3.員工名單'!C131)</f>
        <v/>
      </c>
      <c r="D131" s="120">
        <f>IF(A131="","",'3.員工名單'!D131)</f>
        <v/>
      </c>
      <c r="E131" s="120">
        <f>IF(A131="","",COUNTIFS('4.個人職能盤點'!$A$2:$A$1486,A131,'4.個人職能盤點'!$K$2:$K$1486,"達標")+COUNTIFS('4.個人職能盤點'!$A$2:$A$1486,A131,'4.個人職能盤點'!$K$2:$K$1486,"超越")+COUNTIFS('4.個人職能盤點'!$A$2:$A$1486,A131,'4.個人職能盤點'!$K$2:$K$1486,"待發展"))</f>
        <v/>
      </c>
      <c r="F131" s="120">
        <f>IF(A131="","",COUNTIFS('4.個人職能盤點'!$A$2:$A$1486,A131,'4.個人職能盤點'!$K$2:$K$1486,"達標")+COUNTIFS('4.個人職能盤點'!$A$2:$A$1486,A131,'4.個人職能盤點'!$K$2:$K$1486,"超越"))</f>
        <v/>
      </c>
      <c r="G131" s="120">
        <f>IF(A131="","",COUNTIFS('4.個人職能盤點'!$A$2:$A$1486,A131,'4.個人職能盤點'!$K$2:$K$1486,"待發展"))</f>
        <v/>
      </c>
      <c r="H131" s="121">
        <f>IF(OR(A131="",E131=0),"",F131/E131)</f>
        <v/>
      </c>
      <c r="I131" s="122">
        <f>IF(OR(A131="",E131=0),"",IFERROR(AVERAGEIFS('4.個人職能盤點'!$J$2:$J$1486,'4.個人職能盤點'!$A$2:$A$1486,A131),""))</f>
        <v/>
      </c>
      <c r="J131" s="123">
        <f>IF(A131="","",IFERROR(AVERAGEIFS('4.個人職能盤點'!$I$2:$I$1486,'4.個人職能盤點'!$A$2:$A$1486,A131,'4.個人職能盤點'!$E$2:$E$1486,"核心職能",'4.個人職能盤點'!$G$2:$G$1486,"&gt;0"),"-"))</f>
        <v/>
      </c>
      <c r="K131" s="123">
        <f>IF(A131="","",IFERROR(AVERAGEIFS('4.個人職能盤點'!$I$2:$I$1486,'4.個人職能盤點'!$A$2:$A$1486,A131,'4.個人職能盤點'!$E$2:$E$1486,"管理職能",'4.個人職能盤點'!$G$2:$G$1486,"&gt;0"),"-"))</f>
        <v/>
      </c>
      <c r="L131" s="123">
        <f>IF(A131="","",IFERROR(AVERAGEIFS('4.個人職能盤點'!$I$2:$I$1486,'4.個人職能盤點'!$A$2:$A$1486,A131,'4.個人職能盤點'!$E$2:$E$1486,"專業職能",'4.個人職能盤點'!$G$2:$G$1486,"&gt;0"),"-"))</f>
        <v/>
      </c>
      <c r="M131" s="120">
        <f>IF(H131="","",IF(H131&gt;=0.9,"優秀",IF(H131&gt;=0.7,"符合期待","需加強發展")))</f>
        <v/>
      </c>
    </row>
    <row r="132" ht="15.75" customHeight="1" s="64">
      <c r="A132" s="120">
        <f>IF('3.員工名單'!A132="","",'3.員工名單'!A132)</f>
        <v/>
      </c>
      <c r="B132" s="120">
        <f>IF(A132="","",'3.員工名單'!B132)</f>
        <v/>
      </c>
      <c r="C132" s="120">
        <f>IF(A132="","",'3.員工名單'!C132)</f>
        <v/>
      </c>
      <c r="D132" s="120">
        <f>IF(A132="","",'3.員工名單'!D132)</f>
        <v/>
      </c>
      <c r="E132" s="120">
        <f>IF(A132="","",COUNTIFS('4.個人職能盤點'!$A$2:$A$1486,A132,'4.個人職能盤點'!$K$2:$K$1486,"達標")+COUNTIFS('4.個人職能盤點'!$A$2:$A$1486,A132,'4.個人職能盤點'!$K$2:$K$1486,"超越")+COUNTIFS('4.個人職能盤點'!$A$2:$A$1486,A132,'4.個人職能盤點'!$K$2:$K$1486,"待發展"))</f>
        <v/>
      </c>
      <c r="F132" s="120">
        <f>IF(A132="","",COUNTIFS('4.個人職能盤點'!$A$2:$A$1486,A132,'4.個人職能盤點'!$K$2:$K$1486,"達標")+COUNTIFS('4.個人職能盤點'!$A$2:$A$1486,A132,'4.個人職能盤點'!$K$2:$K$1486,"超越"))</f>
        <v/>
      </c>
      <c r="G132" s="120">
        <f>IF(A132="","",COUNTIFS('4.個人職能盤點'!$A$2:$A$1486,A132,'4.個人職能盤點'!$K$2:$K$1486,"待發展"))</f>
        <v/>
      </c>
      <c r="H132" s="121">
        <f>IF(OR(A132="",E132=0),"",F132/E132)</f>
        <v/>
      </c>
      <c r="I132" s="122">
        <f>IF(OR(A132="",E132=0),"",IFERROR(AVERAGEIFS('4.個人職能盤點'!$J$2:$J$1486,'4.個人職能盤點'!$A$2:$A$1486,A132),""))</f>
        <v/>
      </c>
      <c r="J132" s="123">
        <f>IF(A132="","",IFERROR(AVERAGEIFS('4.個人職能盤點'!$I$2:$I$1486,'4.個人職能盤點'!$A$2:$A$1486,A132,'4.個人職能盤點'!$E$2:$E$1486,"核心職能",'4.個人職能盤點'!$G$2:$G$1486,"&gt;0"),"-"))</f>
        <v/>
      </c>
      <c r="K132" s="123">
        <f>IF(A132="","",IFERROR(AVERAGEIFS('4.個人職能盤點'!$I$2:$I$1486,'4.個人職能盤點'!$A$2:$A$1486,A132,'4.個人職能盤點'!$E$2:$E$1486,"管理職能",'4.個人職能盤點'!$G$2:$G$1486,"&gt;0"),"-"))</f>
        <v/>
      </c>
      <c r="L132" s="123">
        <f>IF(A132="","",IFERROR(AVERAGEIFS('4.個人職能盤點'!$I$2:$I$1486,'4.個人職能盤點'!$A$2:$A$1486,A132,'4.個人職能盤點'!$E$2:$E$1486,"專業職能",'4.個人職能盤點'!$G$2:$G$1486,"&gt;0"),"-"))</f>
        <v/>
      </c>
      <c r="M132" s="120">
        <f>IF(H132="","",IF(H132&gt;=0.9,"優秀",IF(H132&gt;=0.7,"符合期待","需加強發展")))</f>
        <v/>
      </c>
    </row>
    <row r="133" ht="15.75" customHeight="1" s="64">
      <c r="A133" s="120">
        <f>IF('3.員工名單'!A133="","",'3.員工名單'!A133)</f>
        <v/>
      </c>
      <c r="B133" s="120">
        <f>IF(A133="","",'3.員工名單'!B133)</f>
        <v/>
      </c>
      <c r="C133" s="120">
        <f>IF(A133="","",'3.員工名單'!C133)</f>
        <v/>
      </c>
      <c r="D133" s="120">
        <f>IF(A133="","",'3.員工名單'!D133)</f>
        <v/>
      </c>
      <c r="E133" s="120">
        <f>IF(A133="","",COUNTIFS('4.個人職能盤點'!$A$2:$A$1486,A133,'4.個人職能盤點'!$K$2:$K$1486,"達標")+COUNTIFS('4.個人職能盤點'!$A$2:$A$1486,A133,'4.個人職能盤點'!$K$2:$K$1486,"超越")+COUNTIFS('4.個人職能盤點'!$A$2:$A$1486,A133,'4.個人職能盤點'!$K$2:$K$1486,"待發展"))</f>
        <v/>
      </c>
      <c r="F133" s="120">
        <f>IF(A133="","",COUNTIFS('4.個人職能盤點'!$A$2:$A$1486,A133,'4.個人職能盤點'!$K$2:$K$1486,"達標")+COUNTIFS('4.個人職能盤點'!$A$2:$A$1486,A133,'4.個人職能盤點'!$K$2:$K$1486,"超越"))</f>
        <v/>
      </c>
      <c r="G133" s="120">
        <f>IF(A133="","",COUNTIFS('4.個人職能盤點'!$A$2:$A$1486,A133,'4.個人職能盤點'!$K$2:$K$1486,"待發展"))</f>
        <v/>
      </c>
      <c r="H133" s="121">
        <f>IF(OR(A133="",E133=0),"",F133/E133)</f>
        <v/>
      </c>
      <c r="I133" s="122">
        <f>IF(OR(A133="",E133=0),"",IFERROR(AVERAGEIFS('4.個人職能盤點'!$J$2:$J$1486,'4.個人職能盤點'!$A$2:$A$1486,A133),""))</f>
        <v/>
      </c>
      <c r="J133" s="123">
        <f>IF(A133="","",IFERROR(AVERAGEIFS('4.個人職能盤點'!$I$2:$I$1486,'4.個人職能盤點'!$A$2:$A$1486,A133,'4.個人職能盤點'!$E$2:$E$1486,"核心職能",'4.個人職能盤點'!$G$2:$G$1486,"&gt;0"),"-"))</f>
        <v/>
      </c>
      <c r="K133" s="123">
        <f>IF(A133="","",IFERROR(AVERAGEIFS('4.個人職能盤點'!$I$2:$I$1486,'4.個人職能盤點'!$A$2:$A$1486,A133,'4.個人職能盤點'!$E$2:$E$1486,"管理職能",'4.個人職能盤點'!$G$2:$G$1486,"&gt;0"),"-"))</f>
        <v/>
      </c>
      <c r="L133" s="123">
        <f>IF(A133="","",IFERROR(AVERAGEIFS('4.個人職能盤點'!$I$2:$I$1486,'4.個人職能盤點'!$A$2:$A$1486,A133,'4.個人職能盤點'!$E$2:$E$1486,"專業職能",'4.個人職能盤點'!$G$2:$G$1486,"&gt;0"),"-"))</f>
        <v/>
      </c>
      <c r="M133" s="120">
        <f>IF(H133="","",IF(H133&gt;=0.9,"優秀",IF(H133&gt;=0.7,"符合期待","需加強發展")))</f>
        <v/>
      </c>
    </row>
    <row r="134" ht="15.75" customHeight="1" s="64">
      <c r="A134" s="120">
        <f>IF('3.員工名單'!A134="","",'3.員工名單'!A134)</f>
        <v/>
      </c>
      <c r="B134" s="120">
        <f>IF(A134="","",'3.員工名單'!B134)</f>
        <v/>
      </c>
      <c r="C134" s="120">
        <f>IF(A134="","",'3.員工名單'!C134)</f>
        <v/>
      </c>
      <c r="D134" s="120">
        <f>IF(A134="","",'3.員工名單'!D134)</f>
        <v/>
      </c>
      <c r="E134" s="120">
        <f>IF(A134="","",COUNTIFS('4.個人職能盤點'!$A$2:$A$1486,A134,'4.個人職能盤點'!$K$2:$K$1486,"達標")+COUNTIFS('4.個人職能盤點'!$A$2:$A$1486,A134,'4.個人職能盤點'!$K$2:$K$1486,"超越")+COUNTIFS('4.個人職能盤點'!$A$2:$A$1486,A134,'4.個人職能盤點'!$K$2:$K$1486,"待發展"))</f>
        <v/>
      </c>
      <c r="F134" s="120">
        <f>IF(A134="","",COUNTIFS('4.個人職能盤點'!$A$2:$A$1486,A134,'4.個人職能盤點'!$K$2:$K$1486,"達標")+COUNTIFS('4.個人職能盤點'!$A$2:$A$1486,A134,'4.個人職能盤點'!$K$2:$K$1486,"超越"))</f>
        <v/>
      </c>
      <c r="G134" s="120">
        <f>IF(A134="","",COUNTIFS('4.個人職能盤點'!$A$2:$A$1486,A134,'4.個人職能盤點'!$K$2:$K$1486,"待發展"))</f>
        <v/>
      </c>
      <c r="H134" s="121">
        <f>IF(OR(A134="",E134=0),"",F134/E134)</f>
        <v/>
      </c>
      <c r="I134" s="122">
        <f>IF(OR(A134="",E134=0),"",IFERROR(AVERAGEIFS('4.個人職能盤點'!$J$2:$J$1486,'4.個人職能盤點'!$A$2:$A$1486,A134),""))</f>
        <v/>
      </c>
      <c r="J134" s="123">
        <f>IF(A134="","",IFERROR(AVERAGEIFS('4.個人職能盤點'!$I$2:$I$1486,'4.個人職能盤點'!$A$2:$A$1486,A134,'4.個人職能盤點'!$E$2:$E$1486,"核心職能",'4.個人職能盤點'!$G$2:$G$1486,"&gt;0"),"-"))</f>
        <v/>
      </c>
      <c r="K134" s="123">
        <f>IF(A134="","",IFERROR(AVERAGEIFS('4.個人職能盤點'!$I$2:$I$1486,'4.個人職能盤點'!$A$2:$A$1486,A134,'4.個人職能盤點'!$E$2:$E$1486,"管理職能",'4.個人職能盤點'!$G$2:$G$1486,"&gt;0"),"-"))</f>
        <v/>
      </c>
      <c r="L134" s="123">
        <f>IF(A134="","",IFERROR(AVERAGEIFS('4.個人職能盤點'!$I$2:$I$1486,'4.個人職能盤點'!$A$2:$A$1486,A134,'4.個人職能盤點'!$E$2:$E$1486,"專業職能",'4.個人職能盤點'!$G$2:$G$1486,"&gt;0"),"-"))</f>
        <v/>
      </c>
      <c r="M134" s="120">
        <f>IF(H134="","",IF(H134&gt;=0.9,"優秀",IF(H134&gt;=0.7,"符合期待","需加強發展")))</f>
        <v/>
      </c>
    </row>
    <row r="135" ht="15.75" customHeight="1" s="64">
      <c r="A135" s="120">
        <f>IF('3.員工名單'!A135="","",'3.員工名單'!A135)</f>
        <v/>
      </c>
      <c r="B135" s="120">
        <f>IF(A135="","",'3.員工名單'!B135)</f>
        <v/>
      </c>
      <c r="C135" s="120">
        <f>IF(A135="","",'3.員工名單'!C135)</f>
        <v/>
      </c>
      <c r="D135" s="120">
        <f>IF(A135="","",'3.員工名單'!D135)</f>
        <v/>
      </c>
      <c r="E135" s="120">
        <f>IF(A135="","",COUNTIFS('4.個人職能盤點'!$A$2:$A$1486,A135,'4.個人職能盤點'!$K$2:$K$1486,"達標")+COUNTIFS('4.個人職能盤點'!$A$2:$A$1486,A135,'4.個人職能盤點'!$K$2:$K$1486,"超越")+COUNTIFS('4.個人職能盤點'!$A$2:$A$1486,A135,'4.個人職能盤點'!$K$2:$K$1486,"待發展"))</f>
        <v/>
      </c>
      <c r="F135" s="120">
        <f>IF(A135="","",COUNTIFS('4.個人職能盤點'!$A$2:$A$1486,A135,'4.個人職能盤點'!$K$2:$K$1486,"達標")+COUNTIFS('4.個人職能盤點'!$A$2:$A$1486,A135,'4.個人職能盤點'!$K$2:$K$1486,"超越"))</f>
        <v/>
      </c>
      <c r="G135" s="120">
        <f>IF(A135="","",COUNTIFS('4.個人職能盤點'!$A$2:$A$1486,A135,'4.個人職能盤點'!$K$2:$K$1486,"待發展"))</f>
        <v/>
      </c>
      <c r="H135" s="121">
        <f>IF(OR(A135="",E135=0),"",F135/E135)</f>
        <v/>
      </c>
      <c r="I135" s="122">
        <f>IF(OR(A135="",E135=0),"",IFERROR(AVERAGEIFS('4.個人職能盤點'!$J$2:$J$1486,'4.個人職能盤點'!$A$2:$A$1486,A135),""))</f>
        <v/>
      </c>
      <c r="J135" s="123">
        <f>IF(A135="","",IFERROR(AVERAGEIFS('4.個人職能盤點'!$I$2:$I$1486,'4.個人職能盤點'!$A$2:$A$1486,A135,'4.個人職能盤點'!$E$2:$E$1486,"核心職能",'4.個人職能盤點'!$G$2:$G$1486,"&gt;0"),"-"))</f>
        <v/>
      </c>
      <c r="K135" s="123">
        <f>IF(A135="","",IFERROR(AVERAGEIFS('4.個人職能盤點'!$I$2:$I$1486,'4.個人職能盤點'!$A$2:$A$1486,A135,'4.個人職能盤點'!$E$2:$E$1486,"管理職能",'4.個人職能盤點'!$G$2:$G$1486,"&gt;0"),"-"))</f>
        <v/>
      </c>
      <c r="L135" s="123">
        <f>IF(A135="","",IFERROR(AVERAGEIFS('4.個人職能盤點'!$I$2:$I$1486,'4.個人職能盤點'!$A$2:$A$1486,A135,'4.個人職能盤點'!$E$2:$E$1486,"專業職能",'4.個人職能盤點'!$G$2:$G$1486,"&gt;0"),"-"))</f>
        <v/>
      </c>
      <c r="M135" s="120">
        <f>IF(H135="","",IF(H135&gt;=0.9,"優秀",IF(H135&gt;=0.7,"符合期待","需加強發展")))</f>
        <v/>
      </c>
    </row>
    <row r="136" ht="15.75" customHeight="1" s="64">
      <c r="A136" s="120">
        <f>IF('3.員工名單'!A136="","",'3.員工名單'!A136)</f>
        <v/>
      </c>
      <c r="B136" s="120">
        <f>IF(A136="","",'3.員工名單'!B136)</f>
        <v/>
      </c>
      <c r="C136" s="120">
        <f>IF(A136="","",'3.員工名單'!C136)</f>
        <v/>
      </c>
      <c r="D136" s="120">
        <f>IF(A136="","",'3.員工名單'!D136)</f>
        <v/>
      </c>
      <c r="E136" s="120">
        <f>IF(A136="","",COUNTIFS('4.個人職能盤點'!$A$2:$A$1486,A136,'4.個人職能盤點'!$K$2:$K$1486,"達標")+COUNTIFS('4.個人職能盤點'!$A$2:$A$1486,A136,'4.個人職能盤點'!$K$2:$K$1486,"超越")+COUNTIFS('4.個人職能盤點'!$A$2:$A$1486,A136,'4.個人職能盤點'!$K$2:$K$1486,"待發展"))</f>
        <v/>
      </c>
      <c r="F136" s="120">
        <f>IF(A136="","",COUNTIFS('4.個人職能盤點'!$A$2:$A$1486,A136,'4.個人職能盤點'!$K$2:$K$1486,"達標")+COUNTIFS('4.個人職能盤點'!$A$2:$A$1486,A136,'4.個人職能盤點'!$K$2:$K$1486,"超越"))</f>
        <v/>
      </c>
      <c r="G136" s="120">
        <f>IF(A136="","",COUNTIFS('4.個人職能盤點'!$A$2:$A$1486,A136,'4.個人職能盤點'!$K$2:$K$1486,"待發展"))</f>
        <v/>
      </c>
      <c r="H136" s="121">
        <f>IF(OR(A136="",E136=0),"",F136/E136)</f>
        <v/>
      </c>
      <c r="I136" s="122">
        <f>IF(OR(A136="",E136=0),"",IFERROR(AVERAGEIFS('4.個人職能盤點'!$J$2:$J$1486,'4.個人職能盤點'!$A$2:$A$1486,A136),""))</f>
        <v/>
      </c>
      <c r="J136" s="123">
        <f>IF(A136="","",IFERROR(AVERAGEIFS('4.個人職能盤點'!$I$2:$I$1486,'4.個人職能盤點'!$A$2:$A$1486,A136,'4.個人職能盤點'!$E$2:$E$1486,"核心職能",'4.個人職能盤點'!$G$2:$G$1486,"&gt;0"),"-"))</f>
        <v/>
      </c>
      <c r="K136" s="123">
        <f>IF(A136="","",IFERROR(AVERAGEIFS('4.個人職能盤點'!$I$2:$I$1486,'4.個人職能盤點'!$A$2:$A$1486,A136,'4.個人職能盤點'!$E$2:$E$1486,"管理職能",'4.個人職能盤點'!$G$2:$G$1486,"&gt;0"),"-"))</f>
        <v/>
      </c>
      <c r="L136" s="123">
        <f>IF(A136="","",IFERROR(AVERAGEIFS('4.個人職能盤點'!$I$2:$I$1486,'4.個人職能盤點'!$A$2:$A$1486,A136,'4.個人職能盤點'!$E$2:$E$1486,"專業職能",'4.個人職能盤點'!$G$2:$G$1486,"&gt;0"),"-"))</f>
        <v/>
      </c>
      <c r="M136" s="120">
        <f>IF(H136="","",IF(H136&gt;=0.9,"優秀",IF(H136&gt;=0.7,"符合期待","需加強發展")))</f>
        <v/>
      </c>
    </row>
    <row r="137" ht="15.75" customHeight="1" s="64">
      <c r="A137" s="120">
        <f>IF('3.員工名單'!A137="","",'3.員工名單'!A137)</f>
        <v/>
      </c>
      <c r="B137" s="120">
        <f>IF(A137="","",'3.員工名單'!B137)</f>
        <v/>
      </c>
      <c r="C137" s="120">
        <f>IF(A137="","",'3.員工名單'!C137)</f>
        <v/>
      </c>
      <c r="D137" s="120">
        <f>IF(A137="","",'3.員工名單'!D137)</f>
        <v/>
      </c>
      <c r="E137" s="120">
        <f>IF(A137="","",COUNTIFS('4.個人職能盤點'!$A$2:$A$1486,A137,'4.個人職能盤點'!$K$2:$K$1486,"達標")+COUNTIFS('4.個人職能盤點'!$A$2:$A$1486,A137,'4.個人職能盤點'!$K$2:$K$1486,"超越")+COUNTIFS('4.個人職能盤點'!$A$2:$A$1486,A137,'4.個人職能盤點'!$K$2:$K$1486,"待發展"))</f>
        <v/>
      </c>
      <c r="F137" s="120">
        <f>IF(A137="","",COUNTIFS('4.個人職能盤點'!$A$2:$A$1486,A137,'4.個人職能盤點'!$K$2:$K$1486,"達標")+COUNTIFS('4.個人職能盤點'!$A$2:$A$1486,A137,'4.個人職能盤點'!$K$2:$K$1486,"超越"))</f>
        <v/>
      </c>
      <c r="G137" s="120">
        <f>IF(A137="","",COUNTIFS('4.個人職能盤點'!$A$2:$A$1486,A137,'4.個人職能盤點'!$K$2:$K$1486,"待發展"))</f>
        <v/>
      </c>
      <c r="H137" s="121">
        <f>IF(OR(A137="",E137=0),"",F137/E137)</f>
        <v/>
      </c>
      <c r="I137" s="122">
        <f>IF(OR(A137="",E137=0),"",IFERROR(AVERAGEIFS('4.個人職能盤點'!$J$2:$J$1486,'4.個人職能盤點'!$A$2:$A$1486,A137),""))</f>
        <v/>
      </c>
      <c r="J137" s="123">
        <f>IF(A137="","",IFERROR(AVERAGEIFS('4.個人職能盤點'!$I$2:$I$1486,'4.個人職能盤點'!$A$2:$A$1486,A137,'4.個人職能盤點'!$E$2:$E$1486,"核心職能",'4.個人職能盤點'!$G$2:$G$1486,"&gt;0"),"-"))</f>
        <v/>
      </c>
      <c r="K137" s="123">
        <f>IF(A137="","",IFERROR(AVERAGEIFS('4.個人職能盤點'!$I$2:$I$1486,'4.個人職能盤點'!$A$2:$A$1486,A137,'4.個人職能盤點'!$E$2:$E$1486,"管理職能",'4.個人職能盤點'!$G$2:$G$1486,"&gt;0"),"-"))</f>
        <v/>
      </c>
      <c r="L137" s="123">
        <f>IF(A137="","",IFERROR(AVERAGEIFS('4.個人職能盤點'!$I$2:$I$1486,'4.個人職能盤點'!$A$2:$A$1486,A137,'4.個人職能盤點'!$E$2:$E$1486,"專業職能",'4.個人職能盤點'!$G$2:$G$1486,"&gt;0"),"-"))</f>
        <v/>
      </c>
      <c r="M137" s="120">
        <f>IF(H137="","",IF(H137&gt;=0.9,"優秀",IF(H137&gt;=0.7,"符合期待","需加強發展")))</f>
        <v/>
      </c>
    </row>
    <row r="138" ht="15.75" customHeight="1" s="64">
      <c r="A138" s="120">
        <f>IF('3.員工名單'!A138="","",'3.員工名單'!A138)</f>
        <v/>
      </c>
      <c r="B138" s="120">
        <f>IF(A138="","",'3.員工名單'!B138)</f>
        <v/>
      </c>
      <c r="C138" s="120">
        <f>IF(A138="","",'3.員工名單'!C138)</f>
        <v/>
      </c>
      <c r="D138" s="120">
        <f>IF(A138="","",'3.員工名單'!D138)</f>
        <v/>
      </c>
      <c r="E138" s="120">
        <f>IF(A138="","",COUNTIFS('4.個人職能盤點'!$A$2:$A$1486,A138,'4.個人職能盤點'!$K$2:$K$1486,"達標")+COUNTIFS('4.個人職能盤點'!$A$2:$A$1486,A138,'4.個人職能盤點'!$K$2:$K$1486,"超越")+COUNTIFS('4.個人職能盤點'!$A$2:$A$1486,A138,'4.個人職能盤點'!$K$2:$K$1486,"待發展"))</f>
        <v/>
      </c>
      <c r="F138" s="120">
        <f>IF(A138="","",COUNTIFS('4.個人職能盤點'!$A$2:$A$1486,A138,'4.個人職能盤點'!$K$2:$K$1486,"達標")+COUNTIFS('4.個人職能盤點'!$A$2:$A$1486,A138,'4.個人職能盤點'!$K$2:$K$1486,"超越"))</f>
        <v/>
      </c>
      <c r="G138" s="120">
        <f>IF(A138="","",COUNTIFS('4.個人職能盤點'!$A$2:$A$1486,A138,'4.個人職能盤點'!$K$2:$K$1486,"待發展"))</f>
        <v/>
      </c>
      <c r="H138" s="121">
        <f>IF(OR(A138="",E138=0),"",F138/E138)</f>
        <v/>
      </c>
      <c r="I138" s="122">
        <f>IF(OR(A138="",E138=0),"",IFERROR(AVERAGEIFS('4.個人職能盤點'!$J$2:$J$1486,'4.個人職能盤點'!$A$2:$A$1486,A138),""))</f>
        <v/>
      </c>
      <c r="J138" s="123">
        <f>IF(A138="","",IFERROR(AVERAGEIFS('4.個人職能盤點'!$I$2:$I$1486,'4.個人職能盤點'!$A$2:$A$1486,A138,'4.個人職能盤點'!$E$2:$E$1486,"核心職能",'4.個人職能盤點'!$G$2:$G$1486,"&gt;0"),"-"))</f>
        <v/>
      </c>
      <c r="K138" s="123">
        <f>IF(A138="","",IFERROR(AVERAGEIFS('4.個人職能盤點'!$I$2:$I$1486,'4.個人職能盤點'!$A$2:$A$1486,A138,'4.個人職能盤點'!$E$2:$E$1486,"管理職能",'4.個人職能盤點'!$G$2:$G$1486,"&gt;0"),"-"))</f>
        <v/>
      </c>
      <c r="L138" s="123">
        <f>IF(A138="","",IFERROR(AVERAGEIFS('4.個人職能盤點'!$I$2:$I$1486,'4.個人職能盤點'!$A$2:$A$1486,A138,'4.個人職能盤點'!$E$2:$E$1486,"專業職能",'4.個人職能盤點'!$G$2:$G$1486,"&gt;0"),"-"))</f>
        <v/>
      </c>
      <c r="M138" s="120">
        <f>IF(H138="","",IF(H138&gt;=0.9,"優秀",IF(H138&gt;=0.7,"符合期待","需加強發展")))</f>
        <v/>
      </c>
    </row>
    <row r="139" ht="15.75" customHeight="1" s="64">
      <c r="A139" s="120">
        <f>IF('3.員工名單'!A139="","",'3.員工名單'!A139)</f>
        <v/>
      </c>
      <c r="B139" s="120">
        <f>IF(A139="","",'3.員工名單'!B139)</f>
        <v/>
      </c>
      <c r="C139" s="120">
        <f>IF(A139="","",'3.員工名單'!C139)</f>
        <v/>
      </c>
      <c r="D139" s="120">
        <f>IF(A139="","",'3.員工名單'!D139)</f>
        <v/>
      </c>
      <c r="E139" s="120">
        <f>IF(A139="","",COUNTIFS('4.個人職能盤點'!$A$2:$A$1486,A139,'4.個人職能盤點'!$K$2:$K$1486,"達標")+COUNTIFS('4.個人職能盤點'!$A$2:$A$1486,A139,'4.個人職能盤點'!$K$2:$K$1486,"超越")+COUNTIFS('4.個人職能盤點'!$A$2:$A$1486,A139,'4.個人職能盤點'!$K$2:$K$1486,"待發展"))</f>
        <v/>
      </c>
      <c r="F139" s="120">
        <f>IF(A139="","",COUNTIFS('4.個人職能盤點'!$A$2:$A$1486,A139,'4.個人職能盤點'!$K$2:$K$1486,"達標")+COUNTIFS('4.個人職能盤點'!$A$2:$A$1486,A139,'4.個人職能盤點'!$K$2:$K$1486,"超越"))</f>
        <v/>
      </c>
      <c r="G139" s="120">
        <f>IF(A139="","",COUNTIFS('4.個人職能盤點'!$A$2:$A$1486,A139,'4.個人職能盤點'!$K$2:$K$1486,"待發展"))</f>
        <v/>
      </c>
      <c r="H139" s="121">
        <f>IF(OR(A139="",E139=0),"",F139/E139)</f>
        <v/>
      </c>
      <c r="I139" s="122">
        <f>IF(OR(A139="",E139=0),"",IFERROR(AVERAGEIFS('4.個人職能盤點'!$J$2:$J$1486,'4.個人職能盤點'!$A$2:$A$1486,A139),""))</f>
        <v/>
      </c>
      <c r="J139" s="123">
        <f>IF(A139="","",IFERROR(AVERAGEIFS('4.個人職能盤點'!$I$2:$I$1486,'4.個人職能盤點'!$A$2:$A$1486,A139,'4.個人職能盤點'!$E$2:$E$1486,"核心職能",'4.個人職能盤點'!$G$2:$G$1486,"&gt;0"),"-"))</f>
        <v/>
      </c>
      <c r="K139" s="123">
        <f>IF(A139="","",IFERROR(AVERAGEIFS('4.個人職能盤點'!$I$2:$I$1486,'4.個人職能盤點'!$A$2:$A$1486,A139,'4.個人職能盤點'!$E$2:$E$1486,"管理職能",'4.個人職能盤點'!$G$2:$G$1486,"&gt;0"),"-"))</f>
        <v/>
      </c>
      <c r="L139" s="123">
        <f>IF(A139="","",IFERROR(AVERAGEIFS('4.個人職能盤點'!$I$2:$I$1486,'4.個人職能盤點'!$A$2:$A$1486,A139,'4.個人職能盤點'!$E$2:$E$1486,"專業職能",'4.個人職能盤點'!$G$2:$G$1486,"&gt;0"),"-"))</f>
        <v/>
      </c>
      <c r="M139" s="120">
        <f>IF(H139="","",IF(H139&gt;=0.9,"優秀",IF(H139&gt;=0.7,"符合期待","需加強發展")))</f>
        <v/>
      </c>
    </row>
    <row r="140" ht="15.75" customHeight="1" s="64">
      <c r="A140" s="120">
        <f>IF('3.員工名單'!A140="","",'3.員工名單'!A140)</f>
        <v/>
      </c>
      <c r="B140" s="120">
        <f>IF(A140="","",'3.員工名單'!B140)</f>
        <v/>
      </c>
      <c r="C140" s="120">
        <f>IF(A140="","",'3.員工名單'!C140)</f>
        <v/>
      </c>
      <c r="D140" s="120">
        <f>IF(A140="","",'3.員工名單'!D140)</f>
        <v/>
      </c>
      <c r="E140" s="120">
        <f>IF(A140="","",COUNTIFS('4.個人職能盤點'!$A$2:$A$1486,A140,'4.個人職能盤點'!$K$2:$K$1486,"達標")+COUNTIFS('4.個人職能盤點'!$A$2:$A$1486,A140,'4.個人職能盤點'!$K$2:$K$1486,"超越")+COUNTIFS('4.個人職能盤點'!$A$2:$A$1486,A140,'4.個人職能盤點'!$K$2:$K$1486,"待發展"))</f>
        <v/>
      </c>
      <c r="F140" s="120">
        <f>IF(A140="","",COUNTIFS('4.個人職能盤點'!$A$2:$A$1486,A140,'4.個人職能盤點'!$K$2:$K$1486,"達標")+COUNTIFS('4.個人職能盤點'!$A$2:$A$1486,A140,'4.個人職能盤點'!$K$2:$K$1486,"超越"))</f>
        <v/>
      </c>
      <c r="G140" s="120">
        <f>IF(A140="","",COUNTIFS('4.個人職能盤點'!$A$2:$A$1486,A140,'4.個人職能盤點'!$K$2:$K$1486,"待發展"))</f>
        <v/>
      </c>
      <c r="H140" s="121">
        <f>IF(OR(A140="",E140=0),"",F140/E140)</f>
        <v/>
      </c>
      <c r="I140" s="122">
        <f>IF(OR(A140="",E140=0),"",IFERROR(AVERAGEIFS('4.個人職能盤點'!$J$2:$J$1486,'4.個人職能盤點'!$A$2:$A$1486,A140),""))</f>
        <v/>
      </c>
      <c r="J140" s="123">
        <f>IF(A140="","",IFERROR(AVERAGEIFS('4.個人職能盤點'!$I$2:$I$1486,'4.個人職能盤點'!$A$2:$A$1486,A140,'4.個人職能盤點'!$E$2:$E$1486,"核心職能",'4.個人職能盤點'!$G$2:$G$1486,"&gt;0"),"-"))</f>
        <v/>
      </c>
      <c r="K140" s="123">
        <f>IF(A140="","",IFERROR(AVERAGEIFS('4.個人職能盤點'!$I$2:$I$1486,'4.個人職能盤點'!$A$2:$A$1486,A140,'4.個人職能盤點'!$E$2:$E$1486,"管理職能",'4.個人職能盤點'!$G$2:$G$1486,"&gt;0"),"-"))</f>
        <v/>
      </c>
      <c r="L140" s="123">
        <f>IF(A140="","",IFERROR(AVERAGEIFS('4.個人職能盤點'!$I$2:$I$1486,'4.個人職能盤點'!$A$2:$A$1486,A140,'4.個人職能盤點'!$E$2:$E$1486,"專業職能",'4.個人職能盤點'!$G$2:$G$1486,"&gt;0"),"-"))</f>
        <v/>
      </c>
      <c r="M140" s="120">
        <f>IF(H140="","",IF(H140&gt;=0.9,"優秀",IF(H140&gt;=0.7,"符合期待","需加強發展")))</f>
        <v/>
      </c>
    </row>
    <row r="141" ht="15.75" customHeight="1" s="64">
      <c r="A141" s="120">
        <f>IF('3.員工名單'!A141="","",'3.員工名單'!A141)</f>
        <v/>
      </c>
      <c r="B141" s="120">
        <f>IF(A141="","",'3.員工名單'!B141)</f>
        <v/>
      </c>
      <c r="C141" s="120">
        <f>IF(A141="","",'3.員工名單'!C141)</f>
        <v/>
      </c>
      <c r="D141" s="120">
        <f>IF(A141="","",'3.員工名單'!D141)</f>
        <v/>
      </c>
      <c r="E141" s="120">
        <f>IF(A141="","",COUNTIFS('4.個人職能盤點'!$A$2:$A$1486,A141,'4.個人職能盤點'!$K$2:$K$1486,"達標")+COUNTIFS('4.個人職能盤點'!$A$2:$A$1486,A141,'4.個人職能盤點'!$K$2:$K$1486,"超越")+COUNTIFS('4.個人職能盤點'!$A$2:$A$1486,A141,'4.個人職能盤點'!$K$2:$K$1486,"待發展"))</f>
        <v/>
      </c>
      <c r="F141" s="120">
        <f>IF(A141="","",COUNTIFS('4.個人職能盤點'!$A$2:$A$1486,A141,'4.個人職能盤點'!$K$2:$K$1486,"達標")+COUNTIFS('4.個人職能盤點'!$A$2:$A$1486,A141,'4.個人職能盤點'!$K$2:$K$1486,"超越"))</f>
        <v/>
      </c>
      <c r="G141" s="120">
        <f>IF(A141="","",COUNTIFS('4.個人職能盤點'!$A$2:$A$1486,A141,'4.個人職能盤點'!$K$2:$K$1486,"待發展"))</f>
        <v/>
      </c>
      <c r="H141" s="121">
        <f>IF(OR(A141="",E141=0),"",F141/E141)</f>
        <v/>
      </c>
      <c r="I141" s="122">
        <f>IF(OR(A141="",E141=0),"",IFERROR(AVERAGEIFS('4.個人職能盤點'!$J$2:$J$1486,'4.個人職能盤點'!$A$2:$A$1486,A141),""))</f>
        <v/>
      </c>
      <c r="J141" s="123">
        <f>IF(A141="","",IFERROR(AVERAGEIFS('4.個人職能盤點'!$I$2:$I$1486,'4.個人職能盤點'!$A$2:$A$1486,A141,'4.個人職能盤點'!$E$2:$E$1486,"核心職能",'4.個人職能盤點'!$G$2:$G$1486,"&gt;0"),"-"))</f>
        <v/>
      </c>
      <c r="K141" s="123">
        <f>IF(A141="","",IFERROR(AVERAGEIFS('4.個人職能盤點'!$I$2:$I$1486,'4.個人職能盤點'!$A$2:$A$1486,A141,'4.個人職能盤點'!$E$2:$E$1486,"管理職能",'4.個人職能盤點'!$G$2:$G$1486,"&gt;0"),"-"))</f>
        <v/>
      </c>
      <c r="L141" s="123">
        <f>IF(A141="","",IFERROR(AVERAGEIFS('4.個人職能盤點'!$I$2:$I$1486,'4.個人職能盤點'!$A$2:$A$1486,A141,'4.個人職能盤點'!$E$2:$E$1486,"專業職能",'4.個人職能盤點'!$G$2:$G$1486,"&gt;0"),"-"))</f>
        <v/>
      </c>
      <c r="M141" s="120">
        <f>IF(H141="","",IF(H141&gt;=0.9,"優秀",IF(H141&gt;=0.7,"符合期待","需加強發展")))</f>
        <v/>
      </c>
    </row>
    <row r="142" ht="15.75" customHeight="1" s="64">
      <c r="A142" s="120">
        <f>IF('3.員工名單'!A142="","",'3.員工名單'!A142)</f>
        <v/>
      </c>
      <c r="B142" s="120">
        <f>IF(A142="","",'3.員工名單'!B142)</f>
        <v/>
      </c>
      <c r="C142" s="120">
        <f>IF(A142="","",'3.員工名單'!C142)</f>
        <v/>
      </c>
      <c r="D142" s="120">
        <f>IF(A142="","",'3.員工名單'!D142)</f>
        <v/>
      </c>
      <c r="E142" s="120">
        <f>IF(A142="","",COUNTIFS('4.個人職能盤點'!$A$2:$A$1486,A142,'4.個人職能盤點'!$K$2:$K$1486,"達標")+COUNTIFS('4.個人職能盤點'!$A$2:$A$1486,A142,'4.個人職能盤點'!$K$2:$K$1486,"超越")+COUNTIFS('4.個人職能盤點'!$A$2:$A$1486,A142,'4.個人職能盤點'!$K$2:$K$1486,"待發展"))</f>
        <v/>
      </c>
      <c r="F142" s="120">
        <f>IF(A142="","",COUNTIFS('4.個人職能盤點'!$A$2:$A$1486,A142,'4.個人職能盤點'!$K$2:$K$1486,"達標")+COUNTIFS('4.個人職能盤點'!$A$2:$A$1486,A142,'4.個人職能盤點'!$K$2:$K$1486,"超越"))</f>
        <v/>
      </c>
      <c r="G142" s="120">
        <f>IF(A142="","",COUNTIFS('4.個人職能盤點'!$A$2:$A$1486,A142,'4.個人職能盤點'!$K$2:$K$1486,"待發展"))</f>
        <v/>
      </c>
      <c r="H142" s="121">
        <f>IF(OR(A142="",E142=0),"",F142/E142)</f>
        <v/>
      </c>
      <c r="I142" s="122">
        <f>IF(OR(A142="",E142=0),"",IFERROR(AVERAGEIFS('4.個人職能盤點'!$J$2:$J$1486,'4.個人職能盤點'!$A$2:$A$1486,A142),""))</f>
        <v/>
      </c>
      <c r="J142" s="123">
        <f>IF(A142="","",IFERROR(AVERAGEIFS('4.個人職能盤點'!$I$2:$I$1486,'4.個人職能盤點'!$A$2:$A$1486,A142,'4.個人職能盤點'!$E$2:$E$1486,"核心職能",'4.個人職能盤點'!$G$2:$G$1486,"&gt;0"),"-"))</f>
        <v/>
      </c>
      <c r="K142" s="123">
        <f>IF(A142="","",IFERROR(AVERAGEIFS('4.個人職能盤點'!$I$2:$I$1486,'4.個人職能盤點'!$A$2:$A$1486,A142,'4.個人職能盤點'!$E$2:$E$1486,"管理職能",'4.個人職能盤點'!$G$2:$G$1486,"&gt;0"),"-"))</f>
        <v/>
      </c>
      <c r="L142" s="123">
        <f>IF(A142="","",IFERROR(AVERAGEIFS('4.個人職能盤點'!$I$2:$I$1486,'4.個人職能盤點'!$A$2:$A$1486,A142,'4.個人職能盤點'!$E$2:$E$1486,"專業職能",'4.個人職能盤點'!$G$2:$G$1486,"&gt;0"),"-"))</f>
        <v/>
      </c>
      <c r="M142" s="120">
        <f>IF(H142="","",IF(H142&gt;=0.9,"優秀",IF(H142&gt;=0.7,"符合期待","需加強發展")))</f>
        <v/>
      </c>
    </row>
    <row r="143" ht="15.75" customHeight="1" s="64">
      <c r="A143" s="120">
        <f>IF('3.員工名單'!A143="","",'3.員工名單'!A143)</f>
        <v/>
      </c>
      <c r="B143" s="120">
        <f>IF(A143="","",'3.員工名單'!B143)</f>
        <v/>
      </c>
      <c r="C143" s="120">
        <f>IF(A143="","",'3.員工名單'!C143)</f>
        <v/>
      </c>
      <c r="D143" s="120">
        <f>IF(A143="","",'3.員工名單'!D143)</f>
        <v/>
      </c>
      <c r="E143" s="120">
        <f>IF(A143="","",COUNTIFS('4.個人職能盤點'!$A$2:$A$1486,A143,'4.個人職能盤點'!$K$2:$K$1486,"達標")+COUNTIFS('4.個人職能盤點'!$A$2:$A$1486,A143,'4.個人職能盤點'!$K$2:$K$1486,"超越")+COUNTIFS('4.個人職能盤點'!$A$2:$A$1486,A143,'4.個人職能盤點'!$K$2:$K$1486,"待發展"))</f>
        <v/>
      </c>
      <c r="F143" s="120">
        <f>IF(A143="","",COUNTIFS('4.個人職能盤點'!$A$2:$A$1486,A143,'4.個人職能盤點'!$K$2:$K$1486,"達標")+COUNTIFS('4.個人職能盤點'!$A$2:$A$1486,A143,'4.個人職能盤點'!$K$2:$K$1486,"超越"))</f>
        <v/>
      </c>
      <c r="G143" s="120">
        <f>IF(A143="","",COUNTIFS('4.個人職能盤點'!$A$2:$A$1486,A143,'4.個人職能盤點'!$K$2:$K$1486,"待發展"))</f>
        <v/>
      </c>
      <c r="H143" s="121">
        <f>IF(OR(A143="",E143=0),"",F143/E143)</f>
        <v/>
      </c>
      <c r="I143" s="122">
        <f>IF(OR(A143="",E143=0),"",IFERROR(AVERAGEIFS('4.個人職能盤點'!$J$2:$J$1486,'4.個人職能盤點'!$A$2:$A$1486,A143),""))</f>
        <v/>
      </c>
      <c r="J143" s="123">
        <f>IF(A143="","",IFERROR(AVERAGEIFS('4.個人職能盤點'!$I$2:$I$1486,'4.個人職能盤點'!$A$2:$A$1486,A143,'4.個人職能盤點'!$E$2:$E$1486,"核心職能",'4.個人職能盤點'!$G$2:$G$1486,"&gt;0"),"-"))</f>
        <v/>
      </c>
      <c r="K143" s="123">
        <f>IF(A143="","",IFERROR(AVERAGEIFS('4.個人職能盤點'!$I$2:$I$1486,'4.個人職能盤點'!$A$2:$A$1486,A143,'4.個人職能盤點'!$E$2:$E$1486,"管理職能",'4.個人職能盤點'!$G$2:$G$1486,"&gt;0"),"-"))</f>
        <v/>
      </c>
      <c r="L143" s="123">
        <f>IF(A143="","",IFERROR(AVERAGEIFS('4.個人職能盤點'!$I$2:$I$1486,'4.個人職能盤點'!$A$2:$A$1486,A143,'4.個人職能盤點'!$E$2:$E$1486,"專業職能",'4.個人職能盤點'!$G$2:$G$1486,"&gt;0"),"-"))</f>
        <v/>
      </c>
      <c r="M143" s="120">
        <f>IF(H143="","",IF(H143&gt;=0.9,"優秀",IF(H143&gt;=0.7,"符合期待","需加強發展")))</f>
        <v/>
      </c>
    </row>
    <row r="144" ht="15.75" customHeight="1" s="64">
      <c r="A144" s="120">
        <f>IF('3.員工名單'!A144="","",'3.員工名單'!A144)</f>
        <v/>
      </c>
      <c r="B144" s="120">
        <f>IF(A144="","",'3.員工名單'!B144)</f>
        <v/>
      </c>
      <c r="C144" s="120">
        <f>IF(A144="","",'3.員工名單'!C144)</f>
        <v/>
      </c>
      <c r="D144" s="120">
        <f>IF(A144="","",'3.員工名單'!D144)</f>
        <v/>
      </c>
      <c r="E144" s="120">
        <f>IF(A144="","",COUNTIFS('4.個人職能盤點'!$A$2:$A$1486,A144,'4.個人職能盤點'!$K$2:$K$1486,"達標")+COUNTIFS('4.個人職能盤點'!$A$2:$A$1486,A144,'4.個人職能盤點'!$K$2:$K$1486,"超越")+COUNTIFS('4.個人職能盤點'!$A$2:$A$1486,A144,'4.個人職能盤點'!$K$2:$K$1486,"待發展"))</f>
        <v/>
      </c>
      <c r="F144" s="120">
        <f>IF(A144="","",COUNTIFS('4.個人職能盤點'!$A$2:$A$1486,A144,'4.個人職能盤點'!$K$2:$K$1486,"達標")+COUNTIFS('4.個人職能盤點'!$A$2:$A$1486,A144,'4.個人職能盤點'!$K$2:$K$1486,"超越"))</f>
        <v/>
      </c>
      <c r="G144" s="120">
        <f>IF(A144="","",COUNTIFS('4.個人職能盤點'!$A$2:$A$1486,A144,'4.個人職能盤點'!$K$2:$K$1486,"待發展"))</f>
        <v/>
      </c>
      <c r="H144" s="121">
        <f>IF(OR(A144="",E144=0),"",F144/E144)</f>
        <v/>
      </c>
      <c r="I144" s="122">
        <f>IF(OR(A144="",E144=0),"",IFERROR(AVERAGEIFS('4.個人職能盤點'!$J$2:$J$1486,'4.個人職能盤點'!$A$2:$A$1486,A144),""))</f>
        <v/>
      </c>
      <c r="J144" s="123">
        <f>IF(A144="","",IFERROR(AVERAGEIFS('4.個人職能盤點'!$I$2:$I$1486,'4.個人職能盤點'!$A$2:$A$1486,A144,'4.個人職能盤點'!$E$2:$E$1486,"核心職能",'4.個人職能盤點'!$G$2:$G$1486,"&gt;0"),"-"))</f>
        <v/>
      </c>
      <c r="K144" s="123">
        <f>IF(A144="","",IFERROR(AVERAGEIFS('4.個人職能盤點'!$I$2:$I$1486,'4.個人職能盤點'!$A$2:$A$1486,A144,'4.個人職能盤點'!$E$2:$E$1486,"管理職能",'4.個人職能盤點'!$G$2:$G$1486,"&gt;0"),"-"))</f>
        <v/>
      </c>
      <c r="L144" s="123">
        <f>IF(A144="","",IFERROR(AVERAGEIFS('4.個人職能盤點'!$I$2:$I$1486,'4.個人職能盤點'!$A$2:$A$1486,A144,'4.個人職能盤點'!$E$2:$E$1486,"專業職能",'4.個人職能盤點'!$G$2:$G$1486,"&gt;0"),"-"))</f>
        <v/>
      </c>
      <c r="M144" s="120">
        <f>IF(H144="","",IF(H144&gt;=0.9,"優秀",IF(H144&gt;=0.7,"符合期待","需加強發展")))</f>
        <v/>
      </c>
    </row>
    <row r="145" ht="15.75" customHeight="1" s="64">
      <c r="A145" s="120">
        <f>IF('3.員工名單'!A145="","",'3.員工名單'!A145)</f>
        <v/>
      </c>
      <c r="B145" s="120">
        <f>IF(A145="","",'3.員工名單'!B145)</f>
        <v/>
      </c>
      <c r="C145" s="120">
        <f>IF(A145="","",'3.員工名單'!C145)</f>
        <v/>
      </c>
      <c r="D145" s="120">
        <f>IF(A145="","",'3.員工名單'!D145)</f>
        <v/>
      </c>
      <c r="E145" s="120">
        <f>IF(A145="","",COUNTIFS('4.個人職能盤點'!$A$2:$A$1486,A145,'4.個人職能盤點'!$K$2:$K$1486,"達標")+COUNTIFS('4.個人職能盤點'!$A$2:$A$1486,A145,'4.個人職能盤點'!$K$2:$K$1486,"超越")+COUNTIFS('4.個人職能盤點'!$A$2:$A$1486,A145,'4.個人職能盤點'!$K$2:$K$1486,"待發展"))</f>
        <v/>
      </c>
      <c r="F145" s="120">
        <f>IF(A145="","",COUNTIFS('4.個人職能盤點'!$A$2:$A$1486,A145,'4.個人職能盤點'!$K$2:$K$1486,"達標")+COUNTIFS('4.個人職能盤點'!$A$2:$A$1486,A145,'4.個人職能盤點'!$K$2:$K$1486,"超越"))</f>
        <v/>
      </c>
      <c r="G145" s="120">
        <f>IF(A145="","",COUNTIFS('4.個人職能盤點'!$A$2:$A$1486,A145,'4.個人職能盤點'!$K$2:$K$1486,"待發展"))</f>
        <v/>
      </c>
      <c r="H145" s="121">
        <f>IF(OR(A145="",E145=0),"",F145/E145)</f>
        <v/>
      </c>
      <c r="I145" s="122">
        <f>IF(OR(A145="",E145=0),"",IFERROR(AVERAGEIFS('4.個人職能盤點'!$J$2:$J$1486,'4.個人職能盤點'!$A$2:$A$1486,A145),""))</f>
        <v/>
      </c>
      <c r="J145" s="123">
        <f>IF(A145="","",IFERROR(AVERAGEIFS('4.個人職能盤點'!$I$2:$I$1486,'4.個人職能盤點'!$A$2:$A$1486,A145,'4.個人職能盤點'!$E$2:$E$1486,"核心職能",'4.個人職能盤點'!$G$2:$G$1486,"&gt;0"),"-"))</f>
        <v/>
      </c>
      <c r="K145" s="123">
        <f>IF(A145="","",IFERROR(AVERAGEIFS('4.個人職能盤點'!$I$2:$I$1486,'4.個人職能盤點'!$A$2:$A$1486,A145,'4.個人職能盤點'!$E$2:$E$1486,"管理職能",'4.個人職能盤點'!$G$2:$G$1486,"&gt;0"),"-"))</f>
        <v/>
      </c>
      <c r="L145" s="123">
        <f>IF(A145="","",IFERROR(AVERAGEIFS('4.個人職能盤點'!$I$2:$I$1486,'4.個人職能盤點'!$A$2:$A$1486,A145,'4.個人職能盤點'!$E$2:$E$1486,"專業職能",'4.個人職能盤點'!$G$2:$G$1486,"&gt;0"),"-"))</f>
        <v/>
      </c>
      <c r="M145" s="120">
        <f>IF(H145="","",IF(H145&gt;=0.9,"優秀",IF(H145&gt;=0.7,"符合期待","需加強發展")))</f>
        <v/>
      </c>
    </row>
    <row r="146" ht="15.75" customHeight="1" s="64">
      <c r="A146" s="120">
        <f>IF('3.員工名單'!A146="","",'3.員工名單'!A146)</f>
        <v/>
      </c>
      <c r="B146" s="120">
        <f>IF(A146="","",'3.員工名單'!B146)</f>
        <v/>
      </c>
      <c r="C146" s="120">
        <f>IF(A146="","",'3.員工名單'!C146)</f>
        <v/>
      </c>
      <c r="D146" s="120">
        <f>IF(A146="","",'3.員工名單'!D146)</f>
        <v/>
      </c>
      <c r="E146" s="120">
        <f>IF(A146="","",COUNTIFS('4.個人職能盤點'!$A$2:$A$1486,A146,'4.個人職能盤點'!$K$2:$K$1486,"達標")+COUNTIFS('4.個人職能盤點'!$A$2:$A$1486,A146,'4.個人職能盤點'!$K$2:$K$1486,"超越")+COUNTIFS('4.個人職能盤點'!$A$2:$A$1486,A146,'4.個人職能盤點'!$K$2:$K$1486,"待發展"))</f>
        <v/>
      </c>
      <c r="F146" s="120">
        <f>IF(A146="","",COUNTIFS('4.個人職能盤點'!$A$2:$A$1486,A146,'4.個人職能盤點'!$K$2:$K$1486,"達標")+COUNTIFS('4.個人職能盤點'!$A$2:$A$1486,A146,'4.個人職能盤點'!$K$2:$K$1486,"超越"))</f>
        <v/>
      </c>
      <c r="G146" s="120">
        <f>IF(A146="","",COUNTIFS('4.個人職能盤點'!$A$2:$A$1486,A146,'4.個人職能盤點'!$K$2:$K$1486,"待發展"))</f>
        <v/>
      </c>
      <c r="H146" s="121">
        <f>IF(OR(A146="",E146=0),"",F146/E146)</f>
        <v/>
      </c>
      <c r="I146" s="122">
        <f>IF(OR(A146="",E146=0),"",IFERROR(AVERAGEIFS('4.個人職能盤點'!$J$2:$J$1486,'4.個人職能盤點'!$A$2:$A$1486,A146),""))</f>
        <v/>
      </c>
      <c r="J146" s="123">
        <f>IF(A146="","",IFERROR(AVERAGEIFS('4.個人職能盤點'!$I$2:$I$1486,'4.個人職能盤點'!$A$2:$A$1486,A146,'4.個人職能盤點'!$E$2:$E$1486,"核心職能",'4.個人職能盤點'!$G$2:$G$1486,"&gt;0"),"-"))</f>
        <v/>
      </c>
      <c r="K146" s="123">
        <f>IF(A146="","",IFERROR(AVERAGEIFS('4.個人職能盤點'!$I$2:$I$1486,'4.個人職能盤點'!$A$2:$A$1486,A146,'4.個人職能盤點'!$E$2:$E$1486,"管理職能",'4.個人職能盤點'!$G$2:$G$1486,"&gt;0"),"-"))</f>
        <v/>
      </c>
      <c r="L146" s="123">
        <f>IF(A146="","",IFERROR(AVERAGEIFS('4.個人職能盤點'!$I$2:$I$1486,'4.個人職能盤點'!$A$2:$A$1486,A146,'4.個人職能盤點'!$E$2:$E$1486,"專業職能",'4.個人職能盤點'!$G$2:$G$1486,"&gt;0"),"-"))</f>
        <v/>
      </c>
      <c r="M146" s="120">
        <f>IF(H146="","",IF(H146&gt;=0.9,"優秀",IF(H146&gt;=0.7,"符合期待","需加強發展")))</f>
        <v/>
      </c>
    </row>
    <row r="147" ht="15.75" customHeight="1" s="64">
      <c r="A147" s="120">
        <f>IF('3.員工名單'!A147="","",'3.員工名單'!A147)</f>
        <v/>
      </c>
      <c r="B147" s="120">
        <f>IF(A147="","",'3.員工名單'!B147)</f>
        <v/>
      </c>
      <c r="C147" s="120">
        <f>IF(A147="","",'3.員工名單'!C147)</f>
        <v/>
      </c>
      <c r="D147" s="120">
        <f>IF(A147="","",'3.員工名單'!D147)</f>
        <v/>
      </c>
      <c r="E147" s="120">
        <f>IF(A147="","",COUNTIFS('4.個人職能盤點'!$A$2:$A$1486,A147,'4.個人職能盤點'!$K$2:$K$1486,"達標")+COUNTIFS('4.個人職能盤點'!$A$2:$A$1486,A147,'4.個人職能盤點'!$K$2:$K$1486,"超越")+COUNTIFS('4.個人職能盤點'!$A$2:$A$1486,A147,'4.個人職能盤點'!$K$2:$K$1486,"待發展"))</f>
        <v/>
      </c>
      <c r="F147" s="120">
        <f>IF(A147="","",COUNTIFS('4.個人職能盤點'!$A$2:$A$1486,A147,'4.個人職能盤點'!$K$2:$K$1486,"達標")+COUNTIFS('4.個人職能盤點'!$A$2:$A$1486,A147,'4.個人職能盤點'!$K$2:$K$1486,"超越"))</f>
        <v/>
      </c>
      <c r="G147" s="120">
        <f>IF(A147="","",COUNTIFS('4.個人職能盤點'!$A$2:$A$1486,A147,'4.個人職能盤點'!$K$2:$K$1486,"待發展"))</f>
        <v/>
      </c>
      <c r="H147" s="121">
        <f>IF(OR(A147="",E147=0),"",F147/E147)</f>
        <v/>
      </c>
      <c r="I147" s="122">
        <f>IF(OR(A147="",E147=0),"",IFERROR(AVERAGEIFS('4.個人職能盤點'!$J$2:$J$1486,'4.個人職能盤點'!$A$2:$A$1486,A147),""))</f>
        <v/>
      </c>
      <c r="J147" s="123">
        <f>IF(A147="","",IFERROR(AVERAGEIFS('4.個人職能盤點'!$I$2:$I$1486,'4.個人職能盤點'!$A$2:$A$1486,A147,'4.個人職能盤點'!$E$2:$E$1486,"核心職能",'4.個人職能盤點'!$G$2:$G$1486,"&gt;0"),"-"))</f>
        <v/>
      </c>
      <c r="K147" s="123">
        <f>IF(A147="","",IFERROR(AVERAGEIFS('4.個人職能盤點'!$I$2:$I$1486,'4.個人職能盤點'!$A$2:$A$1486,A147,'4.個人職能盤點'!$E$2:$E$1486,"管理職能",'4.個人職能盤點'!$G$2:$G$1486,"&gt;0"),"-"))</f>
        <v/>
      </c>
      <c r="L147" s="123">
        <f>IF(A147="","",IFERROR(AVERAGEIFS('4.個人職能盤點'!$I$2:$I$1486,'4.個人職能盤點'!$A$2:$A$1486,A147,'4.個人職能盤點'!$E$2:$E$1486,"專業職能",'4.個人職能盤點'!$G$2:$G$1486,"&gt;0"),"-"))</f>
        <v/>
      </c>
      <c r="M147" s="120">
        <f>IF(H147="","",IF(H147&gt;=0.9,"優秀",IF(H147&gt;=0.7,"符合期待","需加強發展")))</f>
        <v/>
      </c>
    </row>
    <row r="148" ht="15.75" customHeight="1" s="64">
      <c r="A148" s="120">
        <f>IF('3.員工名單'!A148="","",'3.員工名單'!A148)</f>
        <v/>
      </c>
      <c r="B148" s="120">
        <f>IF(A148="","",'3.員工名單'!B148)</f>
        <v/>
      </c>
      <c r="C148" s="120">
        <f>IF(A148="","",'3.員工名單'!C148)</f>
        <v/>
      </c>
      <c r="D148" s="120">
        <f>IF(A148="","",'3.員工名單'!D148)</f>
        <v/>
      </c>
      <c r="E148" s="120">
        <f>IF(A148="","",COUNTIFS('4.個人職能盤點'!$A$2:$A$1486,A148,'4.個人職能盤點'!$K$2:$K$1486,"達標")+COUNTIFS('4.個人職能盤點'!$A$2:$A$1486,A148,'4.個人職能盤點'!$K$2:$K$1486,"超越")+COUNTIFS('4.個人職能盤點'!$A$2:$A$1486,A148,'4.個人職能盤點'!$K$2:$K$1486,"待發展"))</f>
        <v/>
      </c>
      <c r="F148" s="120">
        <f>IF(A148="","",COUNTIFS('4.個人職能盤點'!$A$2:$A$1486,A148,'4.個人職能盤點'!$K$2:$K$1486,"達標")+COUNTIFS('4.個人職能盤點'!$A$2:$A$1486,A148,'4.個人職能盤點'!$K$2:$K$1486,"超越"))</f>
        <v/>
      </c>
      <c r="G148" s="120">
        <f>IF(A148="","",COUNTIFS('4.個人職能盤點'!$A$2:$A$1486,A148,'4.個人職能盤點'!$K$2:$K$1486,"待發展"))</f>
        <v/>
      </c>
      <c r="H148" s="121">
        <f>IF(OR(A148="",E148=0),"",F148/E148)</f>
        <v/>
      </c>
      <c r="I148" s="122">
        <f>IF(OR(A148="",E148=0),"",IFERROR(AVERAGEIFS('4.個人職能盤點'!$J$2:$J$1486,'4.個人職能盤點'!$A$2:$A$1486,A148),""))</f>
        <v/>
      </c>
      <c r="J148" s="123">
        <f>IF(A148="","",IFERROR(AVERAGEIFS('4.個人職能盤點'!$I$2:$I$1486,'4.個人職能盤點'!$A$2:$A$1486,A148,'4.個人職能盤點'!$E$2:$E$1486,"核心職能",'4.個人職能盤點'!$G$2:$G$1486,"&gt;0"),"-"))</f>
        <v/>
      </c>
      <c r="K148" s="123">
        <f>IF(A148="","",IFERROR(AVERAGEIFS('4.個人職能盤點'!$I$2:$I$1486,'4.個人職能盤點'!$A$2:$A$1486,A148,'4.個人職能盤點'!$E$2:$E$1486,"管理職能",'4.個人職能盤點'!$G$2:$G$1486,"&gt;0"),"-"))</f>
        <v/>
      </c>
      <c r="L148" s="123">
        <f>IF(A148="","",IFERROR(AVERAGEIFS('4.個人職能盤點'!$I$2:$I$1486,'4.個人職能盤點'!$A$2:$A$1486,A148,'4.個人職能盤點'!$E$2:$E$1486,"專業職能",'4.個人職能盤點'!$G$2:$G$1486,"&gt;0"),"-"))</f>
        <v/>
      </c>
      <c r="M148" s="120">
        <f>IF(H148="","",IF(H148&gt;=0.9,"優秀",IF(H148&gt;=0.7,"符合期待","需加強發展")))</f>
        <v/>
      </c>
    </row>
    <row r="149" ht="15.75" customHeight="1" s="64">
      <c r="A149" s="120">
        <f>IF('3.員工名單'!A149="","",'3.員工名單'!A149)</f>
        <v/>
      </c>
      <c r="B149" s="120">
        <f>IF(A149="","",'3.員工名單'!B149)</f>
        <v/>
      </c>
      <c r="C149" s="120">
        <f>IF(A149="","",'3.員工名單'!C149)</f>
        <v/>
      </c>
      <c r="D149" s="120">
        <f>IF(A149="","",'3.員工名單'!D149)</f>
        <v/>
      </c>
      <c r="E149" s="120">
        <f>IF(A149="","",COUNTIFS('4.個人職能盤點'!$A$2:$A$1486,A149,'4.個人職能盤點'!$K$2:$K$1486,"達標")+COUNTIFS('4.個人職能盤點'!$A$2:$A$1486,A149,'4.個人職能盤點'!$K$2:$K$1486,"超越")+COUNTIFS('4.個人職能盤點'!$A$2:$A$1486,A149,'4.個人職能盤點'!$K$2:$K$1486,"待發展"))</f>
        <v/>
      </c>
      <c r="F149" s="120">
        <f>IF(A149="","",COUNTIFS('4.個人職能盤點'!$A$2:$A$1486,A149,'4.個人職能盤點'!$K$2:$K$1486,"達標")+COUNTIFS('4.個人職能盤點'!$A$2:$A$1486,A149,'4.個人職能盤點'!$K$2:$K$1486,"超越"))</f>
        <v/>
      </c>
      <c r="G149" s="120">
        <f>IF(A149="","",COUNTIFS('4.個人職能盤點'!$A$2:$A$1486,A149,'4.個人職能盤點'!$K$2:$K$1486,"待發展"))</f>
        <v/>
      </c>
      <c r="H149" s="121">
        <f>IF(OR(A149="",E149=0),"",F149/E149)</f>
        <v/>
      </c>
      <c r="I149" s="122">
        <f>IF(OR(A149="",E149=0),"",IFERROR(AVERAGEIFS('4.個人職能盤點'!$J$2:$J$1486,'4.個人職能盤點'!$A$2:$A$1486,A149),""))</f>
        <v/>
      </c>
      <c r="J149" s="123">
        <f>IF(A149="","",IFERROR(AVERAGEIFS('4.個人職能盤點'!$I$2:$I$1486,'4.個人職能盤點'!$A$2:$A$1486,A149,'4.個人職能盤點'!$E$2:$E$1486,"核心職能",'4.個人職能盤點'!$G$2:$G$1486,"&gt;0"),"-"))</f>
        <v/>
      </c>
      <c r="K149" s="123">
        <f>IF(A149="","",IFERROR(AVERAGEIFS('4.個人職能盤點'!$I$2:$I$1486,'4.個人職能盤點'!$A$2:$A$1486,A149,'4.個人職能盤點'!$E$2:$E$1486,"管理職能",'4.個人職能盤點'!$G$2:$G$1486,"&gt;0"),"-"))</f>
        <v/>
      </c>
      <c r="L149" s="123">
        <f>IF(A149="","",IFERROR(AVERAGEIFS('4.個人職能盤點'!$I$2:$I$1486,'4.個人職能盤點'!$A$2:$A$1486,A149,'4.個人職能盤點'!$E$2:$E$1486,"專業職能",'4.個人職能盤點'!$G$2:$G$1486,"&gt;0"),"-"))</f>
        <v/>
      </c>
      <c r="M149" s="120">
        <f>IF(H149="","",IF(H149&gt;=0.9,"優秀",IF(H149&gt;=0.7,"符合期待","需加強發展")))</f>
        <v/>
      </c>
    </row>
    <row r="150" ht="15.75" customHeight="1" s="64">
      <c r="A150" s="120">
        <f>IF('3.員工名單'!A150="","",'3.員工名單'!A150)</f>
        <v/>
      </c>
      <c r="B150" s="120">
        <f>IF(A150="","",'3.員工名單'!B150)</f>
        <v/>
      </c>
      <c r="C150" s="120">
        <f>IF(A150="","",'3.員工名單'!C150)</f>
        <v/>
      </c>
      <c r="D150" s="120">
        <f>IF(A150="","",'3.員工名單'!D150)</f>
        <v/>
      </c>
      <c r="E150" s="120">
        <f>IF(A150="","",COUNTIFS('4.個人職能盤點'!$A$2:$A$1486,A150,'4.個人職能盤點'!$K$2:$K$1486,"達標")+COUNTIFS('4.個人職能盤點'!$A$2:$A$1486,A150,'4.個人職能盤點'!$K$2:$K$1486,"超越")+COUNTIFS('4.個人職能盤點'!$A$2:$A$1486,A150,'4.個人職能盤點'!$K$2:$K$1486,"待發展"))</f>
        <v/>
      </c>
      <c r="F150" s="120">
        <f>IF(A150="","",COUNTIFS('4.個人職能盤點'!$A$2:$A$1486,A150,'4.個人職能盤點'!$K$2:$K$1486,"達標")+COUNTIFS('4.個人職能盤點'!$A$2:$A$1486,A150,'4.個人職能盤點'!$K$2:$K$1486,"超越"))</f>
        <v/>
      </c>
      <c r="G150" s="120">
        <f>IF(A150="","",COUNTIFS('4.個人職能盤點'!$A$2:$A$1486,A150,'4.個人職能盤點'!$K$2:$K$1486,"待發展"))</f>
        <v/>
      </c>
      <c r="H150" s="121">
        <f>IF(OR(A150="",E150=0),"",F150/E150)</f>
        <v/>
      </c>
      <c r="I150" s="122">
        <f>IF(OR(A150="",E150=0),"",IFERROR(AVERAGEIFS('4.個人職能盤點'!$J$2:$J$1486,'4.個人職能盤點'!$A$2:$A$1486,A150),""))</f>
        <v/>
      </c>
      <c r="J150" s="123">
        <f>IF(A150="","",IFERROR(AVERAGEIFS('4.個人職能盤點'!$I$2:$I$1486,'4.個人職能盤點'!$A$2:$A$1486,A150,'4.個人職能盤點'!$E$2:$E$1486,"核心職能",'4.個人職能盤點'!$G$2:$G$1486,"&gt;0"),"-"))</f>
        <v/>
      </c>
      <c r="K150" s="123">
        <f>IF(A150="","",IFERROR(AVERAGEIFS('4.個人職能盤點'!$I$2:$I$1486,'4.個人職能盤點'!$A$2:$A$1486,A150,'4.個人職能盤點'!$E$2:$E$1486,"管理職能",'4.個人職能盤點'!$G$2:$G$1486,"&gt;0"),"-"))</f>
        <v/>
      </c>
      <c r="L150" s="123">
        <f>IF(A150="","",IFERROR(AVERAGEIFS('4.個人職能盤點'!$I$2:$I$1486,'4.個人職能盤點'!$A$2:$A$1486,A150,'4.個人職能盤點'!$E$2:$E$1486,"專業職能",'4.個人職能盤點'!$G$2:$G$1486,"&gt;0"),"-"))</f>
        <v/>
      </c>
      <c r="M150" s="120">
        <f>IF(H150="","",IF(H150&gt;=0.9,"優秀",IF(H150&gt;=0.7,"符合期待","需加強發展")))</f>
        <v/>
      </c>
    </row>
    <row r="151" ht="15.75" customHeight="1" s="64">
      <c r="A151" s="120">
        <f>IF('3.員工名單'!A151="","",'3.員工名單'!A151)</f>
        <v/>
      </c>
      <c r="B151" s="120">
        <f>IF(A151="","",'3.員工名單'!B151)</f>
        <v/>
      </c>
      <c r="C151" s="120">
        <f>IF(A151="","",'3.員工名單'!C151)</f>
        <v/>
      </c>
      <c r="D151" s="120">
        <f>IF(A151="","",'3.員工名單'!D151)</f>
        <v/>
      </c>
      <c r="E151" s="120">
        <f>IF(A151="","",COUNTIFS('4.個人職能盤點'!$A$2:$A$1486,A151,'4.個人職能盤點'!$K$2:$K$1486,"達標")+COUNTIFS('4.個人職能盤點'!$A$2:$A$1486,A151,'4.個人職能盤點'!$K$2:$K$1486,"超越")+COUNTIFS('4.個人職能盤點'!$A$2:$A$1486,A151,'4.個人職能盤點'!$K$2:$K$1486,"待發展"))</f>
        <v/>
      </c>
      <c r="F151" s="120">
        <f>IF(A151="","",COUNTIFS('4.個人職能盤點'!$A$2:$A$1486,A151,'4.個人職能盤點'!$K$2:$K$1486,"達標")+COUNTIFS('4.個人職能盤點'!$A$2:$A$1486,A151,'4.個人職能盤點'!$K$2:$K$1486,"超越"))</f>
        <v/>
      </c>
      <c r="G151" s="120">
        <f>IF(A151="","",COUNTIFS('4.個人職能盤點'!$A$2:$A$1486,A151,'4.個人職能盤點'!$K$2:$K$1486,"待發展"))</f>
        <v/>
      </c>
      <c r="H151" s="121">
        <f>IF(OR(A151="",E151=0),"",F151/E151)</f>
        <v/>
      </c>
      <c r="I151" s="122">
        <f>IF(OR(A151="",E151=0),"",IFERROR(AVERAGEIFS('4.個人職能盤點'!$J$2:$J$1486,'4.個人職能盤點'!$A$2:$A$1486,A151),""))</f>
        <v/>
      </c>
      <c r="J151" s="123">
        <f>IF(A151="","",IFERROR(AVERAGEIFS('4.個人職能盤點'!$I$2:$I$1486,'4.個人職能盤點'!$A$2:$A$1486,A151,'4.個人職能盤點'!$E$2:$E$1486,"核心職能",'4.個人職能盤點'!$G$2:$G$1486,"&gt;0"),"-"))</f>
        <v/>
      </c>
      <c r="K151" s="123">
        <f>IF(A151="","",IFERROR(AVERAGEIFS('4.個人職能盤點'!$I$2:$I$1486,'4.個人職能盤點'!$A$2:$A$1486,A151,'4.個人職能盤點'!$E$2:$E$1486,"管理職能",'4.個人職能盤點'!$G$2:$G$1486,"&gt;0"),"-"))</f>
        <v/>
      </c>
      <c r="L151" s="123">
        <f>IF(A151="","",IFERROR(AVERAGEIFS('4.個人職能盤點'!$I$2:$I$1486,'4.個人職能盤點'!$A$2:$A$1486,A151,'4.個人職能盤點'!$E$2:$E$1486,"專業職能",'4.個人職能盤點'!$G$2:$G$1486,"&gt;0"),"-"))</f>
        <v/>
      </c>
      <c r="M151" s="120">
        <f>IF(H151="","",IF(H151&gt;=0.9,"優秀",IF(H151&gt;=0.7,"符合期待","需加強發展")))</f>
        <v/>
      </c>
    </row>
    <row r="152" ht="15.75" customHeight="1" s="64">
      <c r="A152" s="120">
        <f>IF('3.員工名單'!A152="","",'3.員工名單'!A152)</f>
        <v/>
      </c>
      <c r="B152" s="120">
        <f>IF(A152="","",'3.員工名單'!B152)</f>
        <v/>
      </c>
      <c r="C152" s="120">
        <f>IF(A152="","",'3.員工名單'!C152)</f>
        <v/>
      </c>
      <c r="D152" s="120">
        <f>IF(A152="","",'3.員工名單'!D152)</f>
        <v/>
      </c>
      <c r="E152" s="120">
        <f>IF(A152="","",COUNTIFS('4.個人職能盤點'!$A$2:$A$1486,A152,'4.個人職能盤點'!$K$2:$K$1486,"達標")+COUNTIFS('4.個人職能盤點'!$A$2:$A$1486,A152,'4.個人職能盤點'!$K$2:$K$1486,"超越")+COUNTIFS('4.個人職能盤點'!$A$2:$A$1486,A152,'4.個人職能盤點'!$K$2:$K$1486,"待發展"))</f>
        <v/>
      </c>
      <c r="F152" s="120">
        <f>IF(A152="","",COUNTIFS('4.個人職能盤點'!$A$2:$A$1486,A152,'4.個人職能盤點'!$K$2:$K$1486,"達標")+COUNTIFS('4.個人職能盤點'!$A$2:$A$1486,A152,'4.個人職能盤點'!$K$2:$K$1486,"超越"))</f>
        <v/>
      </c>
      <c r="G152" s="120">
        <f>IF(A152="","",COUNTIFS('4.個人職能盤點'!$A$2:$A$1486,A152,'4.個人職能盤點'!$K$2:$K$1486,"待發展"))</f>
        <v/>
      </c>
      <c r="H152" s="121">
        <f>IF(OR(A152="",E152=0),"",F152/E152)</f>
        <v/>
      </c>
      <c r="I152" s="122">
        <f>IF(OR(A152="",E152=0),"",IFERROR(AVERAGEIFS('4.個人職能盤點'!$J$2:$J$1486,'4.個人職能盤點'!$A$2:$A$1486,A152),""))</f>
        <v/>
      </c>
      <c r="J152" s="123">
        <f>IF(A152="","",IFERROR(AVERAGEIFS('4.個人職能盤點'!$I$2:$I$1486,'4.個人職能盤點'!$A$2:$A$1486,A152,'4.個人職能盤點'!$E$2:$E$1486,"核心職能",'4.個人職能盤點'!$G$2:$G$1486,"&gt;0"),"-"))</f>
        <v/>
      </c>
      <c r="K152" s="123">
        <f>IF(A152="","",IFERROR(AVERAGEIFS('4.個人職能盤點'!$I$2:$I$1486,'4.個人職能盤點'!$A$2:$A$1486,A152,'4.個人職能盤點'!$E$2:$E$1486,"管理職能",'4.個人職能盤點'!$G$2:$G$1486,"&gt;0"),"-"))</f>
        <v/>
      </c>
      <c r="L152" s="123">
        <f>IF(A152="","",IFERROR(AVERAGEIFS('4.個人職能盤點'!$I$2:$I$1486,'4.個人職能盤點'!$A$2:$A$1486,A152,'4.個人職能盤點'!$E$2:$E$1486,"專業職能",'4.個人職能盤點'!$G$2:$G$1486,"&gt;0"),"-"))</f>
        <v/>
      </c>
      <c r="M152" s="120">
        <f>IF(H152="","",IF(H152&gt;=0.9,"優秀",IF(H152&gt;=0.7,"符合期待","需加強發展")))</f>
        <v/>
      </c>
    </row>
    <row r="153" ht="15.75" customHeight="1" s="64">
      <c r="A153" s="120">
        <f>IF('3.員工名單'!A153="","",'3.員工名單'!A153)</f>
        <v/>
      </c>
      <c r="B153" s="120">
        <f>IF(A153="","",'3.員工名單'!B153)</f>
        <v/>
      </c>
      <c r="C153" s="120">
        <f>IF(A153="","",'3.員工名單'!C153)</f>
        <v/>
      </c>
      <c r="D153" s="120">
        <f>IF(A153="","",'3.員工名單'!D153)</f>
        <v/>
      </c>
      <c r="E153" s="120">
        <f>IF(A153="","",COUNTIFS('4.個人職能盤點'!$A$2:$A$1486,A153,'4.個人職能盤點'!$K$2:$K$1486,"達標")+COUNTIFS('4.個人職能盤點'!$A$2:$A$1486,A153,'4.個人職能盤點'!$K$2:$K$1486,"超越")+COUNTIFS('4.個人職能盤點'!$A$2:$A$1486,A153,'4.個人職能盤點'!$K$2:$K$1486,"待發展"))</f>
        <v/>
      </c>
      <c r="F153" s="120">
        <f>IF(A153="","",COUNTIFS('4.個人職能盤點'!$A$2:$A$1486,A153,'4.個人職能盤點'!$K$2:$K$1486,"達標")+COUNTIFS('4.個人職能盤點'!$A$2:$A$1486,A153,'4.個人職能盤點'!$K$2:$K$1486,"超越"))</f>
        <v/>
      </c>
      <c r="G153" s="120">
        <f>IF(A153="","",COUNTIFS('4.個人職能盤點'!$A$2:$A$1486,A153,'4.個人職能盤點'!$K$2:$K$1486,"待發展"))</f>
        <v/>
      </c>
      <c r="H153" s="121">
        <f>IF(OR(A153="",E153=0),"",F153/E153)</f>
        <v/>
      </c>
      <c r="I153" s="122">
        <f>IF(OR(A153="",E153=0),"",IFERROR(AVERAGEIFS('4.個人職能盤點'!$J$2:$J$1486,'4.個人職能盤點'!$A$2:$A$1486,A153),""))</f>
        <v/>
      </c>
      <c r="J153" s="123">
        <f>IF(A153="","",IFERROR(AVERAGEIFS('4.個人職能盤點'!$I$2:$I$1486,'4.個人職能盤點'!$A$2:$A$1486,A153,'4.個人職能盤點'!$E$2:$E$1486,"核心職能",'4.個人職能盤點'!$G$2:$G$1486,"&gt;0"),"-"))</f>
        <v/>
      </c>
      <c r="K153" s="123">
        <f>IF(A153="","",IFERROR(AVERAGEIFS('4.個人職能盤點'!$I$2:$I$1486,'4.個人職能盤點'!$A$2:$A$1486,A153,'4.個人職能盤點'!$E$2:$E$1486,"管理職能",'4.個人職能盤點'!$G$2:$G$1486,"&gt;0"),"-"))</f>
        <v/>
      </c>
      <c r="L153" s="123">
        <f>IF(A153="","",IFERROR(AVERAGEIFS('4.個人職能盤點'!$I$2:$I$1486,'4.個人職能盤點'!$A$2:$A$1486,A153,'4.個人職能盤點'!$E$2:$E$1486,"專業職能",'4.個人職能盤點'!$G$2:$G$1486,"&gt;0"),"-"))</f>
        <v/>
      </c>
      <c r="M153" s="120">
        <f>IF(H153="","",IF(H153&gt;=0.9,"優秀",IF(H153&gt;=0.7,"符合期待","需加強發展")))</f>
        <v/>
      </c>
    </row>
    <row r="154" ht="15.75" customHeight="1" s="64">
      <c r="A154" s="120">
        <f>IF('3.員工名單'!A154="","",'3.員工名單'!A154)</f>
        <v/>
      </c>
      <c r="B154" s="120">
        <f>IF(A154="","",'3.員工名單'!B154)</f>
        <v/>
      </c>
      <c r="C154" s="120">
        <f>IF(A154="","",'3.員工名單'!C154)</f>
        <v/>
      </c>
      <c r="D154" s="120">
        <f>IF(A154="","",'3.員工名單'!D154)</f>
        <v/>
      </c>
      <c r="E154" s="120">
        <f>IF(A154="","",COUNTIFS('4.個人職能盤點'!$A$2:$A$1486,A154,'4.個人職能盤點'!$K$2:$K$1486,"達標")+COUNTIFS('4.個人職能盤點'!$A$2:$A$1486,A154,'4.個人職能盤點'!$K$2:$K$1486,"超越")+COUNTIFS('4.個人職能盤點'!$A$2:$A$1486,A154,'4.個人職能盤點'!$K$2:$K$1486,"待發展"))</f>
        <v/>
      </c>
      <c r="F154" s="120">
        <f>IF(A154="","",COUNTIFS('4.個人職能盤點'!$A$2:$A$1486,A154,'4.個人職能盤點'!$K$2:$K$1486,"達標")+COUNTIFS('4.個人職能盤點'!$A$2:$A$1486,A154,'4.個人職能盤點'!$K$2:$K$1486,"超越"))</f>
        <v/>
      </c>
      <c r="G154" s="120">
        <f>IF(A154="","",COUNTIFS('4.個人職能盤點'!$A$2:$A$1486,A154,'4.個人職能盤點'!$K$2:$K$1486,"待發展"))</f>
        <v/>
      </c>
      <c r="H154" s="121">
        <f>IF(OR(A154="",E154=0),"",F154/E154)</f>
        <v/>
      </c>
      <c r="I154" s="122">
        <f>IF(OR(A154="",E154=0),"",IFERROR(AVERAGEIFS('4.個人職能盤點'!$J$2:$J$1486,'4.個人職能盤點'!$A$2:$A$1486,A154),""))</f>
        <v/>
      </c>
      <c r="J154" s="123">
        <f>IF(A154="","",IFERROR(AVERAGEIFS('4.個人職能盤點'!$I$2:$I$1486,'4.個人職能盤點'!$A$2:$A$1486,A154,'4.個人職能盤點'!$E$2:$E$1486,"核心職能",'4.個人職能盤點'!$G$2:$G$1486,"&gt;0"),"-"))</f>
        <v/>
      </c>
      <c r="K154" s="123">
        <f>IF(A154="","",IFERROR(AVERAGEIFS('4.個人職能盤點'!$I$2:$I$1486,'4.個人職能盤點'!$A$2:$A$1486,A154,'4.個人職能盤點'!$E$2:$E$1486,"管理職能",'4.個人職能盤點'!$G$2:$G$1486,"&gt;0"),"-"))</f>
        <v/>
      </c>
      <c r="L154" s="123">
        <f>IF(A154="","",IFERROR(AVERAGEIFS('4.個人職能盤點'!$I$2:$I$1486,'4.個人職能盤點'!$A$2:$A$1486,A154,'4.個人職能盤點'!$E$2:$E$1486,"專業職能",'4.個人職能盤點'!$G$2:$G$1486,"&gt;0"),"-"))</f>
        <v/>
      </c>
      <c r="M154" s="120">
        <f>IF(H154="","",IF(H154&gt;=0.9,"優秀",IF(H154&gt;=0.7,"符合期待","需加強發展")))</f>
        <v/>
      </c>
    </row>
    <row r="155" ht="15.75" customHeight="1" s="64">
      <c r="A155" s="120">
        <f>IF('3.員工名單'!A155="","",'3.員工名單'!A155)</f>
        <v/>
      </c>
      <c r="B155" s="120">
        <f>IF(A155="","",'3.員工名單'!B155)</f>
        <v/>
      </c>
      <c r="C155" s="120">
        <f>IF(A155="","",'3.員工名單'!C155)</f>
        <v/>
      </c>
      <c r="D155" s="120">
        <f>IF(A155="","",'3.員工名單'!D155)</f>
        <v/>
      </c>
      <c r="E155" s="120">
        <f>IF(A155="","",COUNTIFS('4.個人職能盤點'!$A$2:$A$1486,A155,'4.個人職能盤點'!$K$2:$K$1486,"達標")+COUNTIFS('4.個人職能盤點'!$A$2:$A$1486,A155,'4.個人職能盤點'!$K$2:$K$1486,"超越")+COUNTIFS('4.個人職能盤點'!$A$2:$A$1486,A155,'4.個人職能盤點'!$K$2:$K$1486,"待發展"))</f>
        <v/>
      </c>
      <c r="F155" s="120">
        <f>IF(A155="","",COUNTIFS('4.個人職能盤點'!$A$2:$A$1486,A155,'4.個人職能盤點'!$K$2:$K$1486,"達標")+COUNTIFS('4.個人職能盤點'!$A$2:$A$1486,A155,'4.個人職能盤點'!$K$2:$K$1486,"超越"))</f>
        <v/>
      </c>
      <c r="G155" s="120">
        <f>IF(A155="","",COUNTIFS('4.個人職能盤點'!$A$2:$A$1486,A155,'4.個人職能盤點'!$K$2:$K$1486,"待發展"))</f>
        <v/>
      </c>
      <c r="H155" s="121">
        <f>IF(OR(A155="",E155=0),"",F155/E155)</f>
        <v/>
      </c>
      <c r="I155" s="122">
        <f>IF(OR(A155="",E155=0),"",IFERROR(AVERAGEIFS('4.個人職能盤點'!$J$2:$J$1486,'4.個人職能盤點'!$A$2:$A$1486,A155),""))</f>
        <v/>
      </c>
      <c r="J155" s="123">
        <f>IF(A155="","",IFERROR(AVERAGEIFS('4.個人職能盤點'!$I$2:$I$1486,'4.個人職能盤點'!$A$2:$A$1486,A155,'4.個人職能盤點'!$E$2:$E$1486,"核心職能",'4.個人職能盤點'!$G$2:$G$1486,"&gt;0"),"-"))</f>
        <v/>
      </c>
      <c r="K155" s="123">
        <f>IF(A155="","",IFERROR(AVERAGEIFS('4.個人職能盤點'!$I$2:$I$1486,'4.個人職能盤點'!$A$2:$A$1486,A155,'4.個人職能盤點'!$E$2:$E$1486,"管理職能",'4.個人職能盤點'!$G$2:$G$1486,"&gt;0"),"-"))</f>
        <v/>
      </c>
      <c r="L155" s="123">
        <f>IF(A155="","",IFERROR(AVERAGEIFS('4.個人職能盤點'!$I$2:$I$1486,'4.個人職能盤點'!$A$2:$A$1486,A155,'4.個人職能盤點'!$E$2:$E$1486,"專業職能",'4.個人職能盤點'!$G$2:$G$1486,"&gt;0"),"-"))</f>
        <v/>
      </c>
      <c r="M155" s="120">
        <f>IF(H155="","",IF(H155&gt;=0.9,"優秀",IF(H155&gt;=0.7,"符合期待","需加強發展")))</f>
        <v/>
      </c>
    </row>
    <row r="156" ht="15.75" customHeight="1" s="64">
      <c r="A156" s="120">
        <f>IF('3.員工名單'!A156="","",'3.員工名單'!A156)</f>
        <v/>
      </c>
      <c r="B156" s="120">
        <f>IF(A156="","",'3.員工名單'!B156)</f>
        <v/>
      </c>
      <c r="C156" s="120">
        <f>IF(A156="","",'3.員工名單'!C156)</f>
        <v/>
      </c>
      <c r="D156" s="120">
        <f>IF(A156="","",'3.員工名單'!D156)</f>
        <v/>
      </c>
      <c r="E156" s="120">
        <f>IF(A156="","",COUNTIFS('4.個人職能盤點'!$A$2:$A$1486,A156,'4.個人職能盤點'!$K$2:$K$1486,"達標")+COUNTIFS('4.個人職能盤點'!$A$2:$A$1486,A156,'4.個人職能盤點'!$K$2:$K$1486,"超越")+COUNTIFS('4.個人職能盤點'!$A$2:$A$1486,A156,'4.個人職能盤點'!$K$2:$K$1486,"待發展"))</f>
        <v/>
      </c>
      <c r="F156" s="120">
        <f>IF(A156="","",COUNTIFS('4.個人職能盤點'!$A$2:$A$1486,A156,'4.個人職能盤點'!$K$2:$K$1486,"達標")+COUNTIFS('4.個人職能盤點'!$A$2:$A$1486,A156,'4.個人職能盤點'!$K$2:$K$1486,"超越"))</f>
        <v/>
      </c>
      <c r="G156" s="120">
        <f>IF(A156="","",COUNTIFS('4.個人職能盤點'!$A$2:$A$1486,A156,'4.個人職能盤點'!$K$2:$K$1486,"待發展"))</f>
        <v/>
      </c>
      <c r="H156" s="121">
        <f>IF(OR(A156="",E156=0),"",F156/E156)</f>
        <v/>
      </c>
      <c r="I156" s="122">
        <f>IF(OR(A156="",E156=0),"",IFERROR(AVERAGEIFS('4.個人職能盤點'!$J$2:$J$1486,'4.個人職能盤點'!$A$2:$A$1486,A156),""))</f>
        <v/>
      </c>
      <c r="J156" s="123">
        <f>IF(A156="","",IFERROR(AVERAGEIFS('4.個人職能盤點'!$I$2:$I$1486,'4.個人職能盤點'!$A$2:$A$1486,A156,'4.個人職能盤點'!$E$2:$E$1486,"核心職能",'4.個人職能盤點'!$G$2:$G$1486,"&gt;0"),"-"))</f>
        <v/>
      </c>
      <c r="K156" s="123">
        <f>IF(A156="","",IFERROR(AVERAGEIFS('4.個人職能盤點'!$I$2:$I$1486,'4.個人職能盤點'!$A$2:$A$1486,A156,'4.個人職能盤點'!$E$2:$E$1486,"管理職能",'4.個人職能盤點'!$G$2:$G$1486,"&gt;0"),"-"))</f>
        <v/>
      </c>
      <c r="L156" s="123">
        <f>IF(A156="","",IFERROR(AVERAGEIFS('4.個人職能盤點'!$I$2:$I$1486,'4.個人職能盤點'!$A$2:$A$1486,A156,'4.個人職能盤點'!$E$2:$E$1486,"專業職能",'4.個人職能盤點'!$G$2:$G$1486,"&gt;0"),"-"))</f>
        <v/>
      </c>
      <c r="M156" s="120">
        <f>IF(H156="","",IF(H156&gt;=0.9,"優秀",IF(H156&gt;=0.7,"符合期待","需加強發展")))</f>
        <v/>
      </c>
    </row>
    <row r="157" ht="15.75" customHeight="1" s="64">
      <c r="A157" s="120">
        <f>IF('3.員工名單'!A157="","",'3.員工名單'!A157)</f>
        <v/>
      </c>
      <c r="B157" s="120">
        <f>IF(A157="","",'3.員工名單'!B157)</f>
        <v/>
      </c>
      <c r="C157" s="120">
        <f>IF(A157="","",'3.員工名單'!C157)</f>
        <v/>
      </c>
      <c r="D157" s="120">
        <f>IF(A157="","",'3.員工名單'!D157)</f>
        <v/>
      </c>
      <c r="E157" s="120">
        <f>IF(A157="","",COUNTIFS('4.個人職能盤點'!$A$2:$A$1486,A157,'4.個人職能盤點'!$K$2:$K$1486,"達標")+COUNTIFS('4.個人職能盤點'!$A$2:$A$1486,A157,'4.個人職能盤點'!$K$2:$K$1486,"超越")+COUNTIFS('4.個人職能盤點'!$A$2:$A$1486,A157,'4.個人職能盤點'!$K$2:$K$1486,"待發展"))</f>
        <v/>
      </c>
      <c r="F157" s="120">
        <f>IF(A157="","",COUNTIFS('4.個人職能盤點'!$A$2:$A$1486,A157,'4.個人職能盤點'!$K$2:$K$1486,"達標")+COUNTIFS('4.個人職能盤點'!$A$2:$A$1486,A157,'4.個人職能盤點'!$K$2:$K$1486,"超越"))</f>
        <v/>
      </c>
      <c r="G157" s="120">
        <f>IF(A157="","",COUNTIFS('4.個人職能盤點'!$A$2:$A$1486,A157,'4.個人職能盤點'!$K$2:$K$1486,"待發展"))</f>
        <v/>
      </c>
      <c r="H157" s="121">
        <f>IF(OR(A157="",E157=0),"",F157/E157)</f>
        <v/>
      </c>
      <c r="I157" s="122">
        <f>IF(OR(A157="",E157=0),"",IFERROR(AVERAGEIFS('4.個人職能盤點'!$J$2:$J$1486,'4.個人職能盤點'!$A$2:$A$1486,A157),""))</f>
        <v/>
      </c>
      <c r="J157" s="123">
        <f>IF(A157="","",IFERROR(AVERAGEIFS('4.個人職能盤點'!$I$2:$I$1486,'4.個人職能盤點'!$A$2:$A$1486,A157,'4.個人職能盤點'!$E$2:$E$1486,"核心職能",'4.個人職能盤點'!$G$2:$G$1486,"&gt;0"),"-"))</f>
        <v/>
      </c>
      <c r="K157" s="123">
        <f>IF(A157="","",IFERROR(AVERAGEIFS('4.個人職能盤點'!$I$2:$I$1486,'4.個人職能盤點'!$A$2:$A$1486,A157,'4.個人職能盤點'!$E$2:$E$1486,"管理職能",'4.個人職能盤點'!$G$2:$G$1486,"&gt;0"),"-"))</f>
        <v/>
      </c>
      <c r="L157" s="123">
        <f>IF(A157="","",IFERROR(AVERAGEIFS('4.個人職能盤點'!$I$2:$I$1486,'4.個人職能盤點'!$A$2:$A$1486,A157,'4.個人職能盤點'!$E$2:$E$1486,"專業職能",'4.個人職能盤點'!$G$2:$G$1486,"&gt;0"),"-"))</f>
        <v/>
      </c>
      <c r="M157" s="120">
        <f>IF(H157="","",IF(H157&gt;=0.9,"優秀",IF(H157&gt;=0.7,"符合期待","需加強發展")))</f>
        <v/>
      </c>
    </row>
    <row r="158" ht="15.75" customHeight="1" s="64">
      <c r="A158" s="120">
        <f>IF('3.員工名單'!A158="","",'3.員工名單'!A158)</f>
        <v/>
      </c>
      <c r="B158" s="120">
        <f>IF(A158="","",'3.員工名單'!B158)</f>
        <v/>
      </c>
      <c r="C158" s="120">
        <f>IF(A158="","",'3.員工名單'!C158)</f>
        <v/>
      </c>
      <c r="D158" s="120">
        <f>IF(A158="","",'3.員工名單'!D158)</f>
        <v/>
      </c>
      <c r="E158" s="120">
        <f>IF(A158="","",COUNTIFS('4.個人職能盤點'!$A$2:$A$1486,A158,'4.個人職能盤點'!$K$2:$K$1486,"達標")+COUNTIFS('4.個人職能盤點'!$A$2:$A$1486,A158,'4.個人職能盤點'!$K$2:$K$1486,"超越")+COUNTIFS('4.個人職能盤點'!$A$2:$A$1486,A158,'4.個人職能盤點'!$K$2:$K$1486,"待發展"))</f>
        <v/>
      </c>
      <c r="F158" s="120">
        <f>IF(A158="","",COUNTIFS('4.個人職能盤點'!$A$2:$A$1486,A158,'4.個人職能盤點'!$K$2:$K$1486,"達標")+COUNTIFS('4.個人職能盤點'!$A$2:$A$1486,A158,'4.個人職能盤點'!$K$2:$K$1486,"超越"))</f>
        <v/>
      </c>
      <c r="G158" s="120">
        <f>IF(A158="","",COUNTIFS('4.個人職能盤點'!$A$2:$A$1486,A158,'4.個人職能盤點'!$K$2:$K$1486,"待發展"))</f>
        <v/>
      </c>
      <c r="H158" s="121">
        <f>IF(OR(A158="",E158=0),"",F158/E158)</f>
        <v/>
      </c>
      <c r="I158" s="122">
        <f>IF(OR(A158="",E158=0),"",IFERROR(AVERAGEIFS('4.個人職能盤點'!$J$2:$J$1486,'4.個人職能盤點'!$A$2:$A$1486,A158),""))</f>
        <v/>
      </c>
      <c r="J158" s="123">
        <f>IF(A158="","",IFERROR(AVERAGEIFS('4.個人職能盤點'!$I$2:$I$1486,'4.個人職能盤點'!$A$2:$A$1486,A158,'4.個人職能盤點'!$E$2:$E$1486,"核心職能",'4.個人職能盤點'!$G$2:$G$1486,"&gt;0"),"-"))</f>
        <v/>
      </c>
      <c r="K158" s="123">
        <f>IF(A158="","",IFERROR(AVERAGEIFS('4.個人職能盤點'!$I$2:$I$1486,'4.個人職能盤點'!$A$2:$A$1486,A158,'4.個人職能盤點'!$E$2:$E$1486,"管理職能",'4.個人職能盤點'!$G$2:$G$1486,"&gt;0"),"-"))</f>
        <v/>
      </c>
      <c r="L158" s="123">
        <f>IF(A158="","",IFERROR(AVERAGEIFS('4.個人職能盤點'!$I$2:$I$1486,'4.個人職能盤點'!$A$2:$A$1486,A158,'4.個人職能盤點'!$E$2:$E$1486,"專業職能",'4.個人職能盤點'!$G$2:$G$1486,"&gt;0"),"-"))</f>
        <v/>
      </c>
      <c r="M158" s="120">
        <f>IF(H158="","",IF(H158&gt;=0.9,"優秀",IF(H158&gt;=0.7,"符合期待","需加強發展")))</f>
        <v/>
      </c>
    </row>
    <row r="159" ht="15.75" customHeight="1" s="64">
      <c r="A159" s="120">
        <f>IF('3.員工名單'!A159="","",'3.員工名單'!A159)</f>
        <v/>
      </c>
      <c r="B159" s="120">
        <f>IF(A159="","",'3.員工名單'!B159)</f>
        <v/>
      </c>
      <c r="C159" s="120">
        <f>IF(A159="","",'3.員工名單'!C159)</f>
        <v/>
      </c>
      <c r="D159" s="120">
        <f>IF(A159="","",'3.員工名單'!D159)</f>
        <v/>
      </c>
      <c r="E159" s="120">
        <f>IF(A159="","",COUNTIFS('4.個人職能盤點'!$A$2:$A$1486,A159,'4.個人職能盤點'!$K$2:$K$1486,"達標")+COUNTIFS('4.個人職能盤點'!$A$2:$A$1486,A159,'4.個人職能盤點'!$K$2:$K$1486,"超越")+COUNTIFS('4.個人職能盤點'!$A$2:$A$1486,A159,'4.個人職能盤點'!$K$2:$K$1486,"待發展"))</f>
        <v/>
      </c>
      <c r="F159" s="120">
        <f>IF(A159="","",COUNTIFS('4.個人職能盤點'!$A$2:$A$1486,A159,'4.個人職能盤點'!$K$2:$K$1486,"達標")+COUNTIFS('4.個人職能盤點'!$A$2:$A$1486,A159,'4.個人職能盤點'!$K$2:$K$1486,"超越"))</f>
        <v/>
      </c>
      <c r="G159" s="120">
        <f>IF(A159="","",COUNTIFS('4.個人職能盤點'!$A$2:$A$1486,A159,'4.個人職能盤點'!$K$2:$K$1486,"待發展"))</f>
        <v/>
      </c>
      <c r="H159" s="121">
        <f>IF(OR(A159="",E159=0),"",F159/E159)</f>
        <v/>
      </c>
      <c r="I159" s="122">
        <f>IF(OR(A159="",E159=0),"",IFERROR(AVERAGEIFS('4.個人職能盤點'!$J$2:$J$1486,'4.個人職能盤點'!$A$2:$A$1486,A159),""))</f>
        <v/>
      </c>
      <c r="J159" s="123">
        <f>IF(A159="","",IFERROR(AVERAGEIFS('4.個人職能盤點'!$I$2:$I$1486,'4.個人職能盤點'!$A$2:$A$1486,A159,'4.個人職能盤點'!$E$2:$E$1486,"核心職能",'4.個人職能盤點'!$G$2:$G$1486,"&gt;0"),"-"))</f>
        <v/>
      </c>
      <c r="K159" s="123">
        <f>IF(A159="","",IFERROR(AVERAGEIFS('4.個人職能盤點'!$I$2:$I$1486,'4.個人職能盤點'!$A$2:$A$1486,A159,'4.個人職能盤點'!$E$2:$E$1486,"管理職能",'4.個人職能盤點'!$G$2:$G$1486,"&gt;0"),"-"))</f>
        <v/>
      </c>
      <c r="L159" s="123">
        <f>IF(A159="","",IFERROR(AVERAGEIFS('4.個人職能盤點'!$I$2:$I$1486,'4.個人職能盤點'!$A$2:$A$1486,A159,'4.個人職能盤點'!$E$2:$E$1486,"專業職能",'4.個人職能盤點'!$G$2:$G$1486,"&gt;0"),"-"))</f>
        <v/>
      </c>
      <c r="M159" s="120">
        <f>IF(H159="","",IF(H159&gt;=0.9,"優秀",IF(H159&gt;=0.7,"符合期待","需加強發展")))</f>
        <v/>
      </c>
    </row>
    <row r="160" ht="15.75" customHeight="1" s="64">
      <c r="A160" s="120">
        <f>IF('3.員工名單'!A160="","",'3.員工名單'!A160)</f>
        <v/>
      </c>
      <c r="B160" s="120">
        <f>IF(A160="","",'3.員工名單'!B160)</f>
        <v/>
      </c>
      <c r="C160" s="120">
        <f>IF(A160="","",'3.員工名單'!C160)</f>
        <v/>
      </c>
      <c r="D160" s="120">
        <f>IF(A160="","",'3.員工名單'!D160)</f>
        <v/>
      </c>
      <c r="E160" s="120">
        <f>IF(A160="","",COUNTIFS('4.個人職能盤點'!$A$2:$A$1486,A160,'4.個人職能盤點'!$K$2:$K$1486,"達標")+COUNTIFS('4.個人職能盤點'!$A$2:$A$1486,A160,'4.個人職能盤點'!$K$2:$K$1486,"超越")+COUNTIFS('4.個人職能盤點'!$A$2:$A$1486,A160,'4.個人職能盤點'!$K$2:$K$1486,"待發展"))</f>
        <v/>
      </c>
      <c r="F160" s="120">
        <f>IF(A160="","",COUNTIFS('4.個人職能盤點'!$A$2:$A$1486,A160,'4.個人職能盤點'!$K$2:$K$1486,"達標")+COUNTIFS('4.個人職能盤點'!$A$2:$A$1486,A160,'4.個人職能盤點'!$K$2:$K$1486,"超越"))</f>
        <v/>
      </c>
      <c r="G160" s="120">
        <f>IF(A160="","",COUNTIFS('4.個人職能盤點'!$A$2:$A$1486,A160,'4.個人職能盤點'!$K$2:$K$1486,"待發展"))</f>
        <v/>
      </c>
      <c r="H160" s="121">
        <f>IF(OR(A160="",E160=0),"",F160/E160)</f>
        <v/>
      </c>
      <c r="I160" s="122">
        <f>IF(OR(A160="",E160=0),"",IFERROR(AVERAGEIFS('4.個人職能盤點'!$J$2:$J$1486,'4.個人職能盤點'!$A$2:$A$1486,A160),""))</f>
        <v/>
      </c>
      <c r="J160" s="123">
        <f>IF(A160="","",IFERROR(AVERAGEIFS('4.個人職能盤點'!$I$2:$I$1486,'4.個人職能盤點'!$A$2:$A$1486,A160,'4.個人職能盤點'!$E$2:$E$1486,"核心職能",'4.個人職能盤點'!$G$2:$G$1486,"&gt;0"),"-"))</f>
        <v/>
      </c>
      <c r="K160" s="123">
        <f>IF(A160="","",IFERROR(AVERAGEIFS('4.個人職能盤點'!$I$2:$I$1486,'4.個人職能盤點'!$A$2:$A$1486,A160,'4.個人職能盤點'!$E$2:$E$1486,"管理職能",'4.個人職能盤點'!$G$2:$G$1486,"&gt;0"),"-"))</f>
        <v/>
      </c>
      <c r="L160" s="123">
        <f>IF(A160="","",IFERROR(AVERAGEIFS('4.個人職能盤點'!$I$2:$I$1486,'4.個人職能盤點'!$A$2:$A$1486,A160,'4.個人職能盤點'!$E$2:$E$1486,"專業職能",'4.個人職能盤點'!$G$2:$G$1486,"&gt;0"),"-"))</f>
        <v/>
      </c>
      <c r="M160" s="120">
        <f>IF(H160="","",IF(H160&gt;=0.9,"優秀",IF(H160&gt;=0.7,"符合期待","需加強發展")))</f>
        <v/>
      </c>
    </row>
    <row r="161" ht="15.75" customHeight="1" s="64">
      <c r="A161" s="120">
        <f>IF('3.員工名單'!A161="","",'3.員工名單'!A161)</f>
        <v/>
      </c>
      <c r="B161" s="120">
        <f>IF(A161="","",'3.員工名單'!B161)</f>
        <v/>
      </c>
      <c r="C161" s="120">
        <f>IF(A161="","",'3.員工名單'!C161)</f>
        <v/>
      </c>
      <c r="D161" s="120">
        <f>IF(A161="","",'3.員工名單'!D161)</f>
        <v/>
      </c>
      <c r="E161" s="120">
        <f>IF(A161="","",COUNTIFS('4.個人職能盤點'!$A$2:$A$1486,A161,'4.個人職能盤點'!$K$2:$K$1486,"達標")+COUNTIFS('4.個人職能盤點'!$A$2:$A$1486,A161,'4.個人職能盤點'!$K$2:$K$1486,"超越")+COUNTIFS('4.個人職能盤點'!$A$2:$A$1486,A161,'4.個人職能盤點'!$K$2:$K$1486,"待發展"))</f>
        <v/>
      </c>
      <c r="F161" s="120">
        <f>IF(A161="","",COUNTIFS('4.個人職能盤點'!$A$2:$A$1486,A161,'4.個人職能盤點'!$K$2:$K$1486,"達標")+COUNTIFS('4.個人職能盤點'!$A$2:$A$1486,A161,'4.個人職能盤點'!$K$2:$K$1486,"超越"))</f>
        <v/>
      </c>
      <c r="G161" s="120">
        <f>IF(A161="","",COUNTIFS('4.個人職能盤點'!$A$2:$A$1486,A161,'4.個人職能盤點'!$K$2:$K$1486,"待發展"))</f>
        <v/>
      </c>
      <c r="H161" s="121">
        <f>IF(OR(A161="",E161=0),"",F161/E161)</f>
        <v/>
      </c>
      <c r="I161" s="122">
        <f>IF(OR(A161="",E161=0),"",IFERROR(AVERAGEIFS('4.個人職能盤點'!$J$2:$J$1486,'4.個人職能盤點'!$A$2:$A$1486,A161),""))</f>
        <v/>
      </c>
      <c r="J161" s="123">
        <f>IF(A161="","",IFERROR(AVERAGEIFS('4.個人職能盤點'!$I$2:$I$1486,'4.個人職能盤點'!$A$2:$A$1486,A161,'4.個人職能盤點'!$E$2:$E$1486,"核心職能",'4.個人職能盤點'!$G$2:$G$1486,"&gt;0"),"-"))</f>
        <v/>
      </c>
      <c r="K161" s="123">
        <f>IF(A161="","",IFERROR(AVERAGEIFS('4.個人職能盤點'!$I$2:$I$1486,'4.個人職能盤點'!$A$2:$A$1486,A161,'4.個人職能盤點'!$E$2:$E$1486,"管理職能",'4.個人職能盤點'!$G$2:$G$1486,"&gt;0"),"-"))</f>
        <v/>
      </c>
      <c r="L161" s="123">
        <f>IF(A161="","",IFERROR(AVERAGEIFS('4.個人職能盤點'!$I$2:$I$1486,'4.個人職能盤點'!$A$2:$A$1486,A161,'4.個人職能盤點'!$E$2:$E$1486,"專業職能",'4.個人職能盤點'!$G$2:$G$1486,"&gt;0"),"-"))</f>
        <v/>
      </c>
      <c r="M161" s="120">
        <f>IF(H161="","",IF(H161&gt;=0.9,"優秀",IF(H161&gt;=0.7,"符合期待","需加強發展")))</f>
        <v/>
      </c>
    </row>
    <row r="162" ht="15.75" customHeight="1" s="64">
      <c r="A162" s="120">
        <f>IF('3.員工名單'!A162="","",'3.員工名單'!A162)</f>
        <v/>
      </c>
      <c r="B162" s="120">
        <f>IF(A162="","",'3.員工名單'!B162)</f>
        <v/>
      </c>
      <c r="C162" s="120">
        <f>IF(A162="","",'3.員工名單'!C162)</f>
        <v/>
      </c>
      <c r="D162" s="120">
        <f>IF(A162="","",'3.員工名單'!D162)</f>
        <v/>
      </c>
      <c r="E162" s="120">
        <f>IF(A162="","",COUNTIFS('4.個人職能盤點'!$A$2:$A$1486,A162,'4.個人職能盤點'!$K$2:$K$1486,"達標")+COUNTIFS('4.個人職能盤點'!$A$2:$A$1486,A162,'4.個人職能盤點'!$K$2:$K$1486,"超越")+COUNTIFS('4.個人職能盤點'!$A$2:$A$1486,A162,'4.個人職能盤點'!$K$2:$K$1486,"待發展"))</f>
        <v/>
      </c>
      <c r="F162" s="120">
        <f>IF(A162="","",COUNTIFS('4.個人職能盤點'!$A$2:$A$1486,A162,'4.個人職能盤點'!$K$2:$K$1486,"達標")+COUNTIFS('4.個人職能盤點'!$A$2:$A$1486,A162,'4.個人職能盤點'!$K$2:$K$1486,"超越"))</f>
        <v/>
      </c>
      <c r="G162" s="120">
        <f>IF(A162="","",COUNTIFS('4.個人職能盤點'!$A$2:$A$1486,A162,'4.個人職能盤點'!$K$2:$K$1486,"待發展"))</f>
        <v/>
      </c>
      <c r="H162" s="121">
        <f>IF(OR(A162="",E162=0),"",F162/E162)</f>
        <v/>
      </c>
      <c r="I162" s="122">
        <f>IF(OR(A162="",E162=0),"",IFERROR(AVERAGEIFS('4.個人職能盤點'!$J$2:$J$1486,'4.個人職能盤點'!$A$2:$A$1486,A162),""))</f>
        <v/>
      </c>
      <c r="J162" s="123">
        <f>IF(A162="","",IFERROR(AVERAGEIFS('4.個人職能盤點'!$I$2:$I$1486,'4.個人職能盤點'!$A$2:$A$1486,A162,'4.個人職能盤點'!$E$2:$E$1486,"核心職能",'4.個人職能盤點'!$G$2:$G$1486,"&gt;0"),"-"))</f>
        <v/>
      </c>
      <c r="K162" s="123">
        <f>IF(A162="","",IFERROR(AVERAGEIFS('4.個人職能盤點'!$I$2:$I$1486,'4.個人職能盤點'!$A$2:$A$1486,A162,'4.個人職能盤點'!$E$2:$E$1486,"管理職能",'4.個人職能盤點'!$G$2:$G$1486,"&gt;0"),"-"))</f>
        <v/>
      </c>
      <c r="L162" s="123">
        <f>IF(A162="","",IFERROR(AVERAGEIFS('4.個人職能盤點'!$I$2:$I$1486,'4.個人職能盤點'!$A$2:$A$1486,A162,'4.個人職能盤點'!$E$2:$E$1486,"專業職能",'4.個人職能盤點'!$G$2:$G$1486,"&gt;0"),"-"))</f>
        <v/>
      </c>
      <c r="M162" s="120">
        <f>IF(H162="","",IF(H162&gt;=0.9,"優秀",IF(H162&gt;=0.7,"符合期待","需加強發展")))</f>
        <v/>
      </c>
    </row>
    <row r="163" ht="15.75" customHeight="1" s="64">
      <c r="A163" s="120">
        <f>IF('3.員工名單'!A163="","",'3.員工名單'!A163)</f>
        <v/>
      </c>
      <c r="B163" s="120">
        <f>IF(A163="","",'3.員工名單'!B163)</f>
        <v/>
      </c>
      <c r="C163" s="120">
        <f>IF(A163="","",'3.員工名單'!C163)</f>
        <v/>
      </c>
      <c r="D163" s="120">
        <f>IF(A163="","",'3.員工名單'!D163)</f>
        <v/>
      </c>
      <c r="E163" s="120">
        <f>IF(A163="","",COUNTIFS('4.個人職能盤點'!$A$2:$A$1486,A163,'4.個人職能盤點'!$K$2:$K$1486,"達標")+COUNTIFS('4.個人職能盤點'!$A$2:$A$1486,A163,'4.個人職能盤點'!$K$2:$K$1486,"超越")+COUNTIFS('4.個人職能盤點'!$A$2:$A$1486,A163,'4.個人職能盤點'!$K$2:$K$1486,"待發展"))</f>
        <v/>
      </c>
      <c r="F163" s="120">
        <f>IF(A163="","",COUNTIFS('4.個人職能盤點'!$A$2:$A$1486,A163,'4.個人職能盤點'!$K$2:$K$1486,"達標")+COUNTIFS('4.個人職能盤點'!$A$2:$A$1486,A163,'4.個人職能盤點'!$K$2:$K$1486,"超越"))</f>
        <v/>
      </c>
      <c r="G163" s="120">
        <f>IF(A163="","",COUNTIFS('4.個人職能盤點'!$A$2:$A$1486,A163,'4.個人職能盤點'!$K$2:$K$1486,"待發展"))</f>
        <v/>
      </c>
      <c r="H163" s="121">
        <f>IF(OR(A163="",E163=0),"",F163/E163)</f>
        <v/>
      </c>
      <c r="I163" s="122">
        <f>IF(OR(A163="",E163=0),"",IFERROR(AVERAGEIFS('4.個人職能盤點'!$J$2:$J$1486,'4.個人職能盤點'!$A$2:$A$1486,A163),""))</f>
        <v/>
      </c>
      <c r="J163" s="123">
        <f>IF(A163="","",IFERROR(AVERAGEIFS('4.個人職能盤點'!$I$2:$I$1486,'4.個人職能盤點'!$A$2:$A$1486,A163,'4.個人職能盤點'!$E$2:$E$1486,"核心職能",'4.個人職能盤點'!$G$2:$G$1486,"&gt;0"),"-"))</f>
        <v/>
      </c>
      <c r="K163" s="123">
        <f>IF(A163="","",IFERROR(AVERAGEIFS('4.個人職能盤點'!$I$2:$I$1486,'4.個人職能盤點'!$A$2:$A$1486,A163,'4.個人職能盤點'!$E$2:$E$1486,"管理職能",'4.個人職能盤點'!$G$2:$G$1486,"&gt;0"),"-"))</f>
        <v/>
      </c>
      <c r="L163" s="123">
        <f>IF(A163="","",IFERROR(AVERAGEIFS('4.個人職能盤點'!$I$2:$I$1486,'4.個人職能盤點'!$A$2:$A$1486,A163,'4.個人職能盤點'!$E$2:$E$1486,"專業職能",'4.個人職能盤點'!$G$2:$G$1486,"&gt;0"),"-"))</f>
        <v/>
      </c>
      <c r="M163" s="120">
        <f>IF(H163="","",IF(H163&gt;=0.9,"優秀",IF(H163&gt;=0.7,"符合期待","需加強發展")))</f>
        <v/>
      </c>
    </row>
    <row r="164" ht="15.75" customHeight="1" s="64">
      <c r="A164" s="120">
        <f>IF('3.員工名單'!A164="","",'3.員工名單'!A164)</f>
        <v/>
      </c>
      <c r="B164" s="120">
        <f>IF(A164="","",'3.員工名單'!B164)</f>
        <v/>
      </c>
      <c r="C164" s="120">
        <f>IF(A164="","",'3.員工名單'!C164)</f>
        <v/>
      </c>
      <c r="D164" s="120">
        <f>IF(A164="","",'3.員工名單'!D164)</f>
        <v/>
      </c>
      <c r="E164" s="120">
        <f>IF(A164="","",COUNTIFS('4.個人職能盤點'!$A$2:$A$1486,A164,'4.個人職能盤點'!$K$2:$K$1486,"達標")+COUNTIFS('4.個人職能盤點'!$A$2:$A$1486,A164,'4.個人職能盤點'!$K$2:$K$1486,"超越")+COUNTIFS('4.個人職能盤點'!$A$2:$A$1486,A164,'4.個人職能盤點'!$K$2:$K$1486,"待發展"))</f>
        <v/>
      </c>
      <c r="F164" s="120">
        <f>IF(A164="","",COUNTIFS('4.個人職能盤點'!$A$2:$A$1486,A164,'4.個人職能盤點'!$K$2:$K$1486,"達標")+COUNTIFS('4.個人職能盤點'!$A$2:$A$1486,A164,'4.個人職能盤點'!$K$2:$K$1486,"超越"))</f>
        <v/>
      </c>
      <c r="G164" s="120">
        <f>IF(A164="","",COUNTIFS('4.個人職能盤點'!$A$2:$A$1486,A164,'4.個人職能盤點'!$K$2:$K$1486,"待發展"))</f>
        <v/>
      </c>
      <c r="H164" s="121">
        <f>IF(OR(A164="",E164=0),"",F164/E164)</f>
        <v/>
      </c>
      <c r="I164" s="122">
        <f>IF(OR(A164="",E164=0),"",IFERROR(AVERAGEIFS('4.個人職能盤點'!$J$2:$J$1486,'4.個人職能盤點'!$A$2:$A$1486,A164),""))</f>
        <v/>
      </c>
      <c r="J164" s="123">
        <f>IF(A164="","",IFERROR(AVERAGEIFS('4.個人職能盤點'!$I$2:$I$1486,'4.個人職能盤點'!$A$2:$A$1486,A164,'4.個人職能盤點'!$E$2:$E$1486,"核心職能",'4.個人職能盤點'!$G$2:$G$1486,"&gt;0"),"-"))</f>
        <v/>
      </c>
      <c r="K164" s="123">
        <f>IF(A164="","",IFERROR(AVERAGEIFS('4.個人職能盤點'!$I$2:$I$1486,'4.個人職能盤點'!$A$2:$A$1486,A164,'4.個人職能盤點'!$E$2:$E$1486,"管理職能",'4.個人職能盤點'!$G$2:$G$1486,"&gt;0"),"-"))</f>
        <v/>
      </c>
      <c r="L164" s="123">
        <f>IF(A164="","",IFERROR(AVERAGEIFS('4.個人職能盤點'!$I$2:$I$1486,'4.個人職能盤點'!$A$2:$A$1486,A164,'4.個人職能盤點'!$E$2:$E$1486,"專業職能",'4.個人職能盤點'!$G$2:$G$1486,"&gt;0"),"-"))</f>
        <v/>
      </c>
      <c r="M164" s="120">
        <f>IF(H164="","",IF(H164&gt;=0.9,"優秀",IF(H164&gt;=0.7,"符合期待","需加強發展")))</f>
        <v/>
      </c>
    </row>
    <row r="165" ht="15.75" customHeight="1" s="64">
      <c r="A165" s="120">
        <f>IF('3.員工名單'!A165="","",'3.員工名單'!A165)</f>
        <v/>
      </c>
      <c r="B165" s="120">
        <f>IF(A165="","",'3.員工名單'!B165)</f>
        <v/>
      </c>
      <c r="C165" s="120">
        <f>IF(A165="","",'3.員工名單'!C165)</f>
        <v/>
      </c>
      <c r="D165" s="120">
        <f>IF(A165="","",'3.員工名單'!D165)</f>
        <v/>
      </c>
      <c r="E165" s="120">
        <f>IF(A165="","",COUNTIFS('4.個人職能盤點'!$A$2:$A$1486,A165,'4.個人職能盤點'!$K$2:$K$1486,"達標")+COUNTIFS('4.個人職能盤點'!$A$2:$A$1486,A165,'4.個人職能盤點'!$K$2:$K$1486,"超越")+COUNTIFS('4.個人職能盤點'!$A$2:$A$1486,A165,'4.個人職能盤點'!$K$2:$K$1486,"待發展"))</f>
        <v/>
      </c>
      <c r="F165" s="120">
        <f>IF(A165="","",COUNTIFS('4.個人職能盤點'!$A$2:$A$1486,A165,'4.個人職能盤點'!$K$2:$K$1486,"達標")+COUNTIFS('4.個人職能盤點'!$A$2:$A$1486,A165,'4.個人職能盤點'!$K$2:$K$1486,"超越"))</f>
        <v/>
      </c>
      <c r="G165" s="120">
        <f>IF(A165="","",COUNTIFS('4.個人職能盤點'!$A$2:$A$1486,A165,'4.個人職能盤點'!$K$2:$K$1486,"待發展"))</f>
        <v/>
      </c>
      <c r="H165" s="121">
        <f>IF(OR(A165="",E165=0),"",F165/E165)</f>
        <v/>
      </c>
      <c r="I165" s="122">
        <f>IF(OR(A165="",E165=0),"",IFERROR(AVERAGEIFS('4.個人職能盤點'!$J$2:$J$1486,'4.個人職能盤點'!$A$2:$A$1486,A165),""))</f>
        <v/>
      </c>
      <c r="J165" s="123">
        <f>IF(A165="","",IFERROR(AVERAGEIFS('4.個人職能盤點'!$I$2:$I$1486,'4.個人職能盤點'!$A$2:$A$1486,A165,'4.個人職能盤點'!$E$2:$E$1486,"核心職能",'4.個人職能盤點'!$G$2:$G$1486,"&gt;0"),"-"))</f>
        <v/>
      </c>
      <c r="K165" s="123">
        <f>IF(A165="","",IFERROR(AVERAGEIFS('4.個人職能盤點'!$I$2:$I$1486,'4.個人職能盤點'!$A$2:$A$1486,A165,'4.個人職能盤點'!$E$2:$E$1486,"管理職能",'4.個人職能盤點'!$G$2:$G$1486,"&gt;0"),"-"))</f>
        <v/>
      </c>
      <c r="L165" s="123">
        <f>IF(A165="","",IFERROR(AVERAGEIFS('4.個人職能盤點'!$I$2:$I$1486,'4.個人職能盤點'!$A$2:$A$1486,A165,'4.個人職能盤點'!$E$2:$E$1486,"專業職能",'4.個人職能盤點'!$G$2:$G$1486,"&gt;0"),"-"))</f>
        <v/>
      </c>
      <c r="M165" s="120">
        <f>IF(H165="","",IF(H165&gt;=0.9,"優秀",IF(H165&gt;=0.7,"符合期待","需加強發展")))</f>
        <v/>
      </c>
    </row>
    <row r="166" ht="15.75" customHeight="1" s="64">
      <c r="A166" s="120">
        <f>IF('3.員工名單'!A166="","",'3.員工名單'!A166)</f>
        <v/>
      </c>
      <c r="B166" s="120">
        <f>IF(A166="","",'3.員工名單'!B166)</f>
        <v/>
      </c>
      <c r="C166" s="120">
        <f>IF(A166="","",'3.員工名單'!C166)</f>
        <v/>
      </c>
      <c r="D166" s="120">
        <f>IF(A166="","",'3.員工名單'!D166)</f>
        <v/>
      </c>
      <c r="E166" s="120">
        <f>IF(A166="","",COUNTIFS('4.個人職能盤點'!$A$2:$A$1486,A166,'4.個人職能盤點'!$K$2:$K$1486,"達標")+COUNTIFS('4.個人職能盤點'!$A$2:$A$1486,A166,'4.個人職能盤點'!$K$2:$K$1486,"超越")+COUNTIFS('4.個人職能盤點'!$A$2:$A$1486,A166,'4.個人職能盤點'!$K$2:$K$1486,"待發展"))</f>
        <v/>
      </c>
      <c r="F166" s="120">
        <f>IF(A166="","",COUNTIFS('4.個人職能盤點'!$A$2:$A$1486,A166,'4.個人職能盤點'!$K$2:$K$1486,"達標")+COUNTIFS('4.個人職能盤點'!$A$2:$A$1486,A166,'4.個人職能盤點'!$K$2:$K$1486,"超越"))</f>
        <v/>
      </c>
      <c r="G166" s="120">
        <f>IF(A166="","",COUNTIFS('4.個人職能盤點'!$A$2:$A$1486,A166,'4.個人職能盤點'!$K$2:$K$1486,"待發展"))</f>
        <v/>
      </c>
      <c r="H166" s="121">
        <f>IF(OR(A166="",E166=0),"",F166/E166)</f>
        <v/>
      </c>
      <c r="I166" s="122">
        <f>IF(OR(A166="",E166=0),"",IFERROR(AVERAGEIFS('4.個人職能盤點'!$J$2:$J$1486,'4.個人職能盤點'!$A$2:$A$1486,A166),""))</f>
        <v/>
      </c>
      <c r="J166" s="123">
        <f>IF(A166="","",IFERROR(AVERAGEIFS('4.個人職能盤點'!$I$2:$I$1486,'4.個人職能盤點'!$A$2:$A$1486,A166,'4.個人職能盤點'!$E$2:$E$1486,"核心職能",'4.個人職能盤點'!$G$2:$G$1486,"&gt;0"),"-"))</f>
        <v/>
      </c>
      <c r="K166" s="123">
        <f>IF(A166="","",IFERROR(AVERAGEIFS('4.個人職能盤點'!$I$2:$I$1486,'4.個人職能盤點'!$A$2:$A$1486,A166,'4.個人職能盤點'!$E$2:$E$1486,"管理職能",'4.個人職能盤點'!$G$2:$G$1486,"&gt;0"),"-"))</f>
        <v/>
      </c>
      <c r="L166" s="123">
        <f>IF(A166="","",IFERROR(AVERAGEIFS('4.個人職能盤點'!$I$2:$I$1486,'4.個人職能盤點'!$A$2:$A$1486,A166,'4.個人職能盤點'!$E$2:$E$1486,"專業職能",'4.個人職能盤點'!$G$2:$G$1486,"&gt;0"),"-"))</f>
        <v/>
      </c>
      <c r="M166" s="120">
        <f>IF(H166="","",IF(H166&gt;=0.9,"優秀",IF(H166&gt;=0.7,"符合期待","需加強發展")))</f>
        <v/>
      </c>
    </row>
    <row r="167" ht="15.75" customHeight="1" s="64">
      <c r="A167" s="120">
        <f>IF('3.員工名單'!A167="","",'3.員工名單'!A167)</f>
        <v/>
      </c>
      <c r="B167" s="120">
        <f>IF(A167="","",'3.員工名單'!B167)</f>
        <v/>
      </c>
      <c r="C167" s="120">
        <f>IF(A167="","",'3.員工名單'!C167)</f>
        <v/>
      </c>
      <c r="D167" s="120">
        <f>IF(A167="","",'3.員工名單'!D167)</f>
        <v/>
      </c>
      <c r="E167" s="120">
        <f>IF(A167="","",COUNTIFS('4.個人職能盤點'!$A$2:$A$1486,A167,'4.個人職能盤點'!$K$2:$K$1486,"達標")+COUNTIFS('4.個人職能盤點'!$A$2:$A$1486,A167,'4.個人職能盤點'!$K$2:$K$1486,"超越")+COUNTIFS('4.個人職能盤點'!$A$2:$A$1486,A167,'4.個人職能盤點'!$K$2:$K$1486,"待發展"))</f>
        <v/>
      </c>
      <c r="F167" s="120">
        <f>IF(A167="","",COUNTIFS('4.個人職能盤點'!$A$2:$A$1486,A167,'4.個人職能盤點'!$K$2:$K$1486,"達標")+COUNTIFS('4.個人職能盤點'!$A$2:$A$1486,A167,'4.個人職能盤點'!$K$2:$K$1486,"超越"))</f>
        <v/>
      </c>
      <c r="G167" s="120">
        <f>IF(A167="","",COUNTIFS('4.個人職能盤點'!$A$2:$A$1486,A167,'4.個人職能盤點'!$K$2:$K$1486,"待發展"))</f>
        <v/>
      </c>
      <c r="H167" s="121">
        <f>IF(OR(A167="",E167=0),"",F167/E167)</f>
        <v/>
      </c>
      <c r="I167" s="122">
        <f>IF(OR(A167="",E167=0),"",IFERROR(AVERAGEIFS('4.個人職能盤點'!$J$2:$J$1486,'4.個人職能盤點'!$A$2:$A$1486,A167),""))</f>
        <v/>
      </c>
      <c r="J167" s="123">
        <f>IF(A167="","",IFERROR(AVERAGEIFS('4.個人職能盤點'!$I$2:$I$1486,'4.個人職能盤點'!$A$2:$A$1486,A167,'4.個人職能盤點'!$E$2:$E$1486,"核心職能",'4.個人職能盤點'!$G$2:$G$1486,"&gt;0"),"-"))</f>
        <v/>
      </c>
      <c r="K167" s="123">
        <f>IF(A167="","",IFERROR(AVERAGEIFS('4.個人職能盤點'!$I$2:$I$1486,'4.個人職能盤點'!$A$2:$A$1486,A167,'4.個人職能盤點'!$E$2:$E$1486,"管理職能",'4.個人職能盤點'!$G$2:$G$1486,"&gt;0"),"-"))</f>
        <v/>
      </c>
      <c r="L167" s="123">
        <f>IF(A167="","",IFERROR(AVERAGEIFS('4.個人職能盤點'!$I$2:$I$1486,'4.個人職能盤點'!$A$2:$A$1486,A167,'4.個人職能盤點'!$E$2:$E$1486,"專業職能",'4.個人職能盤點'!$G$2:$G$1486,"&gt;0"),"-"))</f>
        <v/>
      </c>
      <c r="M167" s="120">
        <f>IF(H167="","",IF(H167&gt;=0.9,"優秀",IF(H167&gt;=0.7,"符合期待","需加強發展")))</f>
        <v/>
      </c>
    </row>
    <row r="168" ht="15.75" customHeight="1" s="64">
      <c r="A168" s="120">
        <f>IF('3.員工名單'!A168="","",'3.員工名單'!A168)</f>
        <v/>
      </c>
      <c r="B168" s="120">
        <f>IF(A168="","",'3.員工名單'!B168)</f>
        <v/>
      </c>
      <c r="C168" s="120">
        <f>IF(A168="","",'3.員工名單'!C168)</f>
        <v/>
      </c>
      <c r="D168" s="120">
        <f>IF(A168="","",'3.員工名單'!D168)</f>
        <v/>
      </c>
      <c r="E168" s="120">
        <f>IF(A168="","",COUNTIFS('4.個人職能盤點'!$A$2:$A$1486,A168,'4.個人職能盤點'!$K$2:$K$1486,"達標")+COUNTIFS('4.個人職能盤點'!$A$2:$A$1486,A168,'4.個人職能盤點'!$K$2:$K$1486,"超越")+COUNTIFS('4.個人職能盤點'!$A$2:$A$1486,A168,'4.個人職能盤點'!$K$2:$K$1486,"待發展"))</f>
        <v/>
      </c>
      <c r="F168" s="120">
        <f>IF(A168="","",COUNTIFS('4.個人職能盤點'!$A$2:$A$1486,A168,'4.個人職能盤點'!$K$2:$K$1486,"達標")+COUNTIFS('4.個人職能盤點'!$A$2:$A$1486,A168,'4.個人職能盤點'!$K$2:$K$1486,"超越"))</f>
        <v/>
      </c>
      <c r="G168" s="120">
        <f>IF(A168="","",COUNTIFS('4.個人職能盤點'!$A$2:$A$1486,A168,'4.個人職能盤點'!$K$2:$K$1486,"待發展"))</f>
        <v/>
      </c>
      <c r="H168" s="121">
        <f>IF(OR(A168="",E168=0),"",F168/E168)</f>
        <v/>
      </c>
      <c r="I168" s="122">
        <f>IF(OR(A168="",E168=0),"",IFERROR(AVERAGEIFS('4.個人職能盤點'!$J$2:$J$1486,'4.個人職能盤點'!$A$2:$A$1486,A168),""))</f>
        <v/>
      </c>
      <c r="J168" s="123">
        <f>IF(A168="","",IFERROR(AVERAGEIFS('4.個人職能盤點'!$I$2:$I$1486,'4.個人職能盤點'!$A$2:$A$1486,A168,'4.個人職能盤點'!$E$2:$E$1486,"核心職能",'4.個人職能盤點'!$G$2:$G$1486,"&gt;0"),"-"))</f>
        <v/>
      </c>
      <c r="K168" s="123">
        <f>IF(A168="","",IFERROR(AVERAGEIFS('4.個人職能盤點'!$I$2:$I$1486,'4.個人職能盤點'!$A$2:$A$1486,A168,'4.個人職能盤點'!$E$2:$E$1486,"管理職能",'4.個人職能盤點'!$G$2:$G$1486,"&gt;0"),"-"))</f>
        <v/>
      </c>
      <c r="L168" s="123">
        <f>IF(A168="","",IFERROR(AVERAGEIFS('4.個人職能盤點'!$I$2:$I$1486,'4.個人職能盤點'!$A$2:$A$1486,A168,'4.個人職能盤點'!$E$2:$E$1486,"專業職能",'4.個人職能盤點'!$G$2:$G$1486,"&gt;0"),"-"))</f>
        <v/>
      </c>
      <c r="M168" s="120">
        <f>IF(H168="","",IF(H168&gt;=0.9,"優秀",IF(H168&gt;=0.7,"符合期待","需加強發展")))</f>
        <v/>
      </c>
    </row>
    <row r="169" ht="15.75" customHeight="1" s="64">
      <c r="A169" s="120">
        <f>IF('3.員工名單'!A169="","",'3.員工名單'!A169)</f>
        <v/>
      </c>
      <c r="B169" s="120">
        <f>IF(A169="","",'3.員工名單'!B169)</f>
        <v/>
      </c>
      <c r="C169" s="120">
        <f>IF(A169="","",'3.員工名單'!C169)</f>
        <v/>
      </c>
      <c r="D169" s="120">
        <f>IF(A169="","",'3.員工名單'!D169)</f>
        <v/>
      </c>
      <c r="E169" s="120">
        <f>IF(A169="","",COUNTIFS('4.個人職能盤點'!$A$2:$A$1486,A169,'4.個人職能盤點'!$K$2:$K$1486,"達標")+COUNTIFS('4.個人職能盤點'!$A$2:$A$1486,A169,'4.個人職能盤點'!$K$2:$K$1486,"超越")+COUNTIFS('4.個人職能盤點'!$A$2:$A$1486,A169,'4.個人職能盤點'!$K$2:$K$1486,"待發展"))</f>
        <v/>
      </c>
      <c r="F169" s="120">
        <f>IF(A169="","",COUNTIFS('4.個人職能盤點'!$A$2:$A$1486,A169,'4.個人職能盤點'!$K$2:$K$1486,"達標")+COUNTIFS('4.個人職能盤點'!$A$2:$A$1486,A169,'4.個人職能盤點'!$K$2:$K$1486,"超越"))</f>
        <v/>
      </c>
      <c r="G169" s="120">
        <f>IF(A169="","",COUNTIFS('4.個人職能盤點'!$A$2:$A$1486,A169,'4.個人職能盤點'!$K$2:$K$1486,"待發展"))</f>
        <v/>
      </c>
      <c r="H169" s="121">
        <f>IF(OR(A169="",E169=0),"",F169/E169)</f>
        <v/>
      </c>
      <c r="I169" s="122">
        <f>IF(OR(A169="",E169=0),"",IFERROR(AVERAGEIFS('4.個人職能盤點'!$J$2:$J$1486,'4.個人職能盤點'!$A$2:$A$1486,A169),""))</f>
        <v/>
      </c>
      <c r="J169" s="123">
        <f>IF(A169="","",IFERROR(AVERAGEIFS('4.個人職能盤點'!$I$2:$I$1486,'4.個人職能盤點'!$A$2:$A$1486,A169,'4.個人職能盤點'!$E$2:$E$1486,"核心職能",'4.個人職能盤點'!$G$2:$G$1486,"&gt;0"),"-"))</f>
        <v/>
      </c>
      <c r="K169" s="123">
        <f>IF(A169="","",IFERROR(AVERAGEIFS('4.個人職能盤點'!$I$2:$I$1486,'4.個人職能盤點'!$A$2:$A$1486,A169,'4.個人職能盤點'!$E$2:$E$1486,"管理職能",'4.個人職能盤點'!$G$2:$G$1486,"&gt;0"),"-"))</f>
        <v/>
      </c>
      <c r="L169" s="123">
        <f>IF(A169="","",IFERROR(AVERAGEIFS('4.個人職能盤點'!$I$2:$I$1486,'4.個人職能盤點'!$A$2:$A$1486,A169,'4.個人職能盤點'!$E$2:$E$1486,"專業職能",'4.個人職能盤點'!$G$2:$G$1486,"&gt;0"),"-"))</f>
        <v/>
      </c>
      <c r="M169" s="120">
        <f>IF(H169="","",IF(H169&gt;=0.9,"優秀",IF(H169&gt;=0.7,"符合期待","需加強發展")))</f>
        <v/>
      </c>
    </row>
    <row r="170" ht="15.75" customHeight="1" s="64">
      <c r="A170" s="120">
        <f>IF('3.員工名單'!A170="","",'3.員工名單'!A170)</f>
        <v/>
      </c>
      <c r="B170" s="120">
        <f>IF(A170="","",'3.員工名單'!B170)</f>
        <v/>
      </c>
      <c r="C170" s="120">
        <f>IF(A170="","",'3.員工名單'!C170)</f>
        <v/>
      </c>
      <c r="D170" s="120">
        <f>IF(A170="","",'3.員工名單'!D170)</f>
        <v/>
      </c>
      <c r="E170" s="120">
        <f>IF(A170="","",COUNTIFS('4.個人職能盤點'!$A$2:$A$1486,A170,'4.個人職能盤點'!$K$2:$K$1486,"達標")+COUNTIFS('4.個人職能盤點'!$A$2:$A$1486,A170,'4.個人職能盤點'!$K$2:$K$1486,"超越")+COUNTIFS('4.個人職能盤點'!$A$2:$A$1486,A170,'4.個人職能盤點'!$K$2:$K$1486,"待發展"))</f>
        <v/>
      </c>
      <c r="F170" s="120">
        <f>IF(A170="","",COUNTIFS('4.個人職能盤點'!$A$2:$A$1486,A170,'4.個人職能盤點'!$K$2:$K$1486,"達標")+COUNTIFS('4.個人職能盤點'!$A$2:$A$1486,A170,'4.個人職能盤點'!$K$2:$K$1486,"超越"))</f>
        <v/>
      </c>
      <c r="G170" s="120">
        <f>IF(A170="","",COUNTIFS('4.個人職能盤點'!$A$2:$A$1486,A170,'4.個人職能盤點'!$K$2:$K$1486,"待發展"))</f>
        <v/>
      </c>
      <c r="H170" s="121">
        <f>IF(OR(A170="",E170=0),"",F170/E170)</f>
        <v/>
      </c>
      <c r="I170" s="122">
        <f>IF(OR(A170="",E170=0),"",IFERROR(AVERAGEIFS('4.個人職能盤點'!$J$2:$J$1486,'4.個人職能盤點'!$A$2:$A$1486,A170),""))</f>
        <v/>
      </c>
      <c r="J170" s="123">
        <f>IF(A170="","",IFERROR(AVERAGEIFS('4.個人職能盤點'!$I$2:$I$1486,'4.個人職能盤點'!$A$2:$A$1486,A170,'4.個人職能盤點'!$E$2:$E$1486,"核心職能",'4.個人職能盤點'!$G$2:$G$1486,"&gt;0"),"-"))</f>
        <v/>
      </c>
      <c r="K170" s="123">
        <f>IF(A170="","",IFERROR(AVERAGEIFS('4.個人職能盤點'!$I$2:$I$1486,'4.個人職能盤點'!$A$2:$A$1486,A170,'4.個人職能盤點'!$E$2:$E$1486,"管理職能",'4.個人職能盤點'!$G$2:$G$1486,"&gt;0"),"-"))</f>
        <v/>
      </c>
      <c r="L170" s="123">
        <f>IF(A170="","",IFERROR(AVERAGEIFS('4.個人職能盤點'!$I$2:$I$1486,'4.個人職能盤點'!$A$2:$A$1486,A170,'4.個人職能盤點'!$E$2:$E$1486,"專業職能",'4.個人職能盤點'!$G$2:$G$1486,"&gt;0"),"-"))</f>
        <v/>
      </c>
      <c r="M170" s="120">
        <f>IF(H170="","",IF(H170&gt;=0.9,"優秀",IF(H170&gt;=0.7,"符合期待","需加強發展")))</f>
        <v/>
      </c>
    </row>
    <row r="171" ht="15.75" customHeight="1" s="64">
      <c r="A171" s="120">
        <f>IF('3.員工名單'!A171="","",'3.員工名單'!A171)</f>
        <v/>
      </c>
      <c r="B171" s="120">
        <f>IF(A171="","",'3.員工名單'!B171)</f>
        <v/>
      </c>
      <c r="C171" s="120">
        <f>IF(A171="","",'3.員工名單'!C171)</f>
        <v/>
      </c>
      <c r="D171" s="120">
        <f>IF(A171="","",'3.員工名單'!D171)</f>
        <v/>
      </c>
      <c r="E171" s="120">
        <f>IF(A171="","",COUNTIFS('4.個人職能盤點'!$A$2:$A$1486,A171,'4.個人職能盤點'!$K$2:$K$1486,"達標")+COUNTIFS('4.個人職能盤點'!$A$2:$A$1486,A171,'4.個人職能盤點'!$K$2:$K$1486,"超越")+COUNTIFS('4.個人職能盤點'!$A$2:$A$1486,A171,'4.個人職能盤點'!$K$2:$K$1486,"待發展"))</f>
        <v/>
      </c>
      <c r="F171" s="120">
        <f>IF(A171="","",COUNTIFS('4.個人職能盤點'!$A$2:$A$1486,A171,'4.個人職能盤點'!$K$2:$K$1486,"達標")+COUNTIFS('4.個人職能盤點'!$A$2:$A$1486,A171,'4.個人職能盤點'!$K$2:$K$1486,"超越"))</f>
        <v/>
      </c>
      <c r="G171" s="120">
        <f>IF(A171="","",COUNTIFS('4.個人職能盤點'!$A$2:$A$1486,A171,'4.個人職能盤點'!$K$2:$K$1486,"待發展"))</f>
        <v/>
      </c>
      <c r="H171" s="121">
        <f>IF(OR(A171="",E171=0),"",F171/E171)</f>
        <v/>
      </c>
      <c r="I171" s="122">
        <f>IF(OR(A171="",E171=0),"",IFERROR(AVERAGEIFS('4.個人職能盤點'!$J$2:$J$1486,'4.個人職能盤點'!$A$2:$A$1486,A171),""))</f>
        <v/>
      </c>
      <c r="J171" s="123">
        <f>IF(A171="","",IFERROR(AVERAGEIFS('4.個人職能盤點'!$I$2:$I$1486,'4.個人職能盤點'!$A$2:$A$1486,A171,'4.個人職能盤點'!$E$2:$E$1486,"核心職能",'4.個人職能盤點'!$G$2:$G$1486,"&gt;0"),"-"))</f>
        <v/>
      </c>
      <c r="K171" s="123">
        <f>IF(A171="","",IFERROR(AVERAGEIFS('4.個人職能盤點'!$I$2:$I$1486,'4.個人職能盤點'!$A$2:$A$1486,A171,'4.個人職能盤點'!$E$2:$E$1486,"管理職能",'4.個人職能盤點'!$G$2:$G$1486,"&gt;0"),"-"))</f>
        <v/>
      </c>
      <c r="L171" s="123">
        <f>IF(A171="","",IFERROR(AVERAGEIFS('4.個人職能盤點'!$I$2:$I$1486,'4.個人職能盤點'!$A$2:$A$1486,A171,'4.個人職能盤點'!$E$2:$E$1486,"專業職能",'4.個人職能盤點'!$G$2:$G$1486,"&gt;0"),"-"))</f>
        <v/>
      </c>
      <c r="M171" s="120">
        <f>IF(H171="","",IF(H171&gt;=0.9,"優秀",IF(H171&gt;=0.7,"符合期待","需加強發展")))</f>
        <v/>
      </c>
    </row>
    <row r="172" ht="15.75" customHeight="1" s="64">
      <c r="A172" s="120">
        <f>IF('3.員工名單'!A172="","",'3.員工名單'!A172)</f>
        <v/>
      </c>
      <c r="B172" s="120">
        <f>IF(A172="","",'3.員工名單'!B172)</f>
        <v/>
      </c>
      <c r="C172" s="120">
        <f>IF(A172="","",'3.員工名單'!C172)</f>
        <v/>
      </c>
      <c r="D172" s="120">
        <f>IF(A172="","",'3.員工名單'!D172)</f>
        <v/>
      </c>
      <c r="E172" s="120">
        <f>IF(A172="","",COUNTIFS('4.個人職能盤點'!$A$2:$A$1486,A172,'4.個人職能盤點'!$K$2:$K$1486,"達標")+COUNTIFS('4.個人職能盤點'!$A$2:$A$1486,A172,'4.個人職能盤點'!$K$2:$K$1486,"超越")+COUNTIFS('4.個人職能盤點'!$A$2:$A$1486,A172,'4.個人職能盤點'!$K$2:$K$1486,"待發展"))</f>
        <v/>
      </c>
      <c r="F172" s="120">
        <f>IF(A172="","",COUNTIFS('4.個人職能盤點'!$A$2:$A$1486,A172,'4.個人職能盤點'!$K$2:$K$1486,"達標")+COUNTIFS('4.個人職能盤點'!$A$2:$A$1486,A172,'4.個人職能盤點'!$K$2:$K$1486,"超越"))</f>
        <v/>
      </c>
      <c r="G172" s="120">
        <f>IF(A172="","",COUNTIFS('4.個人職能盤點'!$A$2:$A$1486,A172,'4.個人職能盤點'!$K$2:$K$1486,"待發展"))</f>
        <v/>
      </c>
      <c r="H172" s="121">
        <f>IF(OR(A172="",E172=0),"",F172/E172)</f>
        <v/>
      </c>
      <c r="I172" s="122">
        <f>IF(OR(A172="",E172=0),"",IFERROR(AVERAGEIFS('4.個人職能盤點'!$J$2:$J$1486,'4.個人職能盤點'!$A$2:$A$1486,A172),""))</f>
        <v/>
      </c>
      <c r="J172" s="123">
        <f>IF(A172="","",IFERROR(AVERAGEIFS('4.個人職能盤點'!$I$2:$I$1486,'4.個人職能盤點'!$A$2:$A$1486,A172,'4.個人職能盤點'!$E$2:$E$1486,"核心職能",'4.個人職能盤點'!$G$2:$G$1486,"&gt;0"),"-"))</f>
        <v/>
      </c>
      <c r="K172" s="123">
        <f>IF(A172="","",IFERROR(AVERAGEIFS('4.個人職能盤點'!$I$2:$I$1486,'4.個人職能盤點'!$A$2:$A$1486,A172,'4.個人職能盤點'!$E$2:$E$1486,"管理職能",'4.個人職能盤點'!$G$2:$G$1486,"&gt;0"),"-"))</f>
        <v/>
      </c>
      <c r="L172" s="123">
        <f>IF(A172="","",IFERROR(AVERAGEIFS('4.個人職能盤點'!$I$2:$I$1486,'4.個人職能盤點'!$A$2:$A$1486,A172,'4.個人職能盤點'!$E$2:$E$1486,"專業職能",'4.個人職能盤點'!$G$2:$G$1486,"&gt;0"),"-"))</f>
        <v/>
      </c>
      <c r="M172" s="120">
        <f>IF(H172="","",IF(H172&gt;=0.9,"優秀",IF(H172&gt;=0.7,"符合期待","需加強發展")))</f>
        <v/>
      </c>
    </row>
    <row r="173" ht="15.75" customHeight="1" s="64">
      <c r="A173" s="120">
        <f>IF('3.員工名單'!A173="","",'3.員工名單'!A173)</f>
        <v/>
      </c>
      <c r="B173" s="120">
        <f>IF(A173="","",'3.員工名單'!B173)</f>
        <v/>
      </c>
      <c r="C173" s="120">
        <f>IF(A173="","",'3.員工名單'!C173)</f>
        <v/>
      </c>
      <c r="D173" s="120">
        <f>IF(A173="","",'3.員工名單'!D173)</f>
        <v/>
      </c>
      <c r="E173" s="120">
        <f>IF(A173="","",COUNTIFS('4.個人職能盤點'!$A$2:$A$1486,A173,'4.個人職能盤點'!$K$2:$K$1486,"達標")+COUNTIFS('4.個人職能盤點'!$A$2:$A$1486,A173,'4.個人職能盤點'!$K$2:$K$1486,"超越")+COUNTIFS('4.個人職能盤點'!$A$2:$A$1486,A173,'4.個人職能盤點'!$K$2:$K$1486,"待發展"))</f>
        <v/>
      </c>
      <c r="F173" s="120">
        <f>IF(A173="","",COUNTIFS('4.個人職能盤點'!$A$2:$A$1486,A173,'4.個人職能盤點'!$K$2:$K$1486,"達標")+COUNTIFS('4.個人職能盤點'!$A$2:$A$1486,A173,'4.個人職能盤點'!$K$2:$K$1486,"超越"))</f>
        <v/>
      </c>
      <c r="G173" s="120">
        <f>IF(A173="","",COUNTIFS('4.個人職能盤點'!$A$2:$A$1486,A173,'4.個人職能盤點'!$K$2:$K$1486,"待發展"))</f>
        <v/>
      </c>
      <c r="H173" s="121">
        <f>IF(OR(A173="",E173=0),"",F173/E173)</f>
        <v/>
      </c>
      <c r="I173" s="122">
        <f>IF(OR(A173="",E173=0),"",IFERROR(AVERAGEIFS('4.個人職能盤點'!$J$2:$J$1486,'4.個人職能盤點'!$A$2:$A$1486,A173),""))</f>
        <v/>
      </c>
      <c r="J173" s="123">
        <f>IF(A173="","",IFERROR(AVERAGEIFS('4.個人職能盤點'!$I$2:$I$1486,'4.個人職能盤點'!$A$2:$A$1486,A173,'4.個人職能盤點'!$E$2:$E$1486,"核心職能",'4.個人職能盤點'!$G$2:$G$1486,"&gt;0"),"-"))</f>
        <v/>
      </c>
      <c r="K173" s="123">
        <f>IF(A173="","",IFERROR(AVERAGEIFS('4.個人職能盤點'!$I$2:$I$1486,'4.個人職能盤點'!$A$2:$A$1486,A173,'4.個人職能盤點'!$E$2:$E$1486,"管理職能",'4.個人職能盤點'!$G$2:$G$1486,"&gt;0"),"-"))</f>
        <v/>
      </c>
      <c r="L173" s="123">
        <f>IF(A173="","",IFERROR(AVERAGEIFS('4.個人職能盤點'!$I$2:$I$1486,'4.個人職能盤點'!$A$2:$A$1486,A173,'4.個人職能盤點'!$E$2:$E$1486,"專業職能",'4.個人職能盤點'!$G$2:$G$1486,"&gt;0"),"-"))</f>
        <v/>
      </c>
      <c r="M173" s="120">
        <f>IF(H173="","",IF(H173&gt;=0.9,"優秀",IF(H173&gt;=0.7,"符合期待","需加強發展")))</f>
        <v/>
      </c>
    </row>
    <row r="174" ht="15.75" customHeight="1" s="64">
      <c r="A174" s="120">
        <f>IF('3.員工名單'!A174="","",'3.員工名單'!A174)</f>
        <v/>
      </c>
      <c r="B174" s="120">
        <f>IF(A174="","",'3.員工名單'!B174)</f>
        <v/>
      </c>
      <c r="C174" s="120">
        <f>IF(A174="","",'3.員工名單'!C174)</f>
        <v/>
      </c>
      <c r="D174" s="120">
        <f>IF(A174="","",'3.員工名單'!D174)</f>
        <v/>
      </c>
      <c r="E174" s="120">
        <f>IF(A174="","",COUNTIFS('4.個人職能盤點'!$A$2:$A$1486,A174,'4.個人職能盤點'!$K$2:$K$1486,"達標")+COUNTIFS('4.個人職能盤點'!$A$2:$A$1486,A174,'4.個人職能盤點'!$K$2:$K$1486,"超越")+COUNTIFS('4.個人職能盤點'!$A$2:$A$1486,A174,'4.個人職能盤點'!$K$2:$K$1486,"待發展"))</f>
        <v/>
      </c>
      <c r="F174" s="120">
        <f>IF(A174="","",COUNTIFS('4.個人職能盤點'!$A$2:$A$1486,A174,'4.個人職能盤點'!$K$2:$K$1486,"達標")+COUNTIFS('4.個人職能盤點'!$A$2:$A$1486,A174,'4.個人職能盤點'!$K$2:$K$1486,"超越"))</f>
        <v/>
      </c>
      <c r="G174" s="120">
        <f>IF(A174="","",COUNTIFS('4.個人職能盤點'!$A$2:$A$1486,A174,'4.個人職能盤點'!$K$2:$K$1486,"待發展"))</f>
        <v/>
      </c>
      <c r="H174" s="121">
        <f>IF(OR(A174="",E174=0),"",F174/E174)</f>
        <v/>
      </c>
      <c r="I174" s="122">
        <f>IF(OR(A174="",E174=0),"",IFERROR(AVERAGEIFS('4.個人職能盤點'!$J$2:$J$1486,'4.個人職能盤點'!$A$2:$A$1486,A174),""))</f>
        <v/>
      </c>
      <c r="J174" s="123">
        <f>IF(A174="","",IFERROR(AVERAGEIFS('4.個人職能盤點'!$I$2:$I$1486,'4.個人職能盤點'!$A$2:$A$1486,A174,'4.個人職能盤點'!$E$2:$E$1486,"核心職能",'4.個人職能盤點'!$G$2:$G$1486,"&gt;0"),"-"))</f>
        <v/>
      </c>
      <c r="K174" s="123">
        <f>IF(A174="","",IFERROR(AVERAGEIFS('4.個人職能盤點'!$I$2:$I$1486,'4.個人職能盤點'!$A$2:$A$1486,A174,'4.個人職能盤點'!$E$2:$E$1486,"管理職能",'4.個人職能盤點'!$G$2:$G$1486,"&gt;0"),"-"))</f>
        <v/>
      </c>
      <c r="L174" s="123">
        <f>IF(A174="","",IFERROR(AVERAGEIFS('4.個人職能盤點'!$I$2:$I$1486,'4.個人職能盤點'!$A$2:$A$1486,A174,'4.個人職能盤點'!$E$2:$E$1486,"專業職能",'4.個人職能盤點'!$G$2:$G$1486,"&gt;0"),"-"))</f>
        <v/>
      </c>
      <c r="M174" s="120">
        <f>IF(H174="","",IF(H174&gt;=0.9,"優秀",IF(H174&gt;=0.7,"符合期待","需加強發展")))</f>
        <v/>
      </c>
    </row>
    <row r="175" ht="15.75" customHeight="1" s="64">
      <c r="A175" s="120">
        <f>IF('3.員工名單'!A175="","",'3.員工名單'!A175)</f>
        <v/>
      </c>
      <c r="B175" s="120">
        <f>IF(A175="","",'3.員工名單'!B175)</f>
        <v/>
      </c>
      <c r="C175" s="120">
        <f>IF(A175="","",'3.員工名單'!C175)</f>
        <v/>
      </c>
      <c r="D175" s="120">
        <f>IF(A175="","",'3.員工名單'!D175)</f>
        <v/>
      </c>
      <c r="E175" s="120">
        <f>IF(A175="","",COUNTIFS('4.個人職能盤點'!$A$2:$A$1486,A175,'4.個人職能盤點'!$K$2:$K$1486,"達標")+COUNTIFS('4.個人職能盤點'!$A$2:$A$1486,A175,'4.個人職能盤點'!$K$2:$K$1486,"超越")+COUNTIFS('4.個人職能盤點'!$A$2:$A$1486,A175,'4.個人職能盤點'!$K$2:$K$1486,"待發展"))</f>
        <v/>
      </c>
      <c r="F175" s="120">
        <f>IF(A175="","",COUNTIFS('4.個人職能盤點'!$A$2:$A$1486,A175,'4.個人職能盤點'!$K$2:$K$1486,"達標")+COUNTIFS('4.個人職能盤點'!$A$2:$A$1486,A175,'4.個人職能盤點'!$K$2:$K$1486,"超越"))</f>
        <v/>
      </c>
      <c r="G175" s="120">
        <f>IF(A175="","",COUNTIFS('4.個人職能盤點'!$A$2:$A$1486,A175,'4.個人職能盤點'!$K$2:$K$1486,"待發展"))</f>
        <v/>
      </c>
      <c r="H175" s="121">
        <f>IF(OR(A175="",E175=0),"",F175/E175)</f>
        <v/>
      </c>
      <c r="I175" s="122">
        <f>IF(OR(A175="",E175=0),"",IFERROR(AVERAGEIFS('4.個人職能盤點'!$J$2:$J$1486,'4.個人職能盤點'!$A$2:$A$1486,A175),""))</f>
        <v/>
      </c>
      <c r="J175" s="123">
        <f>IF(A175="","",IFERROR(AVERAGEIFS('4.個人職能盤點'!$I$2:$I$1486,'4.個人職能盤點'!$A$2:$A$1486,A175,'4.個人職能盤點'!$E$2:$E$1486,"核心職能",'4.個人職能盤點'!$G$2:$G$1486,"&gt;0"),"-"))</f>
        <v/>
      </c>
      <c r="K175" s="123">
        <f>IF(A175="","",IFERROR(AVERAGEIFS('4.個人職能盤點'!$I$2:$I$1486,'4.個人職能盤點'!$A$2:$A$1486,A175,'4.個人職能盤點'!$E$2:$E$1486,"管理職能",'4.個人職能盤點'!$G$2:$G$1486,"&gt;0"),"-"))</f>
        <v/>
      </c>
      <c r="L175" s="123">
        <f>IF(A175="","",IFERROR(AVERAGEIFS('4.個人職能盤點'!$I$2:$I$1486,'4.個人職能盤點'!$A$2:$A$1486,A175,'4.個人職能盤點'!$E$2:$E$1486,"專業職能",'4.個人職能盤點'!$G$2:$G$1486,"&gt;0"),"-"))</f>
        <v/>
      </c>
      <c r="M175" s="120">
        <f>IF(H175="","",IF(H175&gt;=0.9,"優秀",IF(H175&gt;=0.7,"符合期待","需加強發展")))</f>
        <v/>
      </c>
    </row>
    <row r="176" ht="15.75" customHeight="1" s="64">
      <c r="A176" s="120">
        <f>IF('3.員工名單'!A176="","",'3.員工名單'!A176)</f>
        <v/>
      </c>
      <c r="B176" s="120">
        <f>IF(A176="","",'3.員工名單'!B176)</f>
        <v/>
      </c>
      <c r="C176" s="120">
        <f>IF(A176="","",'3.員工名單'!C176)</f>
        <v/>
      </c>
      <c r="D176" s="120">
        <f>IF(A176="","",'3.員工名單'!D176)</f>
        <v/>
      </c>
      <c r="E176" s="120">
        <f>IF(A176="","",COUNTIFS('4.個人職能盤點'!$A$2:$A$1486,A176,'4.個人職能盤點'!$K$2:$K$1486,"達標")+COUNTIFS('4.個人職能盤點'!$A$2:$A$1486,A176,'4.個人職能盤點'!$K$2:$K$1486,"超越")+COUNTIFS('4.個人職能盤點'!$A$2:$A$1486,A176,'4.個人職能盤點'!$K$2:$K$1486,"待發展"))</f>
        <v/>
      </c>
      <c r="F176" s="120">
        <f>IF(A176="","",COUNTIFS('4.個人職能盤點'!$A$2:$A$1486,A176,'4.個人職能盤點'!$K$2:$K$1486,"達標")+COUNTIFS('4.個人職能盤點'!$A$2:$A$1486,A176,'4.個人職能盤點'!$K$2:$K$1486,"超越"))</f>
        <v/>
      </c>
      <c r="G176" s="120">
        <f>IF(A176="","",COUNTIFS('4.個人職能盤點'!$A$2:$A$1486,A176,'4.個人職能盤點'!$K$2:$K$1486,"待發展"))</f>
        <v/>
      </c>
      <c r="H176" s="121">
        <f>IF(OR(A176="",E176=0),"",F176/E176)</f>
        <v/>
      </c>
      <c r="I176" s="122">
        <f>IF(OR(A176="",E176=0),"",IFERROR(AVERAGEIFS('4.個人職能盤點'!$J$2:$J$1486,'4.個人職能盤點'!$A$2:$A$1486,A176),""))</f>
        <v/>
      </c>
      <c r="J176" s="123">
        <f>IF(A176="","",IFERROR(AVERAGEIFS('4.個人職能盤點'!$I$2:$I$1486,'4.個人職能盤點'!$A$2:$A$1486,A176,'4.個人職能盤點'!$E$2:$E$1486,"核心職能",'4.個人職能盤點'!$G$2:$G$1486,"&gt;0"),"-"))</f>
        <v/>
      </c>
      <c r="K176" s="123">
        <f>IF(A176="","",IFERROR(AVERAGEIFS('4.個人職能盤點'!$I$2:$I$1486,'4.個人職能盤點'!$A$2:$A$1486,A176,'4.個人職能盤點'!$E$2:$E$1486,"管理職能",'4.個人職能盤點'!$G$2:$G$1486,"&gt;0"),"-"))</f>
        <v/>
      </c>
      <c r="L176" s="123">
        <f>IF(A176="","",IFERROR(AVERAGEIFS('4.個人職能盤點'!$I$2:$I$1486,'4.個人職能盤點'!$A$2:$A$1486,A176,'4.個人職能盤點'!$E$2:$E$1486,"專業職能",'4.個人職能盤點'!$G$2:$G$1486,"&gt;0"),"-"))</f>
        <v/>
      </c>
      <c r="M176" s="120">
        <f>IF(H176="","",IF(H176&gt;=0.9,"優秀",IF(H176&gt;=0.7,"符合期待","需加強發展")))</f>
        <v/>
      </c>
    </row>
    <row r="177" ht="15.75" customHeight="1" s="64">
      <c r="A177" s="120">
        <f>IF('3.員工名單'!A177="","",'3.員工名單'!A177)</f>
        <v/>
      </c>
      <c r="B177" s="120">
        <f>IF(A177="","",'3.員工名單'!B177)</f>
        <v/>
      </c>
      <c r="C177" s="120">
        <f>IF(A177="","",'3.員工名單'!C177)</f>
        <v/>
      </c>
      <c r="D177" s="120">
        <f>IF(A177="","",'3.員工名單'!D177)</f>
        <v/>
      </c>
      <c r="E177" s="120">
        <f>IF(A177="","",COUNTIFS('4.個人職能盤點'!$A$2:$A$1486,A177,'4.個人職能盤點'!$K$2:$K$1486,"達標")+COUNTIFS('4.個人職能盤點'!$A$2:$A$1486,A177,'4.個人職能盤點'!$K$2:$K$1486,"超越")+COUNTIFS('4.個人職能盤點'!$A$2:$A$1486,A177,'4.個人職能盤點'!$K$2:$K$1486,"待發展"))</f>
        <v/>
      </c>
      <c r="F177" s="120">
        <f>IF(A177="","",COUNTIFS('4.個人職能盤點'!$A$2:$A$1486,A177,'4.個人職能盤點'!$K$2:$K$1486,"達標")+COUNTIFS('4.個人職能盤點'!$A$2:$A$1486,A177,'4.個人職能盤點'!$K$2:$K$1486,"超越"))</f>
        <v/>
      </c>
      <c r="G177" s="120">
        <f>IF(A177="","",COUNTIFS('4.個人職能盤點'!$A$2:$A$1486,A177,'4.個人職能盤點'!$K$2:$K$1486,"待發展"))</f>
        <v/>
      </c>
      <c r="H177" s="121">
        <f>IF(OR(A177="",E177=0),"",F177/E177)</f>
        <v/>
      </c>
      <c r="I177" s="122">
        <f>IF(OR(A177="",E177=0),"",IFERROR(AVERAGEIFS('4.個人職能盤點'!$J$2:$J$1486,'4.個人職能盤點'!$A$2:$A$1486,A177),""))</f>
        <v/>
      </c>
      <c r="J177" s="123">
        <f>IF(A177="","",IFERROR(AVERAGEIFS('4.個人職能盤點'!$I$2:$I$1486,'4.個人職能盤點'!$A$2:$A$1486,A177,'4.個人職能盤點'!$E$2:$E$1486,"核心職能",'4.個人職能盤點'!$G$2:$G$1486,"&gt;0"),"-"))</f>
        <v/>
      </c>
      <c r="K177" s="123">
        <f>IF(A177="","",IFERROR(AVERAGEIFS('4.個人職能盤點'!$I$2:$I$1486,'4.個人職能盤點'!$A$2:$A$1486,A177,'4.個人職能盤點'!$E$2:$E$1486,"管理職能",'4.個人職能盤點'!$G$2:$G$1486,"&gt;0"),"-"))</f>
        <v/>
      </c>
      <c r="L177" s="123">
        <f>IF(A177="","",IFERROR(AVERAGEIFS('4.個人職能盤點'!$I$2:$I$1486,'4.個人職能盤點'!$A$2:$A$1486,A177,'4.個人職能盤點'!$E$2:$E$1486,"專業職能",'4.個人職能盤點'!$G$2:$G$1486,"&gt;0"),"-"))</f>
        <v/>
      </c>
      <c r="M177" s="120">
        <f>IF(H177="","",IF(H177&gt;=0.9,"優秀",IF(H177&gt;=0.7,"符合期待","需加強發展")))</f>
        <v/>
      </c>
    </row>
    <row r="178" ht="15.75" customHeight="1" s="64">
      <c r="A178" s="120">
        <f>IF('3.員工名單'!A178="","",'3.員工名單'!A178)</f>
        <v/>
      </c>
      <c r="B178" s="120">
        <f>IF(A178="","",'3.員工名單'!B178)</f>
        <v/>
      </c>
      <c r="C178" s="120">
        <f>IF(A178="","",'3.員工名單'!C178)</f>
        <v/>
      </c>
      <c r="D178" s="120">
        <f>IF(A178="","",'3.員工名單'!D178)</f>
        <v/>
      </c>
      <c r="E178" s="120">
        <f>IF(A178="","",COUNTIFS('4.個人職能盤點'!$A$2:$A$1486,A178,'4.個人職能盤點'!$K$2:$K$1486,"達標")+COUNTIFS('4.個人職能盤點'!$A$2:$A$1486,A178,'4.個人職能盤點'!$K$2:$K$1486,"超越")+COUNTIFS('4.個人職能盤點'!$A$2:$A$1486,A178,'4.個人職能盤點'!$K$2:$K$1486,"待發展"))</f>
        <v/>
      </c>
      <c r="F178" s="120">
        <f>IF(A178="","",COUNTIFS('4.個人職能盤點'!$A$2:$A$1486,A178,'4.個人職能盤點'!$K$2:$K$1486,"達標")+COUNTIFS('4.個人職能盤點'!$A$2:$A$1486,A178,'4.個人職能盤點'!$K$2:$K$1486,"超越"))</f>
        <v/>
      </c>
      <c r="G178" s="120">
        <f>IF(A178="","",COUNTIFS('4.個人職能盤點'!$A$2:$A$1486,A178,'4.個人職能盤點'!$K$2:$K$1486,"待發展"))</f>
        <v/>
      </c>
      <c r="H178" s="121">
        <f>IF(OR(A178="",E178=0),"",F178/E178)</f>
        <v/>
      </c>
      <c r="I178" s="122">
        <f>IF(OR(A178="",E178=0),"",IFERROR(AVERAGEIFS('4.個人職能盤點'!$J$2:$J$1486,'4.個人職能盤點'!$A$2:$A$1486,A178),""))</f>
        <v/>
      </c>
      <c r="J178" s="123">
        <f>IF(A178="","",IFERROR(AVERAGEIFS('4.個人職能盤點'!$I$2:$I$1486,'4.個人職能盤點'!$A$2:$A$1486,A178,'4.個人職能盤點'!$E$2:$E$1486,"核心職能",'4.個人職能盤點'!$G$2:$G$1486,"&gt;0"),"-"))</f>
        <v/>
      </c>
      <c r="K178" s="123">
        <f>IF(A178="","",IFERROR(AVERAGEIFS('4.個人職能盤點'!$I$2:$I$1486,'4.個人職能盤點'!$A$2:$A$1486,A178,'4.個人職能盤點'!$E$2:$E$1486,"管理職能",'4.個人職能盤點'!$G$2:$G$1486,"&gt;0"),"-"))</f>
        <v/>
      </c>
      <c r="L178" s="123">
        <f>IF(A178="","",IFERROR(AVERAGEIFS('4.個人職能盤點'!$I$2:$I$1486,'4.個人職能盤點'!$A$2:$A$1486,A178,'4.個人職能盤點'!$E$2:$E$1486,"專業職能",'4.個人職能盤點'!$G$2:$G$1486,"&gt;0"),"-"))</f>
        <v/>
      </c>
      <c r="M178" s="120">
        <f>IF(H178="","",IF(H178&gt;=0.9,"優秀",IF(H178&gt;=0.7,"符合期待","需加強發展")))</f>
        <v/>
      </c>
    </row>
    <row r="179" ht="15.75" customHeight="1" s="64">
      <c r="A179" s="120">
        <f>IF('3.員工名單'!A179="","",'3.員工名單'!A179)</f>
        <v/>
      </c>
      <c r="B179" s="120">
        <f>IF(A179="","",'3.員工名單'!B179)</f>
        <v/>
      </c>
      <c r="C179" s="120">
        <f>IF(A179="","",'3.員工名單'!C179)</f>
        <v/>
      </c>
      <c r="D179" s="120">
        <f>IF(A179="","",'3.員工名單'!D179)</f>
        <v/>
      </c>
      <c r="E179" s="120">
        <f>IF(A179="","",COUNTIFS('4.個人職能盤點'!$A$2:$A$1486,A179,'4.個人職能盤點'!$K$2:$K$1486,"達標")+COUNTIFS('4.個人職能盤點'!$A$2:$A$1486,A179,'4.個人職能盤點'!$K$2:$K$1486,"超越")+COUNTIFS('4.個人職能盤點'!$A$2:$A$1486,A179,'4.個人職能盤點'!$K$2:$K$1486,"待發展"))</f>
        <v/>
      </c>
      <c r="F179" s="120">
        <f>IF(A179="","",COUNTIFS('4.個人職能盤點'!$A$2:$A$1486,A179,'4.個人職能盤點'!$K$2:$K$1486,"達標")+COUNTIFS('4.個人職能盤點'!$A$2:$A$1486,A179,'4.個人職能盤點'!$K$2:$K$1486,"超越"))</f>
        <v/>
      </c>
      <c r="G179" s="120">
        <f>IF(A179="","",COUNTIFS('4.個人職能盤點'!$A$2:$A$1486,A179,'4.個人職能盤點'!$K$2:$K$1486,"待發展"))</f>
        <v/>
      </c>
      <c r="H179" s="121">
        <f>IF(OR(A179="",E179=0),"",F179/E179)</f>
        <v/>
      </c>
      <c r="I179" s="122">
        <f>IF(OR(A179="",E179=0),"",IFERROR(AVERAGEIFS('4.個人職能盤點'!$J$2:$J$1486,'4.個人職能盤點'!$A$2:$A$1486,A179),""))</f>
        <v/>
      </c>
      <c r="J179" s="123">
        <f>IF(A179="","",IFERROR(AVERAGEIFS('4.個人職能盤點'!$I$2:$I$1486,'4.個人職能盤點'!$A$2:$A$1486,A179,'4.個人職能盤點'!$E$2:$E$1486,"核心職能",'4.個人職能盤點'!$G$2:$G$1486,"&gt;0"),"-"))</f>
        <v/>
      </c>
      <c r="K179" s="123">
        <f>IF(A179="","",IFERROR(AVERAGEIFS('4.個人職能盤點'!$I$2:$I$1486,'4.個人職能盤點'!$A$2:$A$1486,A179,'4.個人職能盤點'!$E$2:$E$1486,"管理職能",'4.個人職能盤點'!$G$2:$G$1486,"&gt;0"),"-"))</f>
        <v/>
      </c>
      <c r="L179" s="123">
        <f>IF(A179="","",IFERROR(AVERAGEIFS('4.個人職能盤點'!$I$2:$I$1486,'4.個人職能盤點'!$A$2:$A$1486,A179,'4.個人職能盤點'!$E$2:$E$1486,"專業職能",'4.個人職能盤點'!$G$2:$G$1486,"&gt;0"),"-"))</f>
        <v/>
      </c>
      <c r="M179" s="120">
        <f>IF(H179="","",IF(H179&gt;=0.9,"優秀",IF(H179&gt;=0.7,"符合期待","需加強發展")))</f>
        <v/>
      </c>
    </row>
    <row r="180" ht="15.75" customHeight="1" s="64">
      <c r="A180" s="120">
        <f>IF('3.員工名單'!A180="","",'3.員工名單'!A180)</f>
        <v/>
      </c>
      <c r="B180" s="120">
        <f>IF(A180="","",'3.員工名單'!B180)</f>
        <v/>
      </c>
      <c r="C180" s="120">
        <f>IF(A180="","",'3.員工名單'!C180)</f>
        <v/>
      </c>
      <c r="D180" s="120">
        <f>IF(A180="","",'3.員工名單'!D180)</f>
        <v/>
      </c>
      <c r="E180" s="120">
        <f>IF(A180="","",COUNTIFS('4.個人職能盤點'!$A$2:$A$1486,A180,'4.個人職能盤點'!$K$2:$K$1486,"達標")+COUNTIFS('4.個人職能盤點'!$A$2:$A$1486,A180,'4.個人職能盤點'!$K$2:$K$1486,"超越")+COUNTIFS('4.個人職能盤點'!$A$2:$A$1486,A180,'4.個人職能盤點'!$K$2:$K$1486,"待發展"))</f>
        <v/>
      </c>
      <c r="F180" s="120">
        <f>IF(A180="","",COUNTIFS('4.個人職能盤點'!$A$2:$A$1486,A180,'4.個人職能盤點'!$K$2:$K$1486,"達標")+COUNTIFS('4.個人職能盤點'!$A$2:$A$1486,A180,'4.個人職能盤點'!$K$2:$K$1486,"超越"))</f>
        <v/>
      </c>
      <c r="G180" s="120">
        <f>IF(A180="","",COUNTIFS('4.個人職能盤點'!$A$2:$A$1486,A180,'4.個人職能盤點'!$K$2:$K$1486,"待發展"))</f>
        <v/>
      </c>
      <c r="H180" s="121">
        <f>IF(OR(A180="",E180=0),"",F180/E180)</f>
        <v/>
      </c>
      <c r="I180" s="122">
        <f>IF(OR(A180="",E180=0),"",IFERROR(AVERAGEIFS('4.個人職能盤點'!$J$2:$J$1486,'4.個人職能盤點'!$A$2:$A$1486,A180),""))</f>
        <v/>
      </c>
      <c r="J180" s="123">
        <f>IF(A180="","",IFERROR(AVERAGEIFS('4.個人職能盤點'!$I$2:$I$1486,'4.個人職能盤點'!$A$2:$A$1486,A180,'4.個人職能盤點'!$E$2:$E$1486,"核心職能",'4.個人職能盤點'!$G$2:$G$1486,"&gt;0"),"-"))</f>
        <v/>
      </c>
      <c r="K180" s="123">
        <f>IF(A180="","",IFERROR(AVERAGEIFS('4.個人職能盤點'!$I$2:$I$1486,'4.個人職能盤點'!$A$2:$A$1486,A180,'4.個人職能盤點'!$E$2:$E$1486,"管理職能",'4.個人職能盤點'!$G$2:$G$1486,"&gt;0"),"-"))</f>
        <v/>
      </c>
      <c r="L180" s="123">
        <f>IF(A180="","",IFERROR(AVERAGEIFS('4.個人職能盤點'!$I$2:$I$1486,'4.個人職能盤點'!$A$2:$A$1486,A180,'4.個人職能盤點'!$E$2:$E$1486,"專業職能",'4.個人職能盤點'!$G$2:$G$1486,"&gt;0"),"-"))</f>
        <v/>
      </c>
      <c r="M180" s="120">
        <f>IF(H180="","",IF(H180&gt;=0.9,"優秀",IF(H180&gt;=0.7,"符合期待","需加強發展")))</f>
        <v/>
      </c>
    </row>
    <row r="181" ht="15.75" customHeight="1" s="64">
      <c r="A181" s="120">
        <f>IF('3.員工名單'!A181="","",'3.員工名單'!A181)</f>
        <v/>
      </c>
      <c r="B181" s="120">
        <f>IF(A181="","",'3.員工名單'!B181)</f>
        <v/>
      </c>
      <c r="C181" s="120">
        <f>IF(A181="","",'3.員工名單'!C181)</f>
        <v/>
      </c>
      <c r="D181" s="120">
        <f>IF(A181="","",'3.員工名單'!D181)</f>
        <v/>
      </c>
      <c r="E181" s="120">
        <f>IF(A181="","",COUNTIFS('4.個人職能盤點'!$A$2:$A$1486,A181,'4.個人職能盤點'!$K$2:$K$1486,"達標")+COUNTIFS('4.個人職能盤點'!$A$2:$A$1486,A181,'4.個人職能盤點'!$K$2:$K$1486,"超越")+COUNTIFS('4.個人職能盤點'!$A$2:$A$1486,A181,'4.個人職能盤點'!$K$2:$K$1486,"待發展"))</f>
        <v/>
      </c>
      <c r="F181" s="120">
        <f>IF(A181="","",COUNTIFS('4.個人職能盤點'!$A$2:$A$1486,A181,'4.個人職能盤點'!$K$2:$K$1486,"達標")+COUNTIFS('4.個人職能盤點'!$A$2:$A$1486,A181,'4.個人職能盤點'!$K$2:$K$1486,"超越"))</f>
        <v/>
      </c>
      <c r="G181" s="120">
        <f>IF(A181="","",COUNTIFS('4.個人職能盤點'!$A$2:$A$1486,A181,'4.個人職能盤點'!$K$2:$K$1486,"待發展"))</f>
        <v/>
      </c>
      <c r="H181" s="121">
        <f>IF(OR(A181="",E181=0),"",F181/E181)</f>
        <v/>
      </c>
      <c r="I181" s="122">
        <f>IF(OR(A181="",E181=0),"",IFERROR(AVERAGEIFS('4.個人職能盤點'!$J$2:$J$1486,'4.個人職能盤點'!$A$2:$A$1486,A181),""))</f>
        <v/>
      </c>
      <c r="J181" s="123">
        <f>IF(A181="","",IFERROR(AVERAGEIFS('4.個人職能盤點'!$I$2:$I$1486,'4.個人職能盤點'!$A$2:$A$1486,A181,'4.個人職能盤點'!$E$2:$E$1486,"核心職能",'4.個人職能盤點'!$G$2:$G$1486,"&gt;0"),"-"))</f>
        <v/>
      </c>
      <c r="K181" s="123">
        <f>IF(A181="","",IFERROR(AVERAGEIFS('4.個人職能盤點'!$I$2:$I$1486,'4.個人職能盤點'!$A$2:$A$1486,A181,'4.個人職能盤點'!$E$2:$E$1486,"管理職能",'4.個人職能盤點'!$G$2:$G$1486,"&gt;0"),"-"))</f>
        <v/>
      </c>
      <c r="L181" s="123">
        <f>IF(A181="","",IFERROR(AVERAGEIFS('4.個人職能盤點'!$I$2:$I$1486,'4.個人職能盤點'!$A$2:$A$1486,A181,'4.個人職能盤點'!$E$2:$E$1486,"專業職能",'4.個人職能盤點'!$G$2:$G$1486,"&gt;0"),"-"))</f>
        <v/>
      </c>
      <c r="M181" s="120">
        <f>IF(H181="","",IF(H181&gt;=0.9,"優秀",IF(H181&gt;=0.7,"符合期待","需加強發展")))</f>
        <v/>
      </c>
    </row>
    <row r="182" ht="15.75" customHeight="1" s="64">
      <c r="A182" s="120">
        <f>IF('3.員工名單'!A182="","",'3.員工名單'!A182)</f>
        <v/>
      </c>
      <c r="B182" s="120">
        <f>IF(A182="","",'3.員工名單'!B182)</f>
        <v/>
      </c>
      <c r="C182" s="120">
        <f>IF(A182="","",'3.員工名單'!C182)</f>
        <v/>
      </c>
      <c r="D182" s="120">
        <f>IF(A182="","",'3.員工名單'!D182)</f>
        <v/>
      </c>
      <c r="E182" s="120">
        <f>IF(A182="","",COUNTIFS('4.個人職能盤點'!$A$2:$A$1486,A182,'4.個人職能盤點'!$K$2:$K$1486,"達標")+COUNTIFS('4.個人職能盤點'!$A$2:$A$1486,A182,'4.個人職能盤點'!$K$2:$K$1486,"超越")+COUNTIFS('4.個人職能盤點'!$A$2:$A$1486,A182,'4.個人職能盤點'!$K$2:$K$1486,"待發展"))</f>
        <v/>
      </c>
      <c r="F182" s="120">
        <f>IF(A182="","",COUNTIFS('4.個人職能盤點'!$A$2:$A$1486,A182,'4.個人職能盤點'!$K$2:$K$1486,"達標")+COUNTIFS('4.個人職能盤點'!$A$2:$A$1486,A182,'4.個人職能盤點'!$K$2:$K$1486,"超越"))</f>
        <v/>
      </c>
      <c r="G182" s="120">
        <f>IF(A182="","",COUNTIFS('4.個人職能盤點'!$A$2:$A$1486,A182,'4.個人職能盤點'!$K$2:$K$1486,"待發展"))</f>
        <v/>
      </c>
      <c r="H182" s="121">
        <f>IF(OR(A182="",E182=0),"",F182/E182)</f>
        <v/>
      </c>
      <c r="I182" s="122">
        <f>IF(OR(A182="",E182=0),"",IFERROR(AVERAGEIFS('4.個人職能盤點'!$J$2:$J$1486,'4.個人職能盤點'!$A$2:$A$1486,A182),""))</f>
        <v/>
      </c>
      <c r="J182" s="123">
        <f>IF(A182="","",IFERROR(AVERAGEIFS('4.個人職能盤點'!$I$2:$I$1486,'4.個人職能盤點'!$A$2:$A$1486,A182,'4.個人職能盤點'!$E$2:$E$1486,"核心職能",'4.個人職能盤點'!$G$2:$G$1486,"&gt;0"),"-"))</f>
        <v/>
      </c>
      <c r="K182" s="123">
        <f>IF(A182="","",IFERROR(AVERAGEIFS('4.個人職能盤點'!$I$2:$I$1486,'4.個人職能盤點'!$A$2:$A$1486,A182,'4.個人職能盤點'!$E$2:$E$1486,"管理職能",'4.個人職能盤點'!$G$2:$G$1486,"&gt;0"),"-"))</f>
        <v/>
      </c>
      <c r="L182" s="123">
        <f>IF(A182="","",IFERROR(AVERAGEIFS('4.個人職能盤點'!$I$2:$I$1486,'4.個人職能盤點'!$A$2:$A$1486,A182,'4.個人職能盤點'!$E$2:$E$1486,"專業職能",'4.個人職能盤點'!$G$2:$G$1486,"&gt;0"),"-"))</f>
        <v/>
      </c>
      <c r="M182" s="120">
        <f>IF(H182="","",IF(H182&gt;=0.9,"優秀",IF(H182&gt;=0.7,"符合期待","需加強發展")))</f>
        <v/>
      </c>
    </row>
    <row r="183" ht="15.75" customHeight="1" s="64">
      <c r="A183" s="120">
        <f>IF('3.員工名單'!A183="","",'3.員工名單'!A183)</f>
        <v/>
      </c>
      <c r="B183" s="120">
        <f>IF(A183="","",'3.員工名單'!B183)</f>
        <v/>
      </c>
      <c r="C183" s="120">
        <f>IF(A183="","",'3.員工名單'!C183)</f>
        <v/>
      </c>
      <c r="D183" s="120">
        <f>IF(A183="","",'3.員工名單'!D183)</f>
        <v/>
      </c>
      <c r="E183" s="120">
        <f>IF(A183="","",COUNTIFS('4.個人職能盤點'!$A$2:$A$1486,A183,'4.個人職能盤點'!$K$2:$K$1486,"達標")+COUNTIFS('4.個人職能盤點'!$A$2:$A$1486,A183,'4.個人職能盤點'!$K$2:$K$1486,"超越")+COUNTIFS('4.個人職能盤點'!$A$2:$A$1486,A183,'4.個人職能盤點'!$K$2:$K$1486,"待發展"))</f>
        <v/>
      </c>
      <c r="F183" s="120">
        <f>IF(A183="","",COUNTIFS('4.個人職能盤點'!$A$2:$A$1486,A183,'4.個人職能盤點'!$K$2:$K$1486,"達標")+COUNTIFS('4.個人職能盤點'!$A$2:$A$1486,A183,'4.個人職能盤點'!$K$2:$K$1486,"超越"))</f>
        <v/>
      </c>
      <c r="G183" s="120">
        <f>IF(A183="","",COUNTIFS('4.個人職能盤點'!$A$2:$A$1486,A183,'4.個人職能盤點'!$K$2:$K$1486,"待發展"))</f>
        <v/>
      </c>
      <c r="H183" s="121">
        <f>IF(OR(A183="",E183=0),"",F183/E183)</f>
        <v/>
      </c>
      <c r="I183" s="122">
        <f>IF(OR(A183="",E183=0),"",IFERROR(AVERAGEIFS('4.個人職能盤點'!$J$2:$J$1486,'4.個人職能盤點'!$A$2:$A$1486,A183),""))</f>
        <v/>
      </c>
      <c r="J183" s="123">
        <f>IF(A183="","",IFERROR(AVERAGEIFS('4.個人職能盤點'!$I$2:$I$1486,'4.個人職能盤點'!$A$2:$A$1486,A183,'4.個人職能盤點'!$E$2:$E$1486,"核心職能",'4.個人職能盤點'!$G$2:$G$1486,"&gt;0"),"-"))</f>
        <v/>
      </c>
      <c r="K183" s="123">
        <f>IF(A183="","",IFERROR(AVERAGEIFS('4.個人職能盤點'!$I$2:$I$1486,'4.個人職能盤點'!$A$2:$A$1486,A183,'4.個人職能盤點'!$E$2:$E$1486,"管理職能",'4.個人職能盤點'!$G$2:$G$1486,"&gt;0"),"-"))</f>
        <v/>
      </c>
      <c r="L183" s="123">
        <f>IF(A183="","",IFERROR(AVERAGEIFS('4.個人職能盤點'!$I$2:$I$1486,'4.個人職能盤點'!$A$2:$A$1486,A183,'4.個人職能盤點'!$E$2:$E$1486,"專業職能",'4.個人職能盤點'!$G$2:$G$1486,"&gt;0"),"-"))</f>
        <v/>
      </c>
      <c r="M183" s="120">
        <f>IF(H183="","",IF(H183&gt;=0.9,"優秀",IF(H183&gt;=0.7,"符合期待","需加強發展")))</f>
        <v/>
      </c>
    </row>
    <row r="184" ht="15.75" customHeight="1" s="64">
      <c r="A184" s="120">
        <f>IF('3.員工名單'!A184="","",'3.員工名單'!A184)</f>
        <v/>
      </c>
      <c r="B184" s="120">
        <f>IF(A184="","",'3.員工名單'!B184)</f>
        <v/>
      </c>
      <c r="C184" s="120">
        <f>IF(A184="","",'3.員工名單'!C184)</f>
        <v/>
      </c>
      <c r="D184" s="120">
        <f>IF(A184="","",'3.員工名單'!D184)</f>
        <v/>
      </c>
      <c r="E184" s="120">
        <f>IF(A184="","",COUNTIFS('4.個人職能盤點'!$A$2:$A$1486,A184,'4.個人職能盤點'!$K$2:$K$1486,"達標")+COUNTIFS('4.個人職能盤點'!$A$2:$A$1486,A184,'4.個人職能盤點'!$K$2:$K$1486,"超越")+COUNTIFS('4.個人職能盤點'!$A$2:$A$1486,A184,'4.個人職能盤點'!$K$2:$K$1486,"待發展"))</f>
        <v/>
      </c>
      <c r="F184" s="120">
        <f>IF(A184="","",COUNTIFS('4.個人職能盤點'!$A$2:$A$1486,A184,'4.個人職能盤點'!$K$2:$K$1486,"達標")+COUNTIFS('4.個人職能盤點'!$A$2:$A$1486,A184,'4.個人職能盤點'!$K$2:$K$1486,"超越"))</f>
        <v/>
      </c>
      <c r="G184" s="120">
        <f>IF(A184="","",COUNTIFS('4.個人職能盤點'!$A$2:$A$1486,A184,'4.個人職能盤點'!$K$2:$K$1486,"待發展"))</f>
        <v/>
      </c>
      <c r="H184" s="121">
        <f>IF(OR(A184="",E184=0),"",F184/E184)</f>
        <v/>
      </c>
      <c r="I184" s="122">
        <f>IF(OR(A184="",E184=0),"",IFERROR(AVERAGEIFS('4.個人職能盤點'!$J$2:$J$1486,'4.個人職能盤點'!$A$2:$A$1486,A184),""))</f>
        <v/>
      </c>
      <c r="J184" s="123">
        <f>IF(A184="","",IFERROR(AVERAGEIFS('4.個人職能盤點'!$I$2:$I$1486,'4.個人職能盤點'!$A$2:$A$1486,A184,'4.個人職能盤點'!$E$2:$E$1486,"核心職能",'4.個人職能盤點'!$G$2:$G$1486,"&gt;0"),"-"))</f>
        <v/>
      </c>
      <c r="K184" s="123">
        <f>IF(A184="","",IFERROR(AVERAGEIFS('4.個人職能盤點'!$I$2:$I$1486,'4.個人職能盤點'!$A$2:$A$1486,A184,'4.個人職能盤點'!$E$2:$E$1486,"管理職能",'4.個人職能盤點'!$G$2:$G$1486,"&gt;0"),"-"))</f>
        <v/>
      </c>
      <c r="L184" s="123">
        <f>IF(A184="","",IFERROR(AVERAGEIFS('4.個人職能盤點'!$I$2:$I$1486,'4.個人職能盤點'!$A$2:$A$1486,A184,'4.個人職能盤點'!$E$2:$E$1486,"專業職能",'4.個人職能盤點'!$G$2:$G$1486,"&gt;0"),"-"))</f>
        <v/>
      </c>
      <c r="M184" s="120">
        <f>IF(H184="","",IF(H184&gt;=0.9,"優秀",IF(H184&gt;=0.7,"符合期待","需加強發展")))</f>
        <v/>
      </c>
    </row>
    <row r="185" ht="15.75" customHeight="1" s="64">
      <c r="A185" s="120">
        <f>IF('3.員工名單'!A185="","",'3.員工名單'!A185)</f>
        <v/>
      </c>
      <c r="B185" s="120">
        <f>IF(A185="","",'3.員工名單'!B185)</f>
        <v/>
      </c>
      <c r="C185" s="120">
        <f>IF(A185="","",'3.員工名單'!C185)</f>
        <v/>
      </c>
      <c r="D185" s="120">
        <f>IF(A185="","",'3.員工名單'!D185)</f>
        <v/>
      </c>
      <c r="E185" s="120">
        <f>IF(A185="","",COUNTIFS('4.個人職能盤點'!$A$2:$A$1486,A185,'4.個人職能盤點'!$K$2:$K$1486,"達標")+COUNTIFS('4.個人職能盤點'!$A$2:$A$1486,A185,'4.個人職能盤點'!$K$2:$K$1486,"超越")+COUNTIFS('4.個人職能盤點'!$A$2:$A$1486,A185,'4.個人職能盤點'!$K$2:$K$1486,"待發展"))</f>
        <v/>
      </c>
      <c r="F185" s="120">
        <f>IF(A185="","",COUNTIFS('4.個人職能盤點'!$A$2:$A$1486,A185,'4.個人職能盤點'!$K$2:$K$1486,"達標")+COUNTIFS('4.個人職能盤點'!$A$2:$A$1486,A185,'4.個人職能盤點'!$K$2:$K$1486,"超越"))</f>
        <v/>
      </c>
      <c r="G185" s="120">
        <f>IF(A185="","",COUNTIFS('4.個人職能盤點'!$A$2:$A$1486,A185,'4.個人職能盤點'!$K$2:$K$1486,"待發展"))</f>
        <v/>
      </c>
      <c r="H185" s="121">
        <f>IF(OR(A185="",E185=0),"",F185/E185)</f>
        <v/>
      </c>
      <c r="I185" s="122">
        <f>IF(OR(A185="",E185=0),"",IFERROR(AVERAGEIFS('4.個人職能盤點'!$J$2:$J$1486,'4.個人職能盤點'!$A$2:$A$1486,A185),""))</f>
        <v/>
      </c>
      <c r="J185" s="123">
        <f>IF(A185="","",IFERROR(AVERAGEIFS('4.個人職能盤點'!$I$2:$I$1486,'4.個人職能盤點'!$A$2:$A$1486,A185,'4.個人職能盤點'!$E$2:$E$1486,"核心職能",'4.個人職能盤點'!$G$2:$G$1486,"&gt;0"),"-"))</f>
        <v/>
      </c>
      <c r="K185" s="123">
        <f>IF(A185="","",IFERROR(AVERAGEIFS('4.個人職能盤點'!$I$2:$I$1486,'4.個人職能盤點'!$A$2:$A$1486,A185,'4.個人職能盤點'!$E$2:$E$1486,"管理職能",'4.個人職能盤點'!$G$2:$G$1486,"&gt;0"),"-"))</f>
        <v/>
      </c>
      <c r="L185" s="123">
        <f>IF(A185="","",IFERROR(AVERAGEIFS('4.個人職能盤點'!$I$2:$I$1486,'4.個人職能盤點'!$A$2:$A$1486,A185,'4.個人職能盤點'!$E$2:$E$1486,"專業職能",'4.個人職能盤點'!$G$2:$G$1486,"&gt;0"),"-"))</f>
        <v/>
      </c>
      <c r="M185" s="120">
        <f>IF(H185="","",IF(H185&gt;=0.9,"優秀",IF(H185&gt;=0.7,"符合期待","需加強發展")))</f>
        <v/>
      </c>
    </row>
    <row r="186" ht="15.75" customHeight="1" s="64">
      <c r="A186" s="120">
        <f>IF('3.員工名單'!A186="","",'3.員工名單'!A186)</f>
        <v/>
      </c>
      <c r="B186" s="120">
        <f>IF(A186="","",'3.員工名單'!B186)</f>
        <v/>
      </c>
      <c r="C186" s="120">
        <f>IF(A186="","",'3.員工名單'!C186)</f>
        <v/>
      </c>
      <c r="D186" s="120">
        <f>IF(A186="","",'3.員工名單'!D186)</f>
        <v/>
      </c>
      <c r="E186" s="120">
        <f>IF(A186="","",COUNTIFS('4.個人職能盤點'!$A$2:$A$1486,A186,'4.個人職能盤點'!$K$2:$K$1486,"達標")+COUNTIFS('4.個人職能盤點'!$A$2:$A$1486,A186,'4.個人職能盤點'!$K$2:$K$1486,"超越")+COUNTIFS('4.個人職能盤點'!$A$2:$A$1486,A186,'4.個人職能盤點'!$K$2:$K$1486,"待發展"))</f>
        <v/>
      </c>
      <c r="F186" s="120">
        <f>IF(A186="","",COUNTIFS('4.個人職能盤點'!$A$2:$A$1486,A186,'4.個人職能盤點'!$K$2:$K$1486,"達標")+COUNTIFS('4.個人職能盤點'!$A$2:$A$1486,A186,'4.個人職能盤點'!$K$2:$K$1486,"超越"))</f>
        <v/>
      </c>
      <c r="G186" s="120">
        <f>IF(A186="","",COUNTIFS('4.個人職能盤點'!$A$2:$A$1486,A186,'4.個人職能盤點'!$K$2:$K$1486,"待發展"))</f>
        <v/>
      </c>
      <c r="H186" s="121">
        <f>IF(OR(A186="",E186=0),"",F186/E186)</f>
        <v/>
      </c>
      <c r="I186" s="122">
        <f>IF(OR(A186="",E186=0),"",IFERROR(AVERAGEIFS('4.個人職能盤點'!$J$2:$J$1486,'4.個人職能盤點'!$A$2:$A$1486,A186),""))</f>
        <v/>
      </c>
      <c r="J186" s="123">
        <f>IF(A186="","",IFERROR(AVERAGEIFS('4.個人職能盤點'!$I$2:$I$1486,'4.個人職能盤點'!$A$2:$A$1486,A186,'4.個人職能盤點'!$E$2:$E$1486,"核心職能",'4.個人職能盤點'!$G$2:$G$1486,"&gt;0"),"-"))</f>
        <v/>
      </c>
      <c r="K186" s="123">
        <f>IF(A186="","",IFERROR(AVERAGEIFS('4.個人職能盤點'!$I$2:$I$1486,'4.個人職能盤點'!$A$2:$A$1486,A186,'4.個人職能盤點'!$E$2:$E$1486,"管理職能",'4.個人職能盤點'!$G$2:$G$1486,"&gt;0"),"-"))</f>
        <v/>
      </c>
      <c r="L186" s="123">
        <f>IF(A186="","",IFERROR(AVERAGEIFS('4.個人職能盤點'!$I$2:$I$1486,'4.個人職能盤點'!$A$2:$A$1486,A186,'4.個人職能盤點'!$E$2:$E$1486,"專業職能",'4.個人職能盤點'!$G$2:$G$1486,"&gt;0"),"-"))</f>
        <v/>
      </c>
      <c r="M186" s="120">
        <f>IF(H186="","",IF(H186&gt;=0.9,"優秀",IF(H186&gt;=0.7,"符合期待","需加強發展")))</f>
        <v/>
      </c>
    </row>
    <row r="187" ht="15.75" customHeight="1" s="64">
      <c r="A187" s="120">
        <f>IF('3.員工名單'!A187="","",'3.員工名單'!A187)</f>
        <v/>
      </c>
      <c r="B187" s="120">
        <f>IF(A187="","",'3.員工名單'!B187)</f>
        <v/>
      </c>
      <c r="C187" s="120">
        <f>IF(A187="","",'3.員工名單'!C187)</f>
        <v/>
      </c>
      <c r="D187" s="120">
        <f>IF(A187="","",'3.員工名單'!D187)</f>
        <v/>
      </c>
      <c r="E187" s="120">
        <f>IF(A187="","",COUNTIFS('4.個人職能盤點'!$A$2:$A$1486,A187,'4.個人職能盤點'!$K$2:$K$1486,"達標")+COUNTIFS('4.個人職能盤點'!$A$2:$A$1486,A187,'4.個人職能盤點'!$K$2:$K$1486,"超越")+COUNTIFS('4.個人職能盤點'!$A$2:$A$1486,A187,'4.個人職能盤點'!$K$2:$K$1486,"待發展"))</f>
        <v/>
      </c>
      <c r="F187" s="120">
        <f>IF(A187="","",COUNTIFS('4.個人職能盤點'!$A$2:$A$1486,A187,'4.個人職能盤點'!$K$2:$K$1486,"達標")+COUNTIFS('4.個人職能盤點'!$A$2:$A$1486,A187,'4.個人職能盤點'!$K$2:$K$1486,"超越"))</f>
        <v/>
      </c>
      <c r="G187" s="120">
        <f>IF(A187="","",COUNTIFS('4.個人職能盤點'!$A$2:$A$1486,A187,'4.個人職能盤點'!$K$2:$K$1486,"待發展"))</f>
        <v/>
      </c>
      <c r="H187" s="121">
        <f>IF(OR(A187="",E187=0),"",F187/E187)</f>
        <v/>
      </c>
      <c r="I187" s="122">
        <f>IF(OR(A187="",E187=0),"",IFERROR(AVERAGEIFS('4.個人職能盤點'!$J$2:$J$1486,'4.個人職能盤點'!$A$2:$A$1486,A187),""))</f>
        <v/>
      </c>
      <c r="J187" s="123">
        <f>IF(A187="","",IFERROR(AVERAGEIFS('4.個人職能盤點'!$I$2:$I$1486,'4.個人職能盤點'!$A$2:$A$1486,A187,'4.個人職能盤點'!$E$2:$E$1486,"核心職能",'4.個人職能盤點'!$G$2:$G$1486,"&gt;0"),"-"))</f>
        <v/>
      </c>
      <c r="K187" s="123">
        <f>IF(A187="","",IFERROR(AVERAGEIFS('4.個人職能盤點'!$I$2:$I$1486,'4.個人職能盤點'!$A$2:$A$1486,A187,'4.個人職能盤點'!$E$2:$E$1486,"管理職能",'4.個人職能盤點'!$G$2:$G$1486,"&gt;0"),"-"))</f>
        <v/>
      </c>
      <c r="L187" s="123">
        <f>IF(A187="","",IFERROR(AVERAGEIFS('4.個人職能盤點'!$I$2:$I$1486,'4.個人職能盤點'!$A$2:$A$1486,A187,'4.個人職能盤點'!$E$2:$E$1486,"專業職能",'4.個人職能盤點'!$G$2:$G$1486,"&gt;0"),"-"))</f>
        <v/>
      </c>
      <c r="M187" s="120">
        <f>IF(H187="","",IF(H187&gt;=0.9,"優秀",IF(H187&gt;=0.7,"符合期待","需加強發展")))</f>
        <v/>
      </c>
    </row>
    <row r="188" ht="15.75" customHeight="1" s="64">
      <c r="A188" s="120">
        <f>IF('3.員工名單'!A188="","",'3.員工名單'!A188)</f>
        <v/>
      </c>
      <c r="B188" s="120">
        <f>IF(A188="","",'3.員工名單'!B188)</f>
        <v/>
      </c>
      <c r="C188" s="120">
        <f>IF(A188="","",'3.員工名單'!C188)</f>
        <v/>
      </c>
      <c r="D188" s="120">
        <f>IF(A188="","",'3.員工名單'!D188)</f>
        <v/>
      </c>
      <c r="E188" s="120">
        <f>IF(A188="","",COUNTIFS('4.個人職能盤點'!$A$2:$A$1486,A188,'4.個人職能盤點'!$K$2:$K$1486,"達標")+COUNTIFS('4.個人職能盤點'!$A$2:$A$1486,A188,'4.個人職能盤點'!$K$2:$K$1486,"超越")+COUNTIFS('4.個人職能盤點'!$A$2:$A$1486,A188,'4.個人職能盤點'!$K$2:$K$1486,"待發展"))</f>
        <v/>
      </c>
      <c r="F188" s="120">
        <f>IF(A188="","",COUNTIFS('4.個人職能盤點'!$A$2:$A$1486,A188,'4.個人職能盤點'!$K$2:$K$1486,"達標")+COUNTIFS('4.個人職能盤點'!$A$2:$A$1486,A188,'4.個人職能盤點'!$K$2:$K$1486,"超越"))</f>
        <v/>
      </c>
      <c r="G188" s="120">
        <f>IF(A188="","",COUNTIFS('4.個人職能盤點'!$A$2:$A$1486,A188,'4.個人職能盤點'!$K$2:$K$1486,"待發展"))</f>
        <v/>
      </c>
      <c r="H188" s="121">
        <f>IF(OR(A188="",E188=0),"",F188/E188)</f>
        <v/>
      </c>
      <c r="I188" s="122">
        <f>IF(OR(A188="",E188=0),"",IFERROR(AVERAGEIFS('4.個人職能盤點'!$J$2:$J$1486,'4.個人職能盤點'!$A$2:$A$1486,A188),""))</f>
        <v/>
      </c>
      <c r="J188" s="123">
        <f>IF(A188="","",IFERROR(AVERAGEIFS('4.個人職能盤點'!$I$2:$I$1486,'4.個人職能盤點'!$A$2:$A$1486,A188,'4.個人職能盤點'!$E$2:$E$1486,"核心職能",'4.個人職能盤點'!$G$2:$G$1486,"&gt;0"),"-"))</f>
        <v/>
      </c>
      <c r="K188" s="123">
        <f>IF(A188="","",IFERROR(AVERAGEIFS('4.個人職能盤點'!$I$2:$I$1486,'4.個人職能盤點'!$A$2:$A$1486,A188,'4.個人職能盤點'!$E$2:$E$1486,"管理職能",'4.個人職能盤點'!$G$2:$G$1486,"&gt;0"),"-"))</f>
        <v/>
      </c>
      <c r="L188" s="123">
        <f>IF(A188="","",IFERROR(AVERAGEIFS('4.個人職能盤點'!$I$2:$I$1486,'4.個人職能盤點'!$A$2:$A$1486,A188,'4.個人職能盤點'!$E$2:$E$1486,"專業職能",'4.個人職能盤點'!$G$2:$G$1486,"&gt;0"),"-"))</f>
        <v/>
      </c>
      <c r="M188" s="120">
        <f>IF(H188="","",IF(H188&gt;=0.9,"優秀",IF(H188&gt;=0.7,"符合期待","需加強發展")))</f>
        <v/>
      </c>
    </row>
    <row r="189" ht="15.75" customHeight="1" s="64">
      <c r="A189" s="120">
        <f>IF('3.員工名單'!A189="","",'3.員工名單'!A189)</f>
        <v/>
      </c>
      <c r="B189" s="120">
        <f>IF(A189="","",'3.員工名單'!B189)</f>
        <v/>
      </c>
      <c r="C189" s="120">
        <f>IF(A189="","",'3.員工名單'!C189)</f>
        <v/>
      </c>
      <c r="D189" s="120">
        <f>IF(A189="","",'3.員工名單'!D189)</f>
        <v/>
      </c>
      <c r="E189" s="120">
        <f>IF(A189="","",COUNTIFS('4.個人職能盤點'!$A$2:$A$1486,A189,'4.個人職能盤點'!$K$2:$K$1486,"達標")+COUNTIFS('4.個人職能盤點'!$A$2:$A$1486,A189,'4.個人職能盤點'!$K$2:$K$1486,"超越")+COUNTIFS('4.個人職能盤點'!$A$2:$A$1486,A189,'4.個人職能盤點'!$K$2:$K$1486,"待發展"))</f>
        <v/>
      </c>
      <c r="F189" s="120">
        <f>IF(A189="","",COUNTIFS('4.個人職能盤點'!$A$2:$A$1486,A189,'4.個人職能盤點'!$K$2:$K$1486,"達標")+COUNTIFS('4.個人職能盤點'!$A$2:$A$1486,A189,'4.個人職能盤點'!$K$2:$K$1486,"超越"))</f>
        <v/>
      </c>
      <c r="G189" s="120">
        <f>IF(A189="","",COUNTIFS('4.個人職能盤點'!$A$2:$A$1486,A189,'4.個人職能盤點'!$K$2:$K$1486,"待發展"))</f>
        <v/>
      </c>
      <c r="H189" s="121">
        <f>IF(OR(A189="",E189=0),"",F189/E189)</f>
        <v/>
      </c>
      <c r="I189" s="122">
        <f>IF(OR(A189="",E189=0),"",IFERROR(AVERAGEIFS('4.個人職能盤點'!$J$2:$J$1486,'4.個人職能盤點'!$A$2:$A$1486,A189),""))</f>
        <v/>
      </c>
      <c r="J189" s="123">
        <f>IF(A189="","",IFERROR(AVERAGEIFS('4.個人職能盤點'!$I$2:$I$1486,'4.個人職能盤點'!$A$2:$A$1486,A189,'4.個人職能盤點'!$E$2:$E$1486,"核心職能",'4.個人職能盤點'!$G$2:$G$1486,"&gt;0"),"-"))</f>
        <v/>
      </c>
      <c r="K189" s="123">
        <f>IF(A189="","",IFERROR(AVERAGEIFS('4.個人職能盤點'!$I$2:$I$1486,'4.個人職能盤點'!$A$2:$A$1486,A189,'4.個人職能盤點'!$E$2:$E$1486,"管理職能",'4.個人職能盤點'!$G$2:$G$1486,"&gt;0"),"-"))</f>
        <v/>
      </c>
      <c r="L189" s="123">
        <f>IF(A189="","",IFERROR(AVERAGEIFS('4.個人職能盤點'!$I$2:$I$1486,'4.個人職能盤點'!$A$2:$A$1486,A189,'4.個人職能盤點'!$E$2:$E$1486,"專業職能",'4.個人職能盤點'!$G$2:$G$1486,"&gt;0"),"-"))</f>
        <v/>
      </c>
      <c r="M189" s="120">
        <f>IF(H189="","",IF(H189&gt;=0.9,"優秀",IF(H189&gt;=0.7,"符合期待","需加強發展")))</f>
        <v/>
      </c>
    </row>
    <row r="190" ht="15.75" customHeight="1" s="64">
      <c r="A190" s="120">
        <f>IF('3.員工名單'!A190="","",'3.員工名單'!A190)</f>
        <v/>
      </c>
      <c r="B190" s="120">
        <f>IF(A190="","",'3.員工名單'!B190)</f>
        <v/>
      </c>
      <c r="C190" s="120">
        <f>IF(A190="","",'3.員工名單'!C190)</f>
        <v/>
      </c>
      <c r="D190" s="120">
        <f>IF(A190="","",'3.員工名單'!D190)</f>
        <v/>
      </c>
      <c r="E190" s="120">
        <f>IF(A190="","",COUNTIFS('4.個人職能盤點'!$A$2:$A$1486,A190,'4.個人職能盤點'!$K$2:$K$1486,"達標")+COUNTIFS('4.個人職能盤點'!$A$2:$A$1486,A190,'4.個人職能盤點'!$K$2:$K$1486,"超越")+COUNTIFS('4.個人職能盤點'!$A$2:$A$1486,A190,'4.個人職能盤點'!$K$2:$K$1486,"待發展"))</f>
        <v/>
      </c>
      <c r="F190" s="120">
        <f>IF(A190="","",COUNTIFS('4.個人職能盤點'!$A$2:$A$1486,A190,'4.個人職能盤點'!$K$2:$K$1486,"達標")+COUNTIFS('4.個人職能盤點'!$A$2:$A$1486,A190,'4.個人職能盤點'!$K$2:$K$1486,"超越"))</f>
        <v/>
      </c>
      <c r="G190" s="120">
        <f>IF(A190="","",COUNTIFS('4.個人職能盤點'!$A$2:$A$1486,A190,'4.個人職能盤點'!$K$2:$K$1486,"待發展"))</f>
        <v/>
      </c>
      <c r="H190" s="121">
        <f>IF(OR(A190="",E190=0),"",F190/E190)</f>
        <v/>
      </c>
      <c r="I190" s="122">
        <f>IF(OR(A190="",E190=0),"",IFERROR(AVERAGEIFS('4.個人職能盤點'!$J$2:$J$1486,'4.個人職能盤點'!$A$2:$A$1486,A190),""))</f>
        <v/>
      </c>
      <c r="J190" s="123">
        <f>IF(A190="","",IFERROR(AVERAGEIFS('4.個人職能盤點'!$I$2:$I$1486,'4.個人職能盤點'!$A$2:$A$1486,A190,'4.個人職能盤點'!$E$2:$E$1486,"核心職能",'4.個人職能盤點'!$G$2:$G$1486,"&gt;0"),"-"))</f>
        <v/>
      </c>
      <c r="K190" s="123">
        <f>IF(A190="","",IFERROR(AVERAGEIFS('4.個人職能盤點'!$I$2:$I$1486,'4.個人職能盤點'!$A$2:$A$1486,A190,'4.個人職能盤點'!$E$2:$E$1486,"管理職能",'4.個人職能盤點'!$G$2:$G$1486,"&gt;0"),"-"))</f>
        <v/>
      </c>
      <c r="L190" s="123">
        <f>IF(A190="","",IFERROR(AVERAGEIFS('4.個人職能盤點'!$I$2:$I$1486,'4.個人職能盤點'!$A$2:$A$1486,A190,'4.個人職能盤點'!$E$2:$E$1486,"專業職能",'4.個人職能盤點'!$G$2:$G$1486,"&gt;0"),"-"))</f>
        <v/>
      </c>
      <c r="M190" s="120">
        <f>IF(H190="","",IF(H190&gt;=0.9,"優秀",IF(H190&gt;=0.7,"符合期待","需加強發展")))</f>
        <v/>
      </c>
    </row>
    <row r="191" ht="15.75" customHeight="1" s="64">
      <c r="A191" s="120">
        <f>IF('3.員工名單'!A191="","",'3.員工名單'!A191)</f>
        <v/>
      </c>
      <c r="B191" s="120">
        <f>IF(A191="","",'3.員工名單'!B191)</f>
        <v/>
      </c>
      <c r="C191" s="120">
        <f>IF(A191="","",'3.員工名單'!C191)</f>
        <v/>
      </c>
      <c r="D191" s="120">
        <f>IF(A191="","",'3.員工名單'!D191)</f>
        <v/>
      </c>
      <c r="E191" s="120">
        <f>IF(A191="","",COUNTIFS('4.個人職能盤點'!$A$2:$A$1486,A191,'4.個人職能盤點'!$K$2:$K$1486,"達標")+COUNTIFS('4.個人職能盤點'!$A$2:$A$1486,A191,'4.個人職能盤點'!$K$2:$K$1486,"超越")+COUNTIFS('4.個人職能盤點'!$A$2:$A$1486,A191,'4.個人職能盤點'!$K$2:$K$1486,"待發展"))</f>
        <v/>
      </c>
      <c r="F191" s="120">
        <f>IF(A191="","",COUNTIFS('4.個人職能盤點'!$A$2:$A$1486,A191,'4.個人職能盤點'!$K$2:$K$1486,"達標")+COUNTIFS('4.個人職能盤點'!$A$2:$A$1486,A191,'4.個人職能盤點'!$K$2:$K$1486,"超越"))</f>
        <v/>
      </c>
      <c r="G191" s="120">
        <f>IF(A191="","",COUNTIFS('4.個人職能盤點'!$A$2:$A$1486,A191,'4.個人職能盤點'!$K$2:$K$1486,"待發展"))</f>
        <v/>
      </c>
      <c r="H191" s="121">
        <f>IF(OR(A191="",E191=0),"",F191/E191)</f>
        <v/>
      </c>
      <c r="I191" s="122">
        <f>IF(OR(A191="",E191=0),"",IFERROR(AVERAGEIFS('4.個人職能盤點'!$J$2:$J$1486,'4.個人職能盤點'!$A$2:$A$1486,A191),""))</f>
        <v/>
      </c>
      <c r="J191" s="123">
        <f>IF(A191="","",IFERROR(AVERAGEIFS('4.個人職能盤點'!$I$2:$I$1486,'4.個人職能盤點'!$A$2:$A$1486,A191,'4.個人職能盤點'!$E$2:$E$1486,"核心職能",'4.個人職能盤點'!$G$2:$G$1486,"&gt;0"),"-"))</f>
        <v/>
      </c>
      <c r="K191" s="123">
        <f>IF(A191="","",IFERROR(AVERAGEIFS('4.個人職能盤點'!$I$2:$I$1486,'4.個人職能盤點'!$A$2:$A$1486,A191,'4.個人職能盤點'!$E$2:$E$1486,"管理職能",'4.個人職能盤點'!$G$2:$G$1486,"&gt;0"),"-"))</f>
        <v/>
      </c>
      <c r="L191" s="123">
        <f>IF(A191="","",IFERROR(AVERAGEIFS('4.個人職能盤點'!$I$2:$I$1486,'4.個人職能盤點'!$A$2:$A$1486,A191,'4.個人職能盤點'!$E$2:$E$1486,"專業職能",'4.個人職能盤點'!$G$2:$G$1486,"&gt;0"),"-"))</f>
        <v/>
      </c>
      <c r="M191" s="120">
        <f>IF(H191="","",IF(H191&gt;=0.9,"優秀",IF(H191&gt;=0.7,"符合期待","需加強發展")))</f>
        <v/>
      </c>
    </row>
    <row r="192" ht="15.75" customHeight="1" s="64">
      <c r="A192" s="120">
        <f>IF('3.員工名單'!A192="","",'3.員工名單'!A192)</f>
        <v/>
      </c>
      <c r="B192" s="120">
        <f>IF(A192="","",'3.員工名單'!B192)</f>
        <v/>
      </c>
      <c r="C192" s="120">
        <f>IF(A192="","",'3.員工名單'!C192)</f>
        <v/>
      </c>
      <c r="D192" s="120">
        <f>IF(A192="","",'3.員工名單'!D192)</f>
        <v/>
      </c>
      <c r="E192" s="120">
        <f>IF(A192="","",COUNTIFS('4.個人職能盤點'!$A$2:$A$1486,A192,'4.個人職能盤點'!$K$2:$K$1486,"達標")+COUNTIFS('4.個人職能盤點'!$A$2:$A$1486,A192,'4.個人職能盤點'!$K$2:$K$1486,"超越")+COUNTIFS('4.個人職能盤點'!$A$2:$A$1486,A192,'4.個人職能盤點'!$K$2:$K$1486,"待發展"))</f>
        <v/>
      </c>
      <c r="F192" s="120">
        <f>IF(A192="","",COUNTIFS('4.個人職能盤點'!$A$2:$A$1486,A192,'4.個人職能盤點'!$K$2:$K$1486,"達標")+COUNTIFS('4.個人職能盤點'!$A$2:$A$1486,A192,'4.個人職能盤點'!$K$2:$K$1486,"超越"))</f>
        <v/>
      </c>
      <c r="G192" s="120">
        <f>IF(A192="","",COUNTIFS('4.個人職能盤點'!$A$2:$A$1486,A192,'4.個人職能盤點'!$K$2:$K$1486,"待發展"))</f>
        <v/>
      </c>
      <c r="H192" s="121">
        <f>IF(OR(A192="",E192=0),"",F192/E192)</f>
        <v/>
      </c>
      <c r="I192" s="122">
        <f>IF(OR(A192="",E192=0),"",IFERROR(AVERAGEIFS('4.個人職能盤點'!$J$2:$J$1486,'4.個人職能盤點'!$A$2:$A$1486,A192),""))</f>
        <v/>
      </c>
      <c r="J192" s="123">
        <f>IF(A192="","",IFERROR(AVERAGEIFS('4.個人職能盤點'!$I$2:$I$1486,'4.個人職能盤點'!$A$2:$A$1486,A192,'4.個人職能盤點'!$E$2:$E$1486,"核心職能",'4.個人職能盤點'!$G$2:$G$1486,"&gt;0"),"-"))</f>
        <v/>
      </c>
      <c r="K192" s="123">
        <f>IF(A192="","",IFERROR(AVERAGEIFS('4.個人職能盤點'!$I$2:$I$1486,'4.個人職能盤點'!$A$2:$A$1486,A192,'4.個人職能盤點'!$E$2:$E$1486,"管理職能",'4.個人職能盤點'!$G$2:$G$1486,"&gt;0"),"-"))</f>
        <v/>
      </c>
      <c r="L192" s="123">
        <f>IF(A192="","",IFERROR(AVERAGEIFS('4.個人職能盤點'!$I$2:$I$1486,'4.個人職能盤點'!$A$2:$A$1486,A192,'4.個人職能盤點'!$E$2:$E$1486,"專業職能",'4.個人職能盤點'!$G$2:$G$1486,"&gt;0"),"-"))</f>
        <v/>
      </c>
      <c r="M192" s="120">
        <f>IF(H192="","",IF(H192&gt;=0.9,"優秀",IF(H192&gt;=0.7,"符合期待","需加強發展")))</f>
        <v/>
      </c>
    </row>
    <row r="193" ht="15.75" customHeight="1" s="64">
      <c r="A193" s="120">
        <f>IF('3.員工名單'!A193="","",'3.員工名單'!A193)</f>
        <v/>
      </c>
      <c r="B193" s="120">
        <f>IF(A193="","",'3.員工名單'!B193)</f>
        <v/>
      </c>
      <c r="C193" s="120">
        <f>IF(A193="","",'3.員工名單'!C193)</f>
        <v/>
      </c>
      <c r="D193" s="120">
        <f>IF(A193="","",'3.員工名單'!D193)</f>
        <v/>
      </c>
      <c r="E193" s="120">
        <f>IF(A193="","",COUNTIFS('4.個人職能盤點'!$A$2:$A$1486,A193,'4.個人職能盤點'!$K$2:$K$1486,"達標")+COUNTIFS('4.個人職能盤點'!$A$2:$A$1486,A193,'4.個人職能盤點'!$K$2:$K$1486,"超越")+COUNTIFS('4.個人職能盤點'!$A$2:$A$1486,A193,'4.個人職能盤點'!$K$2:$K$1486,"待發展"))</f>
        <v/>
      </c>
      <c r="F193" s="120">
        <f>IF(A193="","",COUNTIFS('4.個人職能盤點'!$A$2:$A$1486,A193,'4.個人職能盤點'!$K$2:$K$1486,"達標")+COUNTIFS('4.個人職能盤點'!$A$2:$A$1486,A193,'4.個人職能盤點'!$K$2:$K$1486,"超越"))</f>
        <v/>
      </c>
      <c r="G193" s="120">
        <f>IF(A193="","",COUNTIFS('4.個人職能盤點'!$A$2:$A$1486,A193,'4.個人職能盤點'!$K$2:$K$1486,"待發展"))</f>
        <v/>
      </c>
      <c r="H193" s="121">
        <f>IF(OR(A193="",E193=0),"",F193/E193)</f>
        <v/>
      </c>
      <c r="I193" s="122">
        <f>IF(OR(A193="",E193=0),"",IFERROR(AVERAGEIFS('4.個人職能盤點'!$J$2:$J$1486,'4.個人職能盤點'!$A$2:$A$1486,A193),""))</f>
        <v/>
      </c>
      <c r="J193" s="123">
        <f>IF(A193="","",IFERROR(AVERAGEIFS('4.個人職能盤點'!$I$2:$I$1486,'4.個人職能盤點'!$A$2:$A$1486,A193,'4.個人職能盤點'!$E$2:$E$1486,"核心職能",'4.個人職能盤點'!$G$2:$G$1486,"&gt;0"),"-"))</f>
        <v/>
      </c>
      <c r="K193" s="123">
        <f>IF(A193="","",IFERROR(AVERAGEIFS('4.個人職能盤點'!$I$2:$I$1486,'4.個人職能盤點'!$A$2:$A$1486,A193,'4.個人職能盤點'!$E$2:$E$1486,"管理職能",'4.個人職能盤點'!$G$2:$G$1486,"&gt;0"),"-"))</f>
        <v/>
      </c>
      <c r="L193" s="123">
        <f>IF(A193="","",IFERROR(AVERAGEIFS('4.個人職能盤點'!$I$2:$I$1486,'4.個人職能盤點'!$A$2:$A$1486,A193,'4.個人職能盤點'!$E$2:$E$1486,"專業職能",'4.個人職能盤點'!$G$2:$G$1486,"&gt;0"),"-"))</f>
        <v/>
      </c>
      <c r="M193" s="120">
        <f>IF(H193="","",IF(H193&gt;=0.9,"優秀",IF(H193&gt;=0.7,"符合期待","需加強發展")))</f>
        <v/>
      </c>
    </row>
    <row r="194" ht="15.75" customHeight="1" s="64">
      <c r="A194" s="120">
        <f>IF('3.員工名單'!A194="","",'3.員工名單'!A194)</f>
        <v/>
      </c>
      <c r="B194" s="120">
        <f>IF(A194="","",'3.員工名單'!B194)</f>
        <v/>
      </c>
      <c r="C194" s="120">
        <f>IF(A194="","",'3.員工名單'!C194)</f>
        <v/>
      </c>
      <c r="D194" s="120">
        <f>IF(A194="","",'3.員工名單'!D194)</f>
        <v/>
      </c>
      <c r="E194" s="120">
        <f>IF(A194="","",COUNTIFS('4.個人職能盤點'!$A$2:$A$1486,A194,'4.個人職能盤點'!$K$2:$K$1486,"達標")+COUNTIFS('4.個人職能盤點'!$A$2:$A$1486,A194,'4.個人職能盤點'!$K$2:$K$1486,"超越")+COUNTIFS('4.個人職能盤點'!$A$2:$A$1486,A194,'4.個人職能盤點'!$K$2:$K$1486,"待發展"))</f>
        <v/>
      </c>
      <c r="F194" s="120">
        <f>IF(A194="","",COUNTIFS('4.個人職能盤點'!$A$2:$A$1486,A194,'4.個人職能盤點'!$K$2:$K$1486,"達標")+COUNTIFS('4.個人職能盤點'!$A$2:$A$1486,A194,'4.個人職能盤點'!$K$2:$K$1486,"超越"))</f>
        <v/>
      </c>
      <c r="G194" s="120">
        <f>IF(A194="","",COUNTIFS('4.個人職能盤點'!$A$2:$A$1486,A194,'4.個人職能盤點'!$K$2:$K$1486,"待發展"))</f>
        <v/>
      </c>
      <c r="H194" s="121">
        <f>IF(OR(A194="",E194=0),"",F194/E194)</f>
        <v/>
      </c>
      <c r="I194" s="122">
        <f>IF(OR(A194="",E194=0),"",IFERROR(AVERAGEIFS('4.個人職能盤點'!$J$2:$J$1486,'4.個人職能盤點'!$A$2:$A$1486,A194),""))</f>
        <v/>
      </c>
      <c r="J194" s="123">
        <f>IF(A194="","",IFERROR(AVERAGEIFS('4.個人職能盤點'!$I$2:$I$1486,'4.個人職能盤點'!$A$2:$A$1486,A194,'4.個人職能盤點'!$E$2:$E$1486,"核心職能",'4.個人職能盤點'!$G$2:$G$1486,"&gt;0"),"-"))</f>
        <v/>
      </c>
      <c r="K194" s="123">
        <f>IF(A194="","",IFERROR(AVERAGEIFS('4.個人職能盤點'!$I$2:$I$1486,'4.個人職能盤點'!$A$2:$A$1486,A194,'4.個人職能盤點'!$E$2:$E$1486,"管理職能",'4.個人職能盤點'!$G$2:$G$1486,"&gt;0"),"-"))</f>
        <v/>
      </c>
      <c r="L194" s="123">
        <f>IF(A194="","",IFERROR(AVERAGEIFS('4.個人職能盤點'!$I$2:$I$1486,'4.個人職能盤點'!$A$2:$A$1486,A194,'4.個人職能盤點'!$E$2:$E$1486,"專業職能",'4.個人職能盤點'!$G$2:$G$1486,"&gt;0"),"-"))</f>
        <v/>
      </c>
      <c r="M194" s="120">
        <f>IF(H194="","",IF(H194&gt;=0.9,"優秀",IF(H194&gt;=0.7,"符合期待","需加強發展")))</f>
        <v/>
      </c>
    </row>
    <row r="195" ht="15.75" customHeight="1" s="64">
      <c r="A195" s="120">
        <f>IF('3.員工名單'!A195="","",'3.員工名單'!A195)</f>
        <v/>
      </c>
      <c r="B195" s="120">
        <f>IF(A195="","",'3.員工名單'!B195)</f>
        <v/>
      </c>
      <c r="C195" s="120">
        <f>IF(A195="","",'3.員工名單'!C195)</f>
        <v/>
      </c>
      <c r="D195" s="120">
        <f>IF(A195="","",'3.員工名單'!D195)</f>
        <v/>
      </c>
      <c r="E195" s="120">
        <f>IF(A195="","",COUNTIFS('4.個人職能盤點'!$A$2:$A$1486,A195,'4.個人職能盤點'!$K$2:$K$1486,"達標")+COUNTIFS('4.個人職能盤點'!$A$2:$A$1486,A195,'4.個人職能盤點'!$K$2:$K$1486,"超越")+COUNTIFS('4.個人職能盤點'!$A$2:$A$1486,A195,'4.個人職能盤點'!$K$2:$K$1486,"待發展"))</f>
        <v/>
      </c>
      <c r="F195" s="120">
        <f>IF(A195="","",COUNTIFS('4.個人職能盤點'!$A$2:$A$1486,A195,'4.個人職能盤點'!$K$2:$K$1486,"達標")+COUNTIFS('4.個人職能盤點'!$A$2:$A$1486,A195,'4.個人職能盤點'!$K$2:$K$1486,"超越"))</f>
        <v/>
      </c>
      <c r="G195" s="120">
        <f>IF(A195="","",COUNTIFS('4.個人職能盤點'!$A$2:$A$1486,A195,'4.個人職能盤點'!$K$2:$K$1486,"待發展"))</f>
        <v/>
      </c>
      <c r="H195" s="121">
        <f>IF(OR(A195="",E195=0),"",F195/E195)</f>
        <v/>
      </c>
      <c r="I195" s="122">
        <f>IF(OR(A195="",E195=0),"",IFERROR(AVERAGEIFS('4.個人職能盤點'!$J$2:$J$1486,'4.個人職能盤點'!$A$2:$A$1486,A195),""))</f>
        <v/>
      </c>
      <c r="J195" s="123">
        <f>IF(A195="","",IFERROR(AVERAGEIFS('4.個人職能盤點'!$I$2:$I$1486,'4.個人職能盤點'!$A$2:$A$1486,A195,'4.個人職能盤點'!$E$2:$E$1486,"核心職能",'4.個人職能盤點'!$G$2:$G$1486,"&gt;0"),"-"))</f>
        <v/>
      </c>
      <c r="K195" s="123">
        <f>IF(A195="","",IFERROR(AVERAGEIFS('4.個人職能盤點'!$I$2:$I$1486,'4.個人職能盤點'!$A$2:$A$1486,A195,'4.個人職能盤點'!$E$2:$E$1486,"管理職能",'4.個人職能盤點'!$G$2:$G$1486,"&gt;0"),"-"))</f>
        <v/>
      </c>
      <c r="L195" s="123">
        <f>IF(A195="","",IFERROR(AVERAGEIFS('4.個人職能盤點'!$I$2:$I$1486,'4.個人職能盤點'!$A$2:$A$1486,A195,'4.個人職能盤點'!$E$2:$E$1486,"專業職能",'4.個人職能盤點'!$G$2:$G$1486,"&gt;0"),"-"))</f>
        <v/>
      </c>
      <c r="M195" s="120">
        <f>IF(H195="","",IF(H195&gt;=0.9,"優秀",IF(H195&gt;=0.7,"符合期待","需加強發展")))</f>
        <v/>
      </c>
    </row>
    <row r="196" ht="15.75" customHeight="1" s="64">
      <c r="A196" s="120">
        <f>IF('3.員工名單'!A196="","",'3.員工名單'!A196)</f>
        <v/>
      </c>
      <c r="B196" s="120">
        <f>IF(A196="","",'3.員工名單'!B196)</f>
        <v/>
      </c>
      <c r="C196" s="120">
        <f>IF(A196="","",'3.員工名單'!C196)</f>
        <v/>
      </c>
      <c r="D196" s="120">
        <f>IF(A196="","",'3.員工名單'!D196)</f>
        <v/>
      </c>
      <c r="E196" s="120">
        <f>IF(A196="","",COUNTIFS('4.個人職能盤點'!$A$2:$A$1486,A196,'4.個人職能盤點'!$K$2:$K$1486,"達標")+COUNTIFS('4.個人職能盤點'!$A$2:$A$1486,A196,'4.個人職能盤點'!$K$2:$K$1486,"超越")+COUNTIFS('4.個人職能盤點'!$A$2:$A$1486,A196,'4.個人職能盤點'!$K$2:$K$1486,"待發展"))</f>
        <v/>
      </c>
      <c r="F196" s="120">
        <f>IF(A196="","",COUNTIFS('4.個人職能盤點'!$A$2:$A$1486,A196,'4.個人職能盤點'!$K$2:$K$1486,"達標")+COUNTIFS('4.個人職能盤點'!$A$2:$A$1486,A196,'4.個人職能盤點'!$K$2:$K$1486,"超越"))</f>
        <v/>
      </c>
      <c r="G196" s="120">
        <f>IF(A196="","",COUNTIFS('4.個人職能盤點'!$A$2:$A$1486,A196,'4.個人職能盤點'!$K$2:$K$1486,"待發展"))</f>
        <v/>
      </c>
      <c r="H196" s="121">
        <f>IF(OR(A196="",E196=0),"",F196/E196)</f>
        <v/>
      </c>
      <c r="I196" s="122">
        <f>IF(OR(A196="",E196=0),"",IFERROR(AVERAGEIFS('4.個人職能盤點'!$J$2:$J$1486,'4.個人職能盤點'!$A$2:$A$1486,A196),""))</f>
        <v/>
      </c>
      <c r="J196" s="123">
        <f>IF(A196="","",IFERROR(AVERAGEIFS('4.個人職能盤點'!$I$2:$I$1486,'4.個人職能盤點'!$A$2:$A$1486,A196,'4.個人職能盤點'!$E$2:$E$1486,"核心職能",'4.個人職能盤點'!$G$2:$G$1486,"&gt;0"),"-"))</f>
        <v/>
      </c>
      <c r="K196" s="123">
        <f>IF(A196="","",IFERROR(AVERAGEIFS('4.個人職能盤點'!$I$2:$I$1486,'4.個人職能盤點'!$A$2:$A$1486,A196,'4.個人職能盤點'!$E$2:$E$1486,"管理職能",'4.個人職能盤點'!$G$2:$G$1486,"&gt;0"),"-"))</f>
        <v/>
      </c>
      <c r="L196" s="123">
        <f>IF(A196="","",IFERROR(AVERAGEIFS('4.個人職能盤點'!$I$2:$I$1486,'4.個人職能盤點'!$A$2:$A$1486,A196,'4.個人職能盤點'!$E$2:$E$1486,"專業職能",'4.個人職能盤點'!$G$2:$G$1486,"&gt;0"),"-"))</f>
        <v/>
      </c>
      <c r="M196" s="120">
        <f>IF(H196="","",IF(H196&gt;=0.9,"優秀",IF(H196&gt;=0.7,"符合期待","需加強發展")))</f>
        <v/>
      </c>
    </row>
    <row r="197" ht="15.75" customHeight="1" s="64">
      <c r="A197" s="120">
        <f>IF('3.員工名單'!A197="","",'3.員工名單'!A197)</f>
        <v/>
      </c>
      <c r="B197" s="120">
        <f>IF(A197="","",'3.員工名單'!B197)</f>
        <v/>
      </c>
      <c r="C197" s="120">
        <f>IF(A197="","",'3.員工名單'!C197)</f>
        <v/>
      </c>
      <c r="D197" s="120">
        <f>IF(A197="","",'3.員工名單'!D197)</f>
        <v/>
      </c>
      <c r="E197" s="120">
        <f>IF(A197="","",COUNTIFS('4.個人職能盤點'!$A$2:$A$1486,A197,'4.個人職能盤點'!$K$2:$K$1486,"達標")+COUNTIFS('4.個人職能盤點'!$A$2:$A$1486,A197,'4.個人職能盤點'!$K$2:$K$1486,"超越")+COUNTIFS('4.個人職能盤點'!$A$2:$A$1486,A197,'4.個人職能盤點'!$K$2:$K$1486,"待發展"))</f>
        <v/>
      </c>
      <c r="F197" s="120">
        <f>IF(A197="","",COUNTIFS('4.個人職能盤點'!$A$2:$A$1486,A197,'4.個人職能盤點'!$K$2:$K$1486,"達標")+COUNTIFS('4.個人職能盤點'!$A$2:$A$1486,A197,'4.個人職能盤點'!$K$2:$K$1486,"超越"))</f>
        <v/>
      </c>
      <c r="G197" s="120">
        <f>IF(A197="","",COUNTIFS('4.個人職能盤點'!$A$2:$A$1486,A197,'4.個人職能盤點'!$K$2:$K$1486,"待發展"))</f>
        <v/>
      </c>
      <c r="H197" s="121">
        <f>IF(OR(A197="",E197=0),"",F197/E197)</f>
        <v/>
      </c>
      <c r="I197" s="122">
        <f>IF(OR(A197="",E197=0),"",IFERROR(AVERAGEIFS('4.個人職能盤點'!$J$2:$J$1486,'4.個人職能盤點'!$A$2:$A$1486,A197),""))</f>
        <v/>
      </c>
      <c r="J197" s="123">
        <f>IF(A197="","",IFERROR(AVERAGEIFS('4.個人職能盤點'!$I$2:$I$1486,'4.個人職能盤點'!$A$2:$A$1486,A197,'4.個人職能盤點'!$E$2:$E$1486,"核心職能",'4.個人職能盤點'!$G$2:$G$1486,"&gt;0"),"-"))</f>
        <v/>
      </c>
      <c r="K197" s="123">
        <f>IF(A197="","",IFERROR(AVERAGEIFS('4.個人職能盤點'!$I$2:$I$1486,'4.個人職能盤點'!$A$2:$A$1486,A197,'4.個人職能盤點'!$E$2:$E$1486,"管理職能",'4.個人職能盤點'!$G$2:$G$1486,"&gt;0"),"-"))</f>
        <v/>
      </c>
      <c r="L197" s="123">
        <f>IF(A197="","",IFERROR(AVERAGEIFS('4.個人職能盤點'!$I$2:$I$1486,'4.個人職能盤點'!$A$2:$A$1486,A197,'4.個人職能盤點'!$E$2:$E$1486,"專業職能",'4.個人職能盤點'!$G$2:$G$1486,"&gt;0"),"-"))</f>
        <v/>
      </c>
      <c r="M197" s="120">
        <f>IF(H197="","",IF(H197&gt;=0.9,"優秀",IF(H197&gt;=0.7,"符合期待","需加強發展")))</f>
        <v/>
      </c>
    </row>
    <row r="198" ht="15.75" customHeight="1" s="64">
      <c r="A198" s="120">
        <f>IF('3.員工名單'!A198="","",'3.員工名單'!A198)</f>
        <v/>
      </c>
      <c r="B198" s="120">
        <f>IF(A198="","",'3.員工名單'!B198)</f>
        <v/>
      </c>
      <c r="C198" s="120">
        <f>IF(A198="","",'3.員工名單'!C198)</f>
        <v/>
      </c>
      <c r="D198" s="120">
        <f>IF(A198="","",'3.員工名單'!D198)</f>
        <v/>
      </c>
      <c r="E198" s="120">
        <f>IF(A198="","",COUNTIFS('4.個人職能盤點'!$A$2:$A$1486,A198,'4.個人職能盤點'!$K$2:$K$1486,"達標")+COUNTIFS('4.個人職能盤點'!$A$2:$A$1486,A198,'4.個人職能盤點'!$K$2:$K$1486,"超越")+COUNTIFS('4.個人職能盤點'!$A$2:$A$1486,A198,'4.個人職能盤點'!$K$2:$K$1486,"待發展"))</f>
        <v/>
      </c>
      <c r="F198" s="120">
        <f>IF(A198="","",COUNTIFS('4.個人職能盤點'!$A$2:$A$1486,A198,'4.個人職能盤點'!$K$2:$K$1486,"達標")+COUNTIFS('4.個人職能盤點'!$A$2:$A$1486,A198,'4.個人職能盤點'!$K$2:$K$1486,"超越"))</f>
        <v/>
      </c>
      <c r="G198" s="120">
        <f>IF(A198="","",COUNTIFS('4.個人職能盤點'!$A$2:$A$1486,A198,'4.個人職能盤點'!$K$2:$K$1486,"待發展"))</f>
        <v/>
      </c>
      <c r="H198" s="121">
        <f>IF(OR(A198="",E198=0),"",F198/E198)</f>
        <v/>
      </c>
      <c r="I198" s="122">
        <f>IF(OR(A198="",E198=0),"",IFERROR(AVERAGEIFS('4.個人職能盤點'!$J$2:$J$1486,'4.個人職能盤點'!$A$2:$A$1486,A198),""))</f>
        <v/>
      </c>
      <c r="J198" s="123">
        <f>IF(A198="","",IFERROR(AVERAGEIFS('4.個人職能盤點'!$I$2:$I$1486,'4.個人職能盤點'!$A$2:$A$1486,A198,'4.個人職能盤點'!$E$2:$E$1486,"核心職能",'4.個人職能盤點'!$G$2:$G$1486,"&gt;0"),"-"))</f>
        <v/>
      </c>
      <c r="K198" s="123">
        <f>IF(A198="","",IFERROR(AVERAGEIFS('4.個人職能盤點'!$I$2:$I$1486,'4.個人職能盤點'!$A$2:$A$1486,A198,'4.個人職能盤點'!$E$2:$E$1486,"管理職能",'4.個人職能盤點'!$G$2:$G$1486,"&gt;0"),"-"))</f>
        <v/>
      </c>
      <c r="L198" s="123">
        <f>IF(A198="","",IFERROR(AVERAGEIFS('4.個人職能盤點'!$I$2:$I$1486,'4.個人職能盤點'!$A$2:$A$1486,A198,'4.個人職能盤點'!$E$2:$E$1486,"專業職能",'4.個人職能盤點'!$G$2:$G$1486,"&gt;0"),"-"))</f>
        <v/>
      </c>
      <c r="M198" s="120">
        <f>IF(H198="","",IF(H198&gt;=0.9,"優秀",IF(H198&gt;=0.7,"符合期待","需加強發展")))</f>
        <v/>
      </c>
    </row>
    <row r="199" ht="15.75" customHeight="1" s="64">
      <c r="A199" s="120">
        <f>IF('3.員工名單'!A199="","",'3.員工名單'!A199)</f>
        <v/>
      </c>
      <c r="B199" s="120">
        <f>IF(A199="","",'3.員工名單'!B199)</f>
        <v/>
      </c>
      <c r="C199" s="120">
        <f>IF(A199="","",'3.員工名單'!C199)</f>
        <v/>
      </c>
      <c r="D199" s="120">
        <f>IF(A199="","",'3.員工名單'!D199)</f>
        <v/>
      </c>
      <c r="E199" s="120">
        <f>IF(A199="","",COUNTIFS('4.個人職能盤點'!$A$2:$A$1486,A199,'4.個人職能盤點'!$K$2:$K$1486,"達標")+COUNTIFS('4.個人職能盤點'!$A$2:$A$1486,A199,'4.個人職能盤點'!$K$2:$K$1486,"超越")+COUNTIFS('4.個人職能盤點'!$A$2:$A$1486,A199,'4.個人職能盤點'!$K$2:$K$1486,"待發展"))</f>
        <v/>
      </c>
      <c r="F199" s="120">
        <f>IF(A199="","",COUNTIFS('4.個人職能盤點'!$A$2:$A$1486,A199,'4.個人職能盤點'!$K$2:$K$1486,"達標")+COUNTIFS('4.個人職能盤點'!$A$2:$A$1486,A199,'4.個人職能盤點'!$K$2:$K$1486,"超越"))</f>
        <v/>
      </c>
      <c r="G199" s="120">
        <f>IF(A199="","",COUNTIFS('4.個人職能盤點'!$A$2:$A$1486,A199,'4.個人職能盤點'!$K$2:$K$1486,"待發展"))</f>
        <v/>
      </c>
      <c r="H199" s="121">
        <f>IF(OR(A199="",E199=0),"",F199/E199)</f>
        <v/>
      </c>
      <c r="I199" s="122">
        <f>IF(OR(A199="",E199=0),"",IFERROR(AVERAGEIFS('4.個人職能盤點'!$J$2:$J$1486,'4.個人職能盤點'!$A$2:$A$1486,A199),""))</f>
        <v/>
      </c>
      <c r="J199" s="123">
        <f>IF(A199="","",IFERROR(AVERAGEIFS('4.個人職能盤點'!$I$2:$I$1486,'4.個人職能盤點'!$A$2:$A$1486,A199,'4.個人職能盤點'!$E$2:$E$1486,"核心職能",'4.個人職能盤點'!$G$2:$G$1486,"&gt;0"),"-"))</f>
        <v/>
      </c>
      <c r="K199" s="123">
        <f>IF(A199="","",IFERROR(AVERAGEIFS('4.個人職能盤點'!$I$2:$I$1486,'4.個人職能盤點'!$A$2:$A$1486,A199,'4.個人職能盤點'!$E$2:$E$1486,"管理職能",'4.個人職能盤點'!$G$2:$G$1486,"&gt;0"),"-"))</f>
        <v/>
      </c>
      <c r="L199" s="123">
        <f>IF(A199="","",IFERROR(AVERAGEIFS('4.個人職能盤點'!$I$2:$I$1486,'4.個人職能盤點'!$A$2:$A$1486,A199,'4.個人職能盤點'!$E$2:$E$1486,"專業職能",'4.個人職能盤點'!$G$2:$G$1486,"&gt;0"),"-"))</f>
        <v/>
      </c>
      <c r="M199" s="120">
        <f>IF(H199="","",IF(H199&gt;=0.9,"優秀",IF(H199&gt;=0.7,"符合期待","需加強發展")))</f>
        <v/>
      </c>
    </row>
    <row r="200" ht="15.75" customHeight="1" s="64">
      <c r="A200" s="120">
        <f>IF('3.員工名單'!A200="","",'3.員工名單'!A200)</f>
        <v/>
      </c>
      <c r="B200" s="120">
        <f>IF(A200="","",'3.員工名單'!B200)</f>
        <v/>
      </c>
      <c r="C200" s="120">
        <f>IF(A200="","",'3.員工名單'!C200)</f>
        <v/>
      </c>
      <c r="D200" s="120">
        <f>IF(A200="","",'3.員工名單'!D200)</f>
        <v/>
      </c>
      <c r="E200" s="120">
        <f>IF(A200="","",COUNTIFS('4.個人職能盤點'!$A$2:$A$1486,A200,'4.個人職能盤點'!$K$2:$K$1486,"達標")+COUNTIFS('4.個人職能盤點'!$A$2:$A$1486,A200,'4.個人職能盤點'!$K$2:$K$1486,"超越")+COUNTIFS('4.個人職能盤點'!$A$2:$A$1486,A200,'4.個人職能盤點'!$K$2:$K$1486,"待發展"))</f>
        <v/>
      </c>
      <c r="F200" s="120">
        <f>IF(A200="","",COUNTIFS('4.個人職能盤點'!$A$2:$A$1486,A200,'4.個人職能盤點'!$K$2:$K$1486,"達標")+COUNTIFS('4.個人職能盤點'!$A$2:$A$1486,A200,'4.個人職能盤點'!$K$2:$K$1486,"超越"))</f>
        <v/>
      </c>
      <c r="G200" s="120">
        <f>IF(A200="","",COUNTIFS('4.個人職能盤點'!$A$2:$A$1486,A200,'4.個人職能盤點'!$K$2:$K$1486,"待發展"))</f>
        <v/>
      </c>
      <c r="H200" s="121">
        <f>IF(OR(A200="",E200=0),"",F200/E200)</f>
        <v/>
      </c>
      <c r="I200" s="122">
        <f>IF(OR(A200="",E200=0),"",IFERROR(AVERAGEIFS('4.個人職能盤點'!$J$2:$J$1486,'4.個人職能盤點'!$A$2:$A$1486,A200),""))</f>
        <v/>
      </c>
      <c r="J200" s="123">
        <f>IF(A200="","",IFERROR(AVERAGEIFS('4.個人職能盤點'!$I$2:$I$1486,'4.個人職能盤點'!$A$2:$A$1486,A200,'4.個人職能盤點'!$E$2:$E$1486,"核心職能",'4.個人職能盤點'!$G$2:$G$1486,"&gt;0"),"-"))</f>
        <v/>
      </c>
      <c r="K200" s="123">
        <f>IF(A200="","",IFERROR(AVERAGEIFS('4.個人職能盤點'!$I$2:$I$1486,'4.個人職能盤點'!$A$2:$A$1486,A200,'4.個人職能盤點'!$E$2:$E$1486,"管理職能",'4.個人職能盤點'!$G$2:$G$1486,"&gt;0"),"-"))</f>
        <v/>
      </c>
      <c r="L200" s="123">
        <f>IF(A200="","",IFERROR(AVERAGEIFS('4.個人職能盤點'!$I$2:$I$1486,'4.個人職能盤點'!$A$2:$A$1486,A200,'4.個人職能盤點'!$E$2:$E$1486,"專業職能",'4.個人職能盤點'!$G$2:$G$1486,"&gt;0"),"-"))</f>
        <v/>
      </c>
      <c r="M200" s="120">
        <f>IF(H200="","",IF(H200&gt;=0.9,"優秀",IF(H200&gt;=0.7,"符合期待","需加強發展")))</f>
        <v/>
      </c>
    </row>
    <row r="201" ht="15.75" customHeight="1" s="64">
      <c r="A201" s="120">
        <f>IF('3.員工名單'!A201="","",'3.員工名單'!A201)</f>
        <v/>
      </c>
      <c r="B201" s="120">
        <f>IF(A201="","",'3.員工名單'!B201)</f>
        <v/>
      </c>
      <c r="C201" s="120">
        <f>IF(A201="","",'3.員工名單'!C201)</f>
        <v/>
      </c>
      <c r="D201" s="120">
        <f>IF(A201="","",'3.員工名單'!D201)</f>
        <v/>
      </c>
      <c r="E201" s="120">
        <f>IF(A201="","",COUNTIFS('4.個人職能盤點'!$A$2:$A$1486,A201,'4.個人職能盤點'!$K$2:$K$1486,"達標")+COUNTIFS('4.個人職能盤點'!$A$2:$A$1486,A201,'4.個人職能盤點'!$K$2:$K$1486,"超越")+COUNTIFS('4.個人職能盤點'!$A$2:$A$1486,A201,'4.個人職能盤點'!$K$2:$K$1486,"待發展"))</f>
        <v/>
      </c>
      <c r="F201" s="120">
        <f>IF(A201="","",COUNTIFS('4.個人職能盤點'!$A$2:$A$1486,A201,'4.個人職能盤點'!$K$2:$K$1486,"達標")+COUNTIFS('4.個人職能盤點'!$A$2:$A$1486,A201,'4.個人職能盤點'!$K$2:$K$1486,"超越"))</f>
        <v/>
      </c>
      <c r="G201" s="120">
        <f>IF(A201="","",COUNTIFS('4.個人職能盤點'!$A$2:$A$1486,A201,'4.個人職能盤點'!$K$2:$K$1486,"待發展"))</f>
        <v/>
      </c>
      <c r="H201" s="121">
        <f>IF(OR(A201="",E201=0),"",F201/E201)</f>
        <v/>
      </c>
      <c r="I201" s="122">
        <f>IF(OR(A201="",E201=0),"",IFERROR(AVERAGEIFS('4.個人職能盤點'!$J$2:$J$1486,'4.個人職能盤點'!$A$2:$A$1486,A201),""))</f>
        <v/>
      </c>
      <c r="J201" s="123">
        <f>IF(A201="","",IFERROR(AVERAGEIFS('4.個人職能盤點'!$I$2:$I$1486,'4.個人職能盤點'!$A$2:$A$1486,A201,'4.個人職能盤點'!$E$2:$E$1486,"核心職能",'4.個人職能盤點'!$G$2:$G$1486,"&gt;0"),"-"))</f>
        <v/>
      </c>
      <c r="K201" s="123">
        <f>IF(A201="","",IFERROR(AVERAGEIFS('4.個人職能盤點'!$I$2:$I$1486,'4.個人職能盤點'!$A$2:$A$1486,A201,'4.個人職能盤點'!$E$2:$E$1486,"管理職能",'4.個人職能盤點'!$G$2:$G$1486,"&gt;0"),"-"))</f>
        <v/>
      </c>
      <c r="L201" s="123">
        <f>IF(A201="","",IFERROR(AVERAGEIFS('4.個人職能盤點'!$I$2:$I$1486,'4.個人職能盤點'!$A$2:$A$1486,A201,'4.個人職能盤點'!$E$2:$E$1486,"專業職能",'4.個人職能盤點'!$G$2:$G$1486,"&gt;0"),"-"))</f>
        <v/>
      </c>
      <c r="M201" s="120">
        <f>IF(H201="","",IF(H201&gt;=0.9,"優秀",IF(H201&gt;=0.7,"符合期待","需加強發展")))</f>
        <v/>
      </c>
    </row>
    <row r="202" ht="15.75" customHeight="1" s="64">
      <c r="A202" s="120">
        <f>IF('3.員工名單'!A202="","",'3.員工名單'!A202)</f>
        <v/>
      </c>
      <c r="B202" s="120">
        <f>IF(A202="","",'3.員工名單'!B202)</f>
        <v/>
      </c>
      <c r="C202" s="120">
        <f>IF(A202="","",'3.員工名單'!C202)</f>
        <v/>
      </c>
      <c r="D202" s="120">
        <f>IF(A202="","",'3.員工名單'!D202)</f>
        <v/>
      </c>
      <c r="E202" s="120">
        <f>IF(A202="","",COUNTIFS('4.個人職能盤點'!$A$2:$A$1486,A202,'4.個人職能盤點'!$K$2:$K$1486,"達標")+COUNTIFS('4.個人職能盤點'!$A$2:$A$1486,A202,'4.個人職能盤點'!$K$2:$K$1486,"超越")+COUNTIFS('4.個人職能盤點'!$A$2:$A$1486,A202,'4.個人職能盤點'!$K$2:$K$1486,"待發展"))</f>
        <v/>
      </c>
      <c r="F202" s="120">
        <f>IF(A202="","",COUNTIFS('4.個人職能盤點'!$A$2:$A$1486,A202,'4.個人職能盤點'!$K$2:$K$1486,"達標")+COUNTIFS('4.個人職能盤點'!$A$2:$A$1486,A202,'4.個人職能盤點'!$K$2:$K$1486,"超越"))</f>
        <v/>
      </c>
      <c r="G202" s="120">
        <f>IF(A202="","",COUNTIFS('4.個人職能盤點'!$A$2:$A$1486,A202,'4.個人職能盤點'!$K$2:$K$1486,"待發展"))</f>
        <v/>
      </c>
      <c r="H202" s="121">
        <f>IF(OR(A202="",E202=0),"",F202/E202)</f>
        <v/>
      </c>
      <c r="I202" s="122">
        <f>IF(OR(A202="",E202=0),"",IFERROR(AVERAGEIFS('4.個人職能盤點'!$J$2:$J$1486,'4.個人職能盤點'!$A$2:$A$1486,A202),""))</f>
        <v/>
      </c>
      <c r="J202" s="123">
        <f>IF(A202="","",IFERROR(AVERAGEIFS('4.個人職能盤點'!$I$2:$I$1486,'4.個人職能盤點'!$A$2:$A$1486,A202,'4.個人職能盤點'!$E$2:$E$1486,"核心職能",'4.個人職能盤點'!$G$2:$G$1486,"&gt;0"),"-"))</f>
        <v/>
      </c>
      <c r="K202" s="123">
        <f>IF(A202="","",IFERROR(AVERAGEIFS('4.個人職能盤點'!$I$2:$I$1486,'4.個人職能盤點'!$A$2:$A$1486,A202,'4.個人職能盤點'!$E$2:$E$1486,"管理職能",'4.個人職能盤點'!$G$2:$G$1486,"&gt;0"),"-"))</f>
        <v/>
      </c>
      <c r="L202" s="123">
        <f>IF(A202="","",IFERROR(AVERAGEIFS('4.個人職能盤點'!$I$2:$I$1486,'4.個人職能盤點'!$A$2:$A$1486,A202,'4.個人職能盤點'!$E$2:$E$1486,"專業職能",'4.個人職能盤點'!$G$2:$G$1486,"&gt;0"),"-"))</f>
        <v/>
      </c>
      <c r="M202" s="120">
        <f>IF(H202="","",IF(H202&gt;=0.9,"優秀",IF(H202&gt;=0.7,"符合期待","需加強發展")))</f>
        <v/>
      </c>
    </row>
    <row r="203" ht="15.75" customHeight="1" s="64"/>
    <row r="204" ht="15.75" customHeight="1" s="64">
      <c r="A204" s="115" t="inlineStr">
        <is>
          <t>判定門檻（可調整）：達成率 ≥90% 優秀；70%–89% 符合期待；&lt;70% 需加強發展。達成率＝(達標＋超越)÷已評項目數（不含不適用）。</t>
        </is>
      </c>
    </row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conditionalFormatting sqref="M2:M202">
    <cfRule type="cellIs" rank="0" priority="2" equalAverage="0" operator="equal" aboveAverage="0" dxfId="8" text="" percent="0" bottom="0">
      <formula>"需加強發展"</formula>
    </cfRule>
    <cfRule type="cellIs" rank="0" priority="3" equalAverage="0" operator="equal" aboveAverage="0" dxfId="9" text="" percent="0" bottom="0">
      <formula>"優秀"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1" customWidth="1" style="63" min="1" max="1"/>
    <col width="19.14" customWidth="1" style="63" min="2" max="2"/>
    <col width="10" customWidth="1" style="63" min="3" max="3"/>
    <col width="12" customWidth="1" style="63" min="4" max="4"/>
    <col width="13" customWidth="1" style="63" min="5" max="5"/>
    <col width="10" customWidth="1" style="63" min="6" max="6"/>
    <col width="11" customWidth="1" style="63" min="7" max="8"/>
    <col width="14" customWidth="1" style="63" min="9" max="9"/>
    <col width="8.710000000000001" customWidth="1" style="63" min="10" max="26"/>
  </cols>
  <sheetData>
    <row r="1" ht="31.5" customHeight="1" s="64">
      <c r="A1" s="86" t="inlineStr">
        <is>
          <t>職能類別</t>
        </is>
      </c>
      <c r="B1" s="86" t="inlineStr">
        <is>
          <t>職能項目</t>
        </is>
      </c>
      <c r="C1" s="86" t="inlineStr">
        <is>
          <t>評核人數</t>
        </is>
      </c>
      <c r="D1" s="86" t="inlineStr">
        <is>
          <t>平均要求等級</t>
        </is>
      </c>
      <c r="E1" s="86" t="inlineStr">
        <is>
          <t>平均主管評等級</t>
        </is>
      </c>
      <c r="F1" s="86" t="inlineStr">
        <is>
          <t>平均差距</t>
        </is>
      </c>
      <c r="G1" s="86" t="inlineStr">
        <is>
          <t>待發展人數</t>
        </is>
      </c>
      <c r="H1" s="86" t="inlineStr">
        <is>
          <t>待發展比例</t>
        </is>
      </c>
      <c r="I1" s="86" t="inlineStr">
        <is>
          <t>建議訓練優先序</t>
        </is>
      </c>
    </row>
    <row r="2" ht="15" customHeight="1" s="64">
      <c r="A2" s="120">
        <f>'1.職能辭典'!A2</f>
        <v/>
      </c>
      <c r="B2" s="124">
        <f>'1.職能辭典'!C2</f>
        <v/>
      </c>
      <c r="C2" s="120">
        <f>COUNTIFS('4.個人職能盤點'!$F$2:$F$1486,B2,'4.個人職能盤點'!$K$2:$K$1486,"達標")+COUNTIFS('4.個人職能盤點'!$F$2:$F$1486,B2,'4.個人職能盤點'!$K$2:$K$1486,"超越")+COUNTIFS('4.個人職能盤點'!$F$2:$F$1486,B2,'4.個人職能盤點'!$K$2:$K$1486,"待發展")</f>
        <v/>
      </c>
      <c r="D2" s="123">
        <f>IF(C2=0,"",AVERAGEIFS('4.個人職能盤點'!$G$2:$G$1486,'4.個人職能盤點'!$F$2:$F$1486,B2,'4.個人職能盤點'!$I$2:$I$1486,"&gt;0",'4.個人職能盤點'!$G$2:$G$1486,"&gt;0"))</f>
        <v/>
      </c>
      <c r="E2" s="123">
        <f>IF(C2=0,"",AVERAGEIFS('4.個人職能盤點'!$I$2:$I$1486,'4.個人職能盤點'!$F$2:$F$1486,B2,'4.個人職能盤點'!$I$2:$I$1486,"&gt;0",'4.個人職能盤點'!$G$2:$G$1486,"&gt;0"))</f>
        <v/>
      </c>
      <c r="F2" s="122">
        <f>IF(C2=0,"",E2-D2)</f>
        <v/>
      </c>
      <c r="G2" s="120">
        <f>COUNTIFS('4.個人職能盤點'!$F$2:$F$1486,B2,'4.個人職能盤點'!$K$2:$K$1486,"待發展")</f>
        <v/>
      </c>
      <c r="H2" s="121">
        <f>IF(C2=0,"",G2/C2)</f>
        <v/>
      </c>
      <c r="I2" s="120">
        <f>IF(H2="","",IF(H2&gt;=0.5,"高",IF(H2&gt;=0.25,"中","低")))</f>
        <v/>
      </c>
    </row>
    <row r="3" ht="15" customHeight="1" s="64">
      <c r="A3" s="120">
        <f>'1.職能辭典'!A3</f>
        <v/>
      </c>
      <c r="B3" s="124">
        <f>'1.職能辭典'!C3</f>
        <v/>
      </c>
      <c r="C3" s="120">
        <f>COUNTIFS('4.個人職能盤點'!$F$2:$F$1486,B3,'4.個人職能盤點'!$K$2:$K$1486,"達標")+COUNTIFS('4.個人職能盤點'!$F$2:$F$1486,B3,'4.個人職能盤點'!$K$2:$K$1486,"超越")+COUNTIFS('4.個人職能盤點'!$F$2:$F$1486,B3,'4.個人職能盤點'!$K$2:$K$1486,"待發展")</f>
        <v/>
      </c>
      <c r="D3" s="123">
        <f>IF(C3=0,"",AVERAGEIFS('4.個人職能盤點'!$G$2:$G$1486,'4.個人職能盤點'!$F$2:$F$1486,B3,'4.個人職能盤點'!$I$2:$I$1486,"&gt;0",'4.個人職能盤點'!$G$2:$G$1486,"&gt;0"))</f>
        <v/>
      </c>
      <c r="E3" s="123">
        <f>IF(C3=0,"",AVERAGEIFS('4.個人職能盤點'!$I$2:$I$1486,'4.個人職能盤點'!$F$2:$F$1486,B3,'4.個人職能盤點'!$I$2:$I$1486,"&gt;0",'4.個人職能盤點'!$G$2:$G$1486,"&gt;0"))</f>
        <v/>
      </c>
      <c r="F3" s="122">
        <f>IF(C3=0,"",E3-D3)</f>
        <v/>
      </c>
      <c r="G3" s="120">
        <f>COUNTIFS('4.個人職能盤點'!$F$2:$F$1486,B3,'4.個人職能盤點'!$K$2:$K$1486,"待發展")</f>
        <v/>
      </c>
      <c r="H3" s="121">
        <f>IF(C3=0,"",G3/C3)</f>
        <v/>
      </c>
      <c r="I3" s="120">
        <f>IF(H3="","",IF(H3&gt;=0.5,"高",IF(H3&gt;=0.25,"中","低")))</f>
        <v/>
      </c>
    </row>
    <row r="4" ht="15" customHeight="1" s="64">
      <c r="A4" s="120">
        <f>'1.職能辭典'!A4</f>
        <v/>
      </c>
      <c r="B4" s="124">
        <f>'1.職能辭典'!C4</f>
        <v/>
      </c>
      <c r="C4" s="120">
        <f>COUNTIFS('4.個人職能盤點'!$F$2:$F$1486,B4,'4.個人職能盤點'!$K$2:$K$1486,"達標")+COUNTIFS('4.個人職能盤點'!$F$2:$F$1486,B4,'4.個人職能盤點'!$K$2:$K$1486,"超越")+COUNTIFS('4.個人職能盤點'!$F$2:$F$1486,B4,'4.個人職能盤點'!$K$2:$K$1486,"待發展")</f>
        <v/>
      </c>
      <c r="D4" s="123">
        <f>IF(C4=0,"",AVERAGEIFS('4.個人職能盤點'!$G$2:$G$1486,'4.個人職能盤點'!$F$2:$F$1486,B4,'4.個人職能盤點'!$I$2:$I$1486,"&gt;0",'4.個人職能盤點'!$G$2:$G$1486,"&gt;0"))</f>
        <v/>
      </c>
      <c r="E4" s="123">
        <f>IF(C4=0,"",AVERAGEIFS('4.個人職能盤點'!$I$2:$I$1486,'4.個人職能盤點'!$F$2:$F$1486,B4,'4.個人職能盤點'!$I$2:$I$1486,"&gt;0",'4.個人職能盤點'!$G$2:$G$1486,"&gt;0"))</f>
        <v/>
      </c>
      <c r="F4" s="122">
        <f>IF(C4=0,"",E4-D4)</f>
        <v/>
      </c>
      <c r="G4" s="120">
        <f>COUNTIFS('4.個人職能盤點'!$F$2:$F$1486,B4,'4.個人職能盤點'!$K$2:$K$1486,"待發展")</f>
        <v/>
      </c>
      <c r="H4" s="121">
        <f>IF(C4=0,"",G4/C4)</f>
        <v/>
      </c>
      <c r="I4" s="120">
        <f>IF(H4="","",IF(H4&gt;=0.5,"高",IF(H4&gt;=0.25,"中","低")))</f>
        <v/>
      </c>
    </row>
    <row r="5" ht="15" customHeight="1" s="64">
      <c r="A5" s="120">
        <f>'1.職能辭典'!A5</f>
        <v/>
      </c>
      <c r="B5" s="124">
        <f>'1.職能辭典'!C5</f>
        <v/>
      </c>
      <c r="C5" s="120">
        <f>COUNTIFS('4.個人職能盤點'!$F$2:$F$1486,B5,'4.個人職能盤點'!$K$2:$K$1486,"達標")+COUNTIFS('4.個人職能盤點'!$F$2:$F$1486,B5,'4.個人職能盤點'!$K$2:$K$1486,"超越")+COUNTIFS('4.個人職能盤點'!$F$2:$F$1486,B5,'4.個人職能盤點'!$K$2:$K$1486,"待發展")</f>
        <v/>
      </c>
      <c r="D5" s="123">
        <f>IF(C5=0,"",AVERAGEIFS('4.個人職能盤點'!$G$2:$G$1486,'4.個人職能盤點'!$F$2:$F$1486,B5,'4.個人職能盤點'!$I$2:$I$1486,"&gt;0",'4.個人職能盤點'!$G$2:$G$1486,"&gt;0"))</f>
        <v/>
      </c>
      <c r="E5" s="123">
        <f>IF(C5=0,"",AVERAGEIFS('4.個人職能盤點'!$I$2:$I$1486,'4.個人職能盤點'!$F$2:$F$1486,B5,'4.個人職能盤點'!$I$2:$I$1486,"&gt;0",'4.個人職能盤點'!$G$2:$G$1486,"&gt;0"))</f>
        <v/>
      </c>
      <c r="F5" s="122">
        <f>IF(C5=0,"",E5-D5)</f>
        <v/>
      </c>
      <c r="G5" s="120">
        <f>COUNTIFS('4.個人職能盤點'!$F$2:$F$1486,B5,'4.個人職能盤點'!$K$2:$K$1486,"待發展")</f>
        <v/>
      </c>
      <c r="H5" s="121">
        <f>IF(C5=0,"",G5/C5)</f>
        <v/>
      </c>
      <c r="I5" s="120">
        <f>IF(H5="","",IF(H5&gt;=0.5,"高",IF(H5&gt;=0.25,"中","低")))</f>
        <v/>
      </c>
    </row>
    <row r="6" ht="15" customHeight="1" s="64">
      <c r="A6" s="120">
        <f>'1.職能辭典'!A6</f>
        <v/>
      </c>
      <c r="B6" s="124">
        <f>'1.職能辭典'!C6</f>
        <v/>
      </c>
      <c r="C6" s="120">
        <f>COUNTIFS('4.個人職能盤點'!$F$2:$F$1486,B6,'4.個人職能盤點'!$K$2:$K$1486,"達標")+COUNTIFS('4.個人職能盤點'!$F$2:$F$1486,B6,'4.個人職能盤點'!$K$2:$K$1486,"超越")+COUNTIFS('4.個人職能盤點'!$F$2:$F$1486,B6,'4.個人職能盤點'!$K$2:$K$1486,"待發展")</f>
        <v/>
      </c>
      <c r="D6" s="123">
        <f>IF(C6=0,"",AVERAGEIFS('4.個人職能盤點'!$G$2:$G$1486,'4.個人職能盤點'!$F$2:$F$1486,B6,'4.個人職能盤點'!$I$2:$I$1486,"&gt;0",'4.個人職能盤點'!$G$2:$G$1486,"&gt;0"))</f>
        <v/>
      </c>
      <c r="E6" s="123">
        <f>IF(C6=0,"",AVERAGEIFS('4.個人職能盤點'!$I$2:$I$1486,'4.個人職能盤點'!$F$2:$F$1486,B6,'4.個人職能盤點'!$I$2:$I$1486,"&gt;0",'4.個人職能盤點'!$G$2:$G$1486,"&gt;0"))</f>
        <v/>
      </c>
      <c r="F6" s="122">
        <f>IF(C6=0,"",E6-D6)</f>
        <v/>
      </c>
      <c r="G6" s="120">
        <f>COUNTIFS('4.個人職能盤點'!$F$2:$F$1486,B6,'4.個人職能盤點'!$K$2:$K$1486,"待發展")</f>
        <v/>
      </c>
      <c r="H6" s="121">
        <f>IF(C6=0,"",G6/C6)</f>
        <v/>
      </c>
      <c r="I6" s="120">
        <f>IF(H6="","",IF(H6&gt;=0.5,"高",IF(H6&gt;=0.25,"中","低")))</f>
        <v/>
      </c>
    </row>
    <row r="7" ht="15" customHeight="1" s="64">
      <c r="A7" s="120">
        <f>'1.職能辭典'!A7</f>
        <v/>
      </c>
      <c r="B7" s="124">
        <f>'1.職能辭典'!C7</f>
        <v/>
      </c>
      <c r="C7" s="120">
        <f>COUNTIFS('4.個人職能盤點'!$F$2:$F$1486,B7,'4.個人職能盤點'!$K$2:$K$1486,"達標")+COUNTIFS('4.個人職能盤點'!$F$2:$F$1486,B7,'4.個人職能盤點'!$K$2:$K$1486,"超越")+COUNTIFS('4.個人職能盤點'!$F$2:$F$1486,B7,'4.個人職能盤點'!$K$2:$K$1486,"待發展")</f>
        <v/>
      </c>
      <c r="D7" s="123">
        <f>IF(C7=0,"",AVERAGEIFS('4.個人職能盤點'!$G$2:$G$1486,'4.個人職能盤點'!$F$2:$F$1486,B7,'4.個人職能盤點'!$I$2:$I$1486,"&gt;0",'4.個人職能盤點'!$G$2:$G$1486,"&gt;0"))</f>
        <v/>
      </c>
      <c r="E7" s="123">
        <f>IF(C7=0,"",AVERAGEIFS('4.個人職能盤點'!$I$2:$I$1486,'4.個人職能盤點'!$F$2:$F$1486,B7,'4.個人職能盤點'!$I$2:$I$1486,"&gt;0",'4.個人職能盤點'!$G$2:$G$1486,"&gt;0"))</f>
        <v/>
      </c>
      <c r="F7" s="122">
        <f>IF(C7=0,"",E7-D7)</f>
        <v/>
      </c>
      <c r="G7" s="120">
        <f>COUNTIFS('4.個人職能盤點'!$F$2:$F$1486,B7,'4.個人職能盤點'!$K$2:$K$1486,"待發展")</f>
        <v/>
      </c>
      <c r="H7" s="121">
        <f>IF(C7=0,"",G7/C7)</f>
        <v/>
      </c>
      <c r="I7" s="120">
        <f>IF(H7="","",IF(H7&gt;=0.5,"高",IF(H7&gt;=0.25,"中","低")))</f>
        <v/>
      </c>
    </row>
    <row r="8" ht="15" customHeight="1" s="64">
      <c r="A8" s="120">
        <f>'1.職能辭典'!A8</f>
        <v/>
      </c>
      <c r="B8" s="124">
        <f>'1.職能辭典'!C8</f>
        <v/>
      </c>
      <c r="C8" s="120">
        <f>COUNTIFS('4.個人職能盤點'!$F$2:$F$1486,B8,'4.個人職能盤點'!$K$2:$K$1486,"達標")+COUNTIFS('4.個人職能盤點'!$F$2:$F$1486,B8,'4.個人職能盤點'!$K$2:$K$1486,"超越")+COUNTIFS('4.個人職能盤點'!$F$2:$F$1486,B8,'4.個人職能盤點'!$K$2:$K$1486,"待發展")</f>
        <v/>
      </c>
      <c r="D8" s="123">
        <f>IF(C8=0,"",AVERAGEIFS('4.個人職能盤點'!$G$2:$G$1486,'4.個人職能盤點'!$F$2:$F$1486,B8,'4.個人職能盤點'!$I$2:$I$1486,"&gt;0",'4.個人職能盤點'!$G$2:$G$1486,"&gt;0"))</f>
        <v/>
      </c>
      <c r="E8" s="123">
        <f>IF(C8=0,"",AVERAGEIFS('4.個人職能盤點'!$I$2:$I$1486,'4.個人職能盤點'!$F$2:$F$1486,B8,'4.個人職能盤點'!$I$2:$I$1486,"&gt;0",'4.個人職能盤點'!$G$2:$G$1486,"&gt;0"))</f>
        <v/>
      </c>
      <c r="F8" s="122">
        <f>IF(C8=0,"",E8-D8)</f>
        <v/>
      </c>
      <c r="G8" s="120">
        <f>COUNTIFS('4.個人職能盤點'!$F$2:$F$1486,B8,'4.個人職能盤點'!$K$2:$K$1486,"待發展")</f>
        <v/>
      </c>
      <c r="H8" s="121">
        <f>IF(C8=0,"",G8/C8)</f>
        <v/>
      </c>
      <c r="I8" s="120">
        <f>IF(H8="","",IF(H8&gt;=0.5,"高",IF(H8&gt;=0.25,"中","低")))</f>
        <v/>
      </c>
    </row>
    <row r="9" ht="15" customHeight="1" s="64">
      <c r="A9" s="120">
        <f>'1.職能辭典'!A9</f>
        <v/>
      </c>
      <c r="B9" s="124">
        <f>'1.職能辭典'!C9</f>
        <v/>
      </c>
      <c r="C9" s="120">
        <f>COUNTIFS('4.個人職能盤點'!$F$2:$F$1486,B9,'4.個人職能盤點'!$K$2:$K$1486,"達標")+COUNTIFS('4.個人職能盤點'!$F$2:$F$1486,B9,'4.個人職能盤點'!$K$2:$K$1486,"超越")+COUNTIFS('4.個人職能盤點'!$F$2:$F$1486,B9,'4.個人職能盤點'!$K$2:$K$1486,"待發展")</f>
        <v/>
      </c>
      <c r="D9" s="123">
        <f>IF(C9=0,"",AVERAGEIFS('4.個人職能盤點'!$G$2:$G$1486,'4.個人職能盤點'!$F$2:$F$1486,B9,'4.個人職能盤點'!$I$2:$I$1486,"&gt;0",'4.個人職能盤點'!$G$2:$G$1486,"&gt;0"))</f>
        <v/>
      </c>
      <c r="E9" s="123">
        <f>IF(C9=0,"",AVERAGEIFS('4.個人職能盤點'!$I$2:$I$1486,'4.個人職能盤點'!$F$2:$F$1486,B9,'4.個人職能盤點'!$I$2:$I$1486,"&gt;0",'4.個人職能盤點'!$G$2:$G$1486,"&gt;0"))</f>
        <v/>
      </c>
      <c r="F9" s="122">
        <f>IF(C9=0,"",E9-D9)</f>
        <v/>
      </c>
      <c r="G9" s="120">
        <f>COUNTIFS('4.個人職能盤點'!$F$2:$F$1486,B9,'4.個人職能盤點'!$K$2:$K$1486,"待發展")</f>
        <v/>
      </c>
      <c r="H9" s="121">
        <f>IF(C9=0,"",G9/C9)</f>
        <v/>
      </c>
      <c r="I9" s="120">
        <f>IF(H9="","",IF(H9&gt;=0.5,"高",IF(H9&gt;=0.25,"中","低")))</f>
        <v/>
      </c>
    </row>
    <row r="10" ht="15" customHeight="1" s="64">
      <c r="A10" s="120">
        <f>'1.職能辭典'!A10</f>
        <v/>
      </c>
      <c r="B10" s="124">
        <f>'1.職能辭典'!C10</f>
        <v/>
      </c>
      <c r="C10" s="120">
        <f>COUNTIFS('4.個人職能盤點'!$F$2:$F$1486,B10,'4.個人職能盤點'!$K$2:$K$1486,"達標")+COUNTIFS('4.個人職能盤點'!$F$2:$F$1486,B10,'4.個人職能盤點'!$K$2:$K$1486,"超越")+COUNTIFS('4.個人職能盤點'!$F$2:$F$1486,B10,'4.個人職能盤點'!$K$2:$K$1486,"待發展")</f>
        <v/>
      </c>
      <c r="D10" s="123">
        <f>IF(C10=0,"",AVERAGEIFS('4.個人職能盤點'!$G$2:$G$1486,'4.個人職能盤點'!$F$2:$F$1486,B10,'4.個人職能盤點'!$I$2:$I$1486,"&gt;0",'4.個人職能盤點'!$G$2:$G$1486,"&gt;0"))</f>
        <v/>
      </c>
      <c r="E10" s="123">
        <f>IF(C10=0,"",AVERAGEIFS('4.個人職能盤點'!$I$2:$I$1486,'4.個人職能盤點'!$F$2:$F$1486,B10,'4.個人職能盤點'!$I$2:$I$1486,"&gt;0",'4.個人職能盤點'!$G$2:$G$1486,"&gt;0"))</f>
        <v/>
      </c>
      <c r="F10" s="122">
        <f>IF(C10=0,"",E10-D10)</f>
        <v/>
      </c>
      <c r="G10" s="120">
        <f>COUNTIFS('4.個人職能盤點'!$F$2:$F$1486,B10,'4.個人職能盤點'!$K$2:$K$1486,"待發展")</f>
        <v/>
      </c>
      <c r="H10" s="121">
        <f>IF(C10=0,"",G10/C10)</f>
        <v/>
      </c>
      <c r="I10" s="120">
        <f>IF(H10="","",IF(H10&gt;=0.5,"高",IF(H10&gt;=0.25,"中","低")))</f>
        <v/>
      </c>
    </row>
    <row r="11" ht="15" customHeight="1" s="64">
      <c r="A11" s="120">
        <f>'1.職能辭典'!A11</f>
        <v/>
      </c>
      <c r="B11" s="124">
        <f>'1.職能辭典'!C11</f>
        <v/>
      </c>
      <c r="C11" s="120">
        <f>COUNTIFS('4.個人職能盤點'!$F$2:$F$1486,B11,'4.個人職能盤點'!$K$2:$K$1486,"達標")+COUNTIFS('4.個人職能盤點'!$F$2:$F$1486,B11,'4.個人職能盤點'!$K$2:$K$1486,"超越")+COUNTIFS('4.個人職能盤點'!$F$2:$F$1486,B11,'4.個人職能盤點'!$K$2:$K$1486,"待發展")</f>
        <v/>
      </c>
      <c r="D11" s="123">
        <f>IF(C11=0,"",AVERAGEIFS('4.個人職能盤點'!$G$2:$G$1486,'4.個人職能盤點'!$F$2:$F$1486,B11,'4.個人職能盤點'!$I$2:$I$1486,"&gt;0",'4.個人職能盤點'!$G$2:$G$1486,"&gt;0"))</f>
        <v/>
      </c>
      <c r="E11" s="123">
        <f>IF(C11=0,"",AVERAGEIFS('4.個人職能盤點'!$I$2:$I$1486,'4.個人職能盤點'!$F$2:$F$1486,B11,'4.個人職能盤點'!$I$2:$I$1486,"&gt;0",'4.個人職能盤點'!$G$2:$G$1486,"&gt;0"))</f>
        <v/>
      </c>
      <c r="F11" s="122">
        <f>IF(C11=0,"",E11-D11)</f>
        <v/>
      </c>
      <c r="G11" s="120">
        <f>COUNTIFS('4.個人職能盤點'!$F$2:$F$1486,B11,'4.個人職能盤點'!$K$2:$K$1486,"待發展")</f>
        <v/>
      </c>
      <c r="H11" s="121">
        <f>IF(C11=0,"",G11/C11)</f>
        <v/>
      </c>
      <c r="I11" s="120">
        <f>IF(H11="","",IF(H11&gt;=0.5,"高",IF(H11&gt;=0.25,"中","低")))</f>
        <v/>
      </c>
    </row>
    <row r="12" ht="15" customHeight="1" s="64">
      <c r="A12" s="120">
        <f>'1.職能辭典'!A12</f>
        <v/>
      </c>
      <c r="B12" s="124">
        <f>'1.職能辭典'!C12</f>
        <v/>
      </c>
      <c r="C12" s="120">
        <f>COUNTIFS('4.個人職能盤點'!$F$2:$F$1486,B12,'4.個人職能盤點'!$K$2:$K$1486,"達標")+COUNTIFS('4.個人職能盤點'!$F$2:$F$1486,B12,'4.個人職能盤點'!$K$2:$K$1486,"超越")+COUNTIFS('4.個人職能盤點'!$F$2:$F$1486,B12,'4.個人職能盤點'!$K$2:$K$1486,"待發展")</f>
        <v/>
      </c>
      <c r="D12" s="123">
        <f>IF(C12=0,"",AVERAGEIFS('4.個人職能盤點'!$G$2:$G$1486,'4.個人職能盤點'!$F$2:$F$1486,B12,'4.個人職能盤點'!$I$2:$I$1486,"&gt;0",'4.個人職能盤點'!$G$2:$G$1486,"&gt;0"))</f>
        <v/>
      </c>
      <c r="E12" s="123">
        <f>IF(C12=0,"",AVERAGEIFS('4.個人職能盤點'!$I$2:$I$1486,'4.個人職能盤點'!$F$2:$F$1486,B12,'4.個人職能盤點'!$I$2:$I$1486,"&gt;0",'4.個人職能盤點'!$G$2:$G$1486,"&gt;0"))</f>
        <v/>
      </c>
      <c r="F12" s="122">
        <f>IF(C12=0,"",E12-D12)</f>
        <v/>
      </c>
      <c r="G12" s="120">
        <f>COUNTIFS('4.個人職能盤點'!$F$2:$F$1486,B12,'4.個人職能盤點'!$K$2:$K$1486,"待發展")</f>
        <v/>
      </c>
      <c r="H12" s="121">
        <f>IF(C12=0,"",G12/C12)</f>
        <v/>
      </c>
      <c r="I12" s="120">
        <f>IF(H12="","",IF(H12&gt;=0.5,"高",IF(H12&gt;=0.25,"中","低")))</f>
        <v/>
      </c>
    </row>
    <row r="13" ht="15" customHeight="1" s="64">
      <c r="A13" s="120">
        <f>'1.職能辭典'!A13</f>
        <v/>
      </c>
      <c r="B13" s="124">
        <f>'1.職能辭典'!C13</f>
        <v/>
      </c>
      <c r="C13" s="120">
        <f>COUNTIFS('4.個人職能盤點'!$F$2:$F$1486,B13,'4.個人職能盤點'!$K$2:$K$1486,"達標")+COUNTIFS('4.個人職能盤點'!$F$2:$F$1486,B13,'4.個人職能盤點'!$K$2:$K$1486,"超越")+COUNTIFS('4.個人職能盤點'!$F$2:$F$1486,B13,'4.個人職能盤點'!$K$2:$K$1486,"待發展")</f>
        <v/>
      </c>
      <c r="D13" s="123">
        <f>IF(C13=0,"",AVERAGEIFS('4.個人職能盤點'!$G$2:$G$1486,'4.個人職能盤點'!$F$2:$F$1486,B13,'4.個人職能盤點'!$I$2:$I$1486,"&gt;0",'4.個人職能盤點'!$G$2:$G$1486,"&gt;0"))</f>
        <v/>
      </c>
      <c r="E13" s="123">
        <f>IF(C13=0,"",AVERAGEIFS('4.個人職能盤點'!$I$2:$I$1486,'4.個人職能盤點'!$F$2:$F$1486,B13,'4.個人職能盤點'!$I$2:$I$1486,"&gt;0",'4.個人職能盤點'!$G$2:$G$1486,"&gt;0"))</f>
        <v/>
      </c>
      <c r="F13" s="122">
        <f>IF(C13=0,"",E13-D13)</f>
        <v/>
      </c>
      <c r="G13" s="120">
        <f>COUNTIFS('4.個人職能盤點'!$F$2:$F$1486,B13,'4.個人職能盤點'!$K$2:$K$1486,"待發展")</f>
        <v/>
      </c>
      <c r="H13" s="121">
        <f>IF(C13=0,"",G13/C13)</f>
        <v/>
      </c>
      <c r="I13" s="120">
        <f>IF(H13="","",IF(H13&gt;=0.5,"高",IF(H13&gt;=0.25,"中","低")))</f>
        <v/>
      </c>
    </row>
    <row r="14" ht="15" customHeight="1" s="64">
      <c r="A14" s="120">
        <f>'1.職能辭典'!A14</f>
        <v/>
      </c>
      <c r="B14" s="124">
        <f>'1.職能辭典'!C14</f>
        <v/>
      </c>
      <c r="C14" s="120">
        <f>COUNTIFS('4.個人職能盤點'!$F$2:$F$1486,B14,'4.個人職能盤點'!$K$2:$K$1486,"達標")+COUNTIFS('4.個人職能盤點'!$F$2:$F$1486,B14,'4.個人職能盤點'!$K$2:$K$1486,"超越")+COUNTIFS('4.個人職能盤點'!$F$2:$F$1486,B14,'4.個人職能盤點'!$K$2:$K$1486,"待發展")</f>
        <v/>
      </c>
      <c r="D14" s="123">
        <f>IF(C14=0,"",AVERAGEIFS('4.個人職能盤點'!$G$2:$G$1486,'4.個人職能盤點'!$F$2:$F$1486,B14,'4.個人職能盤點'!$I$2:$I$1486,"&gt;0",'4.個人職能盤點'!$G$2:$G$1486,"&gt;0"))</f>
        <v/>
      </c>
      <c r="E14" s="123">
        <f>IF(C14=0,"",AVERAGEIFS('4.個人職能盤點'!$I$2:$I$1486,'4.個人職能盤點'!$F$2:$F$1486,B14,'4.個人職能盤點'!$I$2:$I$1486,"&gt;0",'4.個人職能盤點'!$G$2:$G$1486,"&gt;0"))</f>
        <v/>
      </c>
      <c r="F14" s="122">
        <f>IF(C14=0,"",E14-D14)</f>
        <v/>
      </c>
      <c r="G14" s="120">
        <f>COUNTIFS('4.個人職能盤點'!$F$2:$F$1486,B14,'4.個人職能盤點'!$K$2:$K$1486,"待發展")</f>
        <v/>
      </c>
      <c r="H14" s="121">
        <f>IF(C14=0,"",G14/C14)</f>
        <v/>
      </c>
      <c r="I14" s="120">
        <f>IF(H14="","",IF(H14&gt;=0.5,"高",IF(H14&gt;=0.25,"中","低")))</f>
        <v/>
      </c>
    </row>
    <row r="15" ht="15" customHeight="1" s="64">
      <c r="A15" s="120">
        <f>'1.職能辭典'!A15</f>
        <v/>
      </c>
      <c r="B15" s="124">
        <f>'1.職能辭典'!C15</f>
        <v/>
      </c>
      <c r="C15" s="120">
        <f>COUNTIFS('4.個人職能盤點'!$F$2:$F$1486,B15,'4.個人職能盤點'!$K$2:$K$1486,"達標")+COUNTIFS('4.個人職能盤點'!$F$2:$F$1486,B15,'4.個人職能盤點'!$K$2:$K$1486,"超越")+COUNTIFS('4.個人職能盤點'!$F$2:$F$1486,B15,'4.個人職能盤點'!$K$2:$K$1486,"待發展")</f>
        <v/>
      </c>
      <c r="D15" s="123">
        <f>IF(C15=0,"",AVERAGEIFS('4.個人職能盤點'!$G$2:$G$1486,'4.個人職能盤點'!$F$2:$F$1486,B15,'4.個人職能盤點'!$I$2:$I$1486,"&gt;0",'4.個人職能盤點'!$G$2:$G$1486,"&gt;0"))</f>
        <v/>
      </c>
      <c r="E15" s="123">
        <f>IF(C15=0,"",AVERAGEIFS('4.個人職能盤點'!$I$2:$I$1486,'4.個人職能盤點'!$F$2:$F$1486,B15,'4.個人職能盤點'!$I$2:$I$1486,"&gt;0",'4.個人職能盤點'!$G$2:$G$1486,"&gt;0"))</f>
        <v/>
      </c>
      <c r="F15" s="122">
        <f>IF(C15=0,"",E15-D15)</f>
        <v/>
      </c>
      <c r="G15" s="120">
        <f>COUNTIFS('4.個人職能盤點'!$F$2:$F$1486,B15,'4.個人職能盤點'!$K$2:$K$1486,"待發展")</f>
        <v/>
      </c>
      <c r="H15" s="121">
        <f>IF(C15=0,"",G15/C15)</f>
        <v/>
      </c>
      <c r="I15" s="120">
        <f>IF(H15="","",IF(H15&gt;=0.5,"高",IF(H15&gt;=0.25,"中","低")))</f>
        <v/>
      </c>
    </row>
    <row r="16" ht="15" customHeight="1" s="64">
      <c r="A16" s="120">
        <f>'1.職能辭典'!A16</f>
        <v/>
      </c>
      <c r="B16" s="124">
        <f>'1.職能辭典'!C16</f>
        <v/>
      </c>
      <c r="C16" s="120">
        <f>COUNTIFS('4.個人職能盤點'!$F$2:$F$1486,B16,'4.個人職能盤點'!$K$2:$K$1486,"達標")+COUNTIFS('4.個人職能盤點'!$F$2:$F$1486,B16,'4.個人職能盤點'!$K$2:$K$1486,"超越")+COUNTIFS('4.個人職能盤點'!$F$2:$F$1486,B16,'4.個人職能盤點'!$K$2:$K$1486,"待發展")</f>
        <v/>
      </c>
      <c r="D16" s="123">
        <f>IF(C16=0,"",AVERAGEIFS('4.個人職能盤點'!$G$2:$G$1486,'4.個人職能盤點'!$F$2:$F$1486,B16,'4.個人職能盤點'!$I$2:$I$1486,"&gt;0",'4.個人職能盤點'!$G$2:$G$1486,"&gt;0"))</f>
        <v/>
      </c>
      <c r="E16" s="123">
        <f>IF(C16=0,"",AVERAGEIFS('4.個人職能盤點'!$I$2:$I$1486,'4.個人職能盤點'!$F$2:$F$1486,B16,'4.個人職能盤點'!$I$2:$I$1486,"&gt;0",'4.個人職能盤點'!$G$2:$G$1486,"&gt;0"))</f>
        <v/>
      </c>
      <c r="F16" s="122">
        <f>IF(C16=0,"",E16-D16)</f>
        <v/>
      </c>
      <c r="G16" s="120">
        <f>COUNTIFS('4.個人職能盤點'!$F$2:$F$1486,B16,'4.個人職能盤點'!$K$2:$K$1486,"待發展")</f>
        <v/>
      </c>
      <c r="H16" s="121">
        <f>IF(C16=0,"",G16/C16)</f>
        <v/>
      </c>
      <c r="I16" s="120">
        <f>IF(H16="","",IF(H16&gt;=0.5,"高",IF(H16&gt;=0.25,"中","低")))</f>
        <v/>
      </c>
    </row>
    <row r="17" ht="15" customHeight="1" s="64">
      <c r="A17" s="120">
        <f>'1.職能辭典'!A17</f>
        <v/>
      </c>
      <c r="B17" s="124">
        <f>'1.職能辭典'!C17</f>
        <v/>
      </c>
      <c r="C17" s="120">
        <f>COUNTIFS('4.個人職能盤點'!$F$2:$F$1486,B17,'4.個人職能盤點'!$K$2:$K$1486,"達標")+COUNTIFS('4.個人職能盤點'!$F$2:$F$1486,B17,'4.個人職能盤點'!$K$2:$K$1486,"超越")+COUNTIFS('4.個人職能盤點'!$F$2:$F$1486,B17,'4.個人職能盤點'!$K$2:$K$1486,"待發展")</f>
        <v/>
      </c>
      <c r="D17" s="123">
        <f>IF(C17=0,"",AVERAGEIFS('4.個人職能盤點'!$G$2:$G$1486,'4.個人職能盤點'!$F$2:$F$1486,B17,'4.個人職能盤點'!$I$2:$I$1486,"&gt;0",'4.個人職能盤點'!$G$2:$G$1486,"&gt;0"))</f>
        <v/>
      </c>
      <c r="E17" s="123">
        <f>IF(C17=0,"",AVERAGEIFS('4.個人職能盤點'!$I$2:$I$1486,'4.個人職能盤點'!$F$2:$F$1486,B17,'4.個人職能盤點'!$I$2:$I$1486,"&gt;0",'4.個人職能盤點'!$G$2:$G$1486,"&gt;0"))</f>
        <v/>
      </c>
      <c r="F17" s="122">
        <f>IF(C17=0,"",E17-D17)</f>
        <v/>
      </c>
      <c r="G17" s="120">
        <f>COUNTIFS('4.個人職能盤點'!$F$2:$F$1486,B17,'4.個人職能盤點'!$K$2:$K$1486,"待發展")</f>
        <v/>
      </c>
      <c r="H17" s="121">
        <f>IF(C17=0,"",G17/C17)</f>
        <v/>
      </c>
      <c r="I17" s="120">
        <f>IF(H17="","",IF(H17&gt;=0.5,"高",IF(H17&gt;=0.25,"中","低")))</f>
        <v/>
      </c>
    </row>
    <row r="18" ht="15" customHeight="1" s="64">
      <c r="A18" s="120">
        <f>'1.職能辭典'!A18</f>
        <v/>
      </c>
      <c r="B18" s="124">
        <f>'1.職能辭典'!C18</f>
        <v/>
      </c>
      <c r="C18" s="120">
        <f>COUNTIFS('4.個人職能盤點'!$F$2:$F$1486,B18,'4.個人職能盤點'!$K$2:$K$1486,"達標")+COUNTIFS('4.個人職能盤點'!$F$2:$F$1486,B18,'4.個人職能盤點'!$K$2:$K$1486,"超越")+COUNTIFS('4.個人職能盤點'!$F$2:$F$1486,B18,'4.個人職能盤點'!$K$2:$K$1486,"待發展")</f>
        <v/>
      </c>
      <c r="D18" s="123">
        <f>IF(C18=0,"",AVERAGEIFS('4.個人職能盤點'!$G$2:$G$1486,'4.個人職能盤點'!$F$2:$F$1486,B18,'4.個人職能盤點'!$I$2:$I$1486,"&gt;0",'4.個人職能盤點'!$G$2:$G$1486,"&gt;0"))</f>
        <v/>
      </c>
      <c r="E18" s="123">
        <f>IF(C18=0,"",AVERAGEIFS('4.個人職能盤點'!$I$2:$I$1486,'4.個人職能盤點'!$F$2:$F$1486,B18,'4.個人職能盤點'!$I$2:$I$1486,"&gt;0",'4.個人職能盤點'!$G$2:$G$1486,"&gt;0"))</f>
        <v/>
      </c>
      <c r="F18" s="122">
        <f>IF(C18=0,"",E18-D18)</f>
        <v/>
      </c>
      <c r="G18" s="120">
        <f>COUNTIFS('4.個人職能盤點'!$F$2:$F$1486,B18,'4.個人職能盤點'!$K$2:$K$1486,"待發展")</f>
        <v/>
      </c>
      <c r="H18" s="121">
        <f>IF(C18=0,"",G18/C18)</f>
        <v/>
      </c>
      <c r="I18" s="120">
        <f>IF(H18="","",IF(H18&gt;=0.5,"高",IF(H18&gt;=0.25,"中","低")))</f>
        <v/>
      </c>
    </row>
    <row r="19" ht="15" customHeight="1" s="64">
      <c r="A19" s="120">
        <f>'1.職能辭典'!A19</f>
        <v/>
      </c>
      <c r="B19" s="124">
        <f>'1.職能辭典'!C19</f>
        <v/>
      </c>
      <c r="C19" s="120">
        <f>COUNTIFS('4.個人職能盤點'!$F$2:$F$1486,B19,'4.個人職能盤點'!$K$2:$K$1486,"達標")+COUNTIFS('4.個人職能盤點'!$F$2:$F$1486,B19,'4.個人職能盤點'!$K$2:$K$1486,"超越")+COUNTIFS('4.個人職能盤點'!$F$2:$F$1486,B19,'4.個人職能盤點'!$K$2:$K$1486,"待發展")</f>
        <v/>
      </c>
      <c r="D19" s="123">
        <f>IF(C19=0,"",AVERAGEIFS('4.個人職能盤點'!$G$2:$G$1486,'4.個人職能盤點'!$F$2:$F$1486,B19,'4.個人職能盤點'!$I$2:$I$1486,"&gt;0",'4.個人職能盤點'!$G$2:$G$1486,"&gt;0"))</f>
        <v/>
      </c>
      <c r="E19" s="123">
        <f>IF(C19=0,"",AVERAGEIFS('4.個人職能盤點'!$I$2:$I$1486,'4.個人職能盤點'!$F$2:$F$1486,B19,'4.個人職能盤點'!$I$2:$I$1486,"&gt;0",'4.個人職能盤點'!$G$2:$G$1486,"&gt;0"))</f>
        <v/>
      </c>
      <c r="F19" s="122">
        <f>IF(C19=0,"",E19-D19)</f>
        <v/>
      </c>
      <c r="G19" s="120">
        <f>COUNTIFS('4.個人職能盤點'!$F$2:$F$1486,B19,'4.個人職能盤點'!$K$2:$K$1486,"待發展")</f>
        <v/>
      </c>
      <c r="H19" s="121">
        <f>IF(C19=0,"",G19/C19)</f>
        <v/>
      </c>
      <c r="I19" s="120">
        <f>IF(H19="","",IF(H19&gt;=0.5,"高",IF(H19&gt;=0.25,"中","低")))</f>
        <v/>
      </c>
    </row>
    <row r="20" ht="15" customHeight="1" s="64">
      <c r="A20" s="120">
        <f>'1.職能辭典'!A20</f>
        <v/>
      </c>
      <c r="B20" s="124">
        <f>'1.職能辭典'!C20</f>
        <v/>
      </c>
      <c r="C20" s="120">
        <f>COUNTIFS('4.個人職能盤點'!$F$2:$F$1486,B20,'4.個人職能盤點'!$K$2:$K$1486,"達標")+COUNTIFS('4.個人職能盤點'!$F$2:$F$1486,B20,'4.個人職能盤點'!$K$2:$K$1486,"超越")+COUNTIFS('4.個人職能盤點'!$F$2:$F$1486,B20,'4.個人職能盤點'!$K$2:$K$1486,"待發展")</f>
        <v/>
      </c>
      <c r="D20" s="123">
        <f>IF(C20=0,"",AVERAGEIFS('4.個人職能盤點'!$G$2:$G$1486,'4.個人職能盤點'!$F$2:$F$1486,B20,'4.個人職能盤點'!$I$2:$I$1486,"&gt;0",'4.個人職能盤點'!$G$2:$G$1486,"&gt;0"))</f>
        <v/>
      </c>
      <c r="E20" s="123">
        <f>IF(C20=0,"",AVERAGEIFS('4.個人職能盤點'!$I$2:$I$1486,'4.個人職能盤點'!$F$2:$F$1486,B20,'4.個人職能盤點'!$I$2:$I$1486,"&gt;0",'4.個人職能盤點'!$G$2:$G$1486,"&gt;0"))</f>
        <v/>
      </c>
      <c r="F20" s="122">
        <f>IF(C20=0,"",E20-D20)</f>
        <v/>
      </c>
      <c r="G20" s="120">
        <f>COUNTIFS('4.個人職能盤點'!$F$2:$F$1486,B20,'4.個人職能盤點'!$K$2:$K$1486,"待發展")</f>
        <v/>
      </c>
      <c r="H20" s="121">
        <f>IF(C20=0,"",G20/C20)</f>
        <v/>
      </c>
      <c r="I20" s="120">
        <f>IF(H20="","",IF(H20&gt;=0.5,"高",IF(H20&gt;=0.25,"中","低")))</f>
        <v/>
      </c>
    </row>
    <row r="21" ht="15.75" customHeight="1" s="64">
      <c r="A21" s="120">
        <f>'1.職能辭典'!A21</f>
        <v/>
      </c>
      <c r="B21" s="124">
        <f>'1.職能辭典'!C21</f>
        <v/>
      </c>
      <c r="C21" s="120">
        <f>COUNTIFS('4.個人職能盤點'!$F$2:$F$1486,B21,'4.個人職能盤點'!$K$2:$K$1486,"達標")+COUNTIFS('4.個人職能盤點'!$F$2:$F$1486,B21,'4.個人職能盤點'!$K$2:$K$1486,"超越")+COUNTIFS('4.個人職能盤點'!$F$2:$F$1486,B21,'4.個人職能盤點'!$K$2:$K$1486,"待發展")</f>
        <v/>
      </c>
      <c r="D21" s="123">
        <f>IF(C21=0,"",AVERAGEIFS('4.個人職能盤點'!$G$2:$G$1486,'4.個人職能盤點'!$F$2:$F$1486,B21,'4.個人職能盤點'!$I$2:$I$1486,"&gt;0",'4.個人職能盤點'!$G$2:$G$1486,"&gt;0"))</f>
        <v/>
      </c>
      <c r="E21" s="123">
        <f>IF(C21=0,"",AVERAGEIFS('4.個人職能盤點'!$I$2:$I$1486,'4.個人職能盤點'!$F$2:$F$1486,B21,'4.個人職能盤點'!$I$2:$I$1486,"&gt;0",'4.個人職能盤點'!$G$2:$G$1486,"&gt;0"))</f>
        <v/>
      </c>
      <c r="F21" s="122">
        <f>IF(C21=0,"",E21-D21)</f>
        <v/>
      </c>
      <c r="G21" s="120">
        <f>COUNTIFS('4.個人職能盤點'!$F$2:$F$1486,B21,'4.個人職能盤點'!$K$2:$K$1486,"待發展")</f>
        <v/>
      </c>
      <c r="H21" s="121">
        <f>IF(C21=0,"",G21/C21)</f>
        <v/>
      </c>
      <c r="I21" s="120">
        <f>IF(H21="","",IF(H21&gt;=0.5,"高",IF(H21&gt;=0.25,"中","低")))</f>
        <v/>
      </c>
    </row>
    <row r="22" ht="15.75" customHeight="1" s="64">
      <c r="A22" s="120">
        <f>'1.職能辭典'!A22</f>
        <v/>
      </c>
      <c r="B22" s="124">
        <f>'1.職能辭典'!C22</f>
        <v/>
      </c>
      <c r="C22" s="120">
        <f>COUNTIFS('4.個人職能盤點'!$F$2:$F$1486,B22,'4.個人職能盤點'!$K$2:$K$1486,"達標")+COUNTIFS('4.個人職能盤點'!$F$2:$F$1486,B22,'4.個人職能盤點'!$K$2:$K$1486,"超越")+COUNTIFS('4.個人職能盤點'!$F$2:$F$1486,B22,'4.個人職能盤點'!$K$2:$K$1486,"待發展")</f>
        <v/>
      </c>
      <c r="D22" s="123">
        <f>IF(C22=0,"",AVERAGEIFS('4.個人職能盤點'!$G$2:$G$1486,'4.個人職能盤點'!$F$2:$F$1486,B22,'4.個人職能盤點'!$I$2:$I$1486,"&gt;0",'4.個人職能盤點'!$G$2:$G$1486,"&gt;0"))</f>
        <v/>
      </c>
      <c r="E22" s="123">
        <f>IF(C22=0,"",AVERAGEIFS('4.個人職能盤點'!$I$2:$I$1486,'4.個人職能盤點'!$F$2:$F$1486,B22,'4.個人職能盤點'!$I$2:$I$1486,"&gt;0",'4.個人職能盤點'!$G$2:$G$1486,"&gt;0"))</f>
        <v/>
      </c>
      <c r="F22" s="122">
        <f>IF(C22=0,"",E22-D22)</f>
        <v/>
      </c>
      <c r="G22" s="120">
        <f>COUNTIFS('4.個人職能盤點'!$F$2:$F$1486,B22,'4.個人職能盤點'!$K$2:$K$1486,"待發展")</f>
        <v/>
      </c>
      <c r="H22" s="121">
        <f>IF(C22=0,"",G22/C22)</f>
        <v/>
      </c>
      <c r="I22" s="120">
        <f>IF(H22="","",IF(H22&gt;=0.5,"高",IF(H22&gt;=0.25,"中","低")))</f>
        <v/>
      </c>
    </row>
    <row r="23" ht="15.75" customHeight="1" s="64">
      <c r="A23" s="120">
        <f>'1.職能辭典'!A23</f>
        <v/>
      </c>
      <c r="B23" s="124">
        <f>'1.職能辭典'!C23</f>
        <v/>
      </c>
      <c r="C23" s="120">
        <f>COUNTIFS('4.個人職能盤點'!$F$2:$F$1486,B23,'4.個人職能盤點'!$K$2:$K$1486,"達標")+COUNTIFS('4.個人職能盤點'!$F$2:$F$1486,B23,'4.個人職能盤點'!$K$2:$K$1486,"超越")+COUNTIFS('4.個人職能盤點'!$F$2:$F$1486,B23,'4.個人職能盤點'!$K$2:$K$1486,"待發展")</f>
        <v/>
      </c>
      <c r="D23" s="123">
        <f>IF(C23=0,"",AVERAGEIFS('4.個人職能盤點'!$G$2:$G$1486,'4.個人職能盤點'!$F$2:$F$1486,B23,'4.個人職能盤點'!$I$2:$I$1486,"&gt;0",'4.個人職能盤點'!$G$2:$G$1486,"&gt;0"))</f>
        <v/>
      </c>
      <c r="E23" s="123">
        <f>IF(C23=0,"",AVERAGEIFS('4.個人職能盤點'!$I$2:$I$1486,'4.個人職能盤點'!$F$2:$F$1486,B23,'4.個人職能盤點'!$I$2:$I$1486,"&gt;0",'4.個人職能盤點'!$G$2:$G$1486,"&gt;0"))</f>
        <v/>
      </c>
      <c r="F23" s="122">
        <f>IF(C23=0,"",E23-D23)</f>
        <v/>
      </c>
      <c r="G23" s="120">
        <f>COUNTIFS('4.個人職能盤點'!$F$2:$F$1486,B23,'4.個人職能盤點'!$K$2:$K$1486,"待發展")</f>
        <v/>
      </c>
      <c r="H23" s="121">
        <f>IF(C23=0,"",G23/C23)</f>
        <v/>
      </c>
      <c r="I23" s="120">
        <f>IF(H23="","",IF(H23&gt;=0.5,"高",IF(H23&gt;=0.25,"中","低")))</f>
        <v/>
      </c>
    </row>
    <row r="24" ht="15.75" customHeight="1" s="64">
      <c r="A24" s="120">
        <f>'1.職能辭典'!A24</f>
        <v/>
      </c>
      <c r="B24" s="124">
        <f>'1.職能辭典'!C24</f>
        <v/>
      </c>
      <c r="C24" s="120">
        <f>COUNTIFS('4.個人職能盤點'!$F$2:$F$1486,B24,'4.個人職能盤點'!$K$2:$K$1486,"達標")+COUNTIFS('4.個人職能盤點'!$F$2:$F$1486,B24,'4.個人職能盤點'!$K$2:$K$1486,"超越")+COUNTIFS('4.個人職能盤點'!$F$2:$F$1486,B24,'4.個人職能盤點'!$K$2:$K$1486,"待發展")</f>
        <v/>
      </c>
      <c r="D24" s="123">
        <f>IF(C24=0,"",AVERAGEIFS('4.個人職能盤點'!$G$2:$G$1486,'4.個人職能盤點'!$F$2:$F$1486,B24,'4.個人職能盤點'!$I$2:$I$1486,"&gt;0",'4.個人職能盤點'!$G$2:$G$1486,"&gt;0"))</f>
        <v/>
      </c>
      <c r="E24" s="123">
        <f>IF(C24=0,"",AVERAGEIFS('4.個人職能盤點'!$I$2:$I$1486,'4.個人職能盤點'!$F$2:$F$1486,B24,'4.個人職能盤點'!$I$2:$I$1486,"&gt;0",'4.個人職能盤點'!$G$2:$G$1486,"&gt;0"))</f>
        <v/>
      </c>
      <c r="F24" s="122">
        <f>IF(C24=0,"",E24-D24)</f>
        <v/>
      </c>
      <c r="G24" s="120">
        <f>COUNTIFS('4.個人職能盤點'!$F$2:$F$1486,B24,'4.個人職能盤點'!$K$2:$K$1486,"待發展")</f>
        <v/>
      </c>
      <c r="H24" s="121">
        <f>IF(C24=0,"",G24/C24)</f>
        <v/>
      </c>
      <c r="I24" s="120">
        <f>IF(H24="","",IF(H24&gt;=0.5,"高",IF(H24&gt;=0.25,"中","低")))</f>
        <v/>
      </c>
    </row>
    <row r="25" ht="15.75" customHeight="1" s="64">
      <c r="A25" s="120">
        <f>'1.職能辭典'!A25</f>
        <v/>
      </c>
      <c r="B25" s="124">
        <f>'1.職能辭典'!C25</f>
        <v/>
      </c>
      <c r="C25" s="120">
        <f>COUNTIFS('4.個人職能盤點'!$F$2:$F$1486,B25,'4.個人職能盤點'!$K$2:$K$1486,"達標")+COUNTIFS('4.個人職能盤點'!$F$2:$F$1486,B25,'4.個人職能盤點'!$K$2:$K$1486,"超越")+COUNTIFS('4.個人職能盤點'!$F$2:$F$1486,B25,'4.個人職能盤點'!$K$2:$K$1486,"待發展")</f>
        <v/>
      </c>
      <c r="D25" s="123">
        <f>IF(C25=0,"",AVERAGEIFS('4.個人職能盤點'!$G$2:$G$1486,'4.個人職能盤點'!$F$2:$F$1486,B25,'4.個人職能盤點'!$I$2:$I$1486,"&gt;0",'4.個人職能盤點'!$G$2:$G$1486,"&gt;0"))</f>
        <v/>
      </c>
      <c r="E25" s="123">
        <f>IF(C25=0,"",AVERAGEIFS('4.個人職能盤點'!$I$2:$I$1486,'4.個人職能盤點'!$F$2:$F$1486,B25,'4.個人職能盤點'!$I$2:$I$1486,"&gt;0",'4.個人職能盤點'!$G$2:$G$1486,"&gt;0"))</f>
        <v/>
      </c>
      <c r="F25" s="122">
        <f>IF(C25=0,"",E25-D25)</f>
        <v/>
      </c>
      <c r="G25" s="120">
        <f>COUNTIFS('4.個人職能盤點'!$F$2:$F$1486,B25,'4.個人職能盤點'!$K$2:$K$1486,"待發展")</f>
        <v/>
      </c>
      <c r="H25" s="121">
        <f>IF(C25=0,"",G25/C25)</f>
        <v/>
      </c>
      <c r="I25" s="120">
        <f>IF(H25="","",IF(H25&gt;=0.5,"高",IF(H25&gt;=0.25,"中","低")))</f>
        <v/>
      </c>
    </row>
    <row r="26" ht="15.75" customHeight="1" s="64">
      <c r="A26" s="120">
        <f>'1.職能辭典'!A26</f>
        <v/>
      </c>
      <c r="B26" s="124">
        <f>'1.職能辭典'!C26</f>
        <v/>
      </c>
      <c r="C26" s="120">
        <f>COUNTIFS('4.個人職能盤點'!$F$2:$F$1486,B26,'4.個人職能盤點'!$K$2:$K$1486,"達標")+COUNTIFS('4.個人職能盤點'!$F$2:$F$1486,B26,'4.個人職能盤點'!$K$2:$K$1486,"超越")+COUNTIFS('4.個人職能盤點'!$F$2:$F$1486,B26,'4.個人職能盤點'!$K$2:$K$1486,"待發展")</f>
        <v/>
      </c>
      <c r="D26" s="123">
        <f>IF(C26=0,"",AVERAGEIFS('4.個人職能盤點'!$G$2:$G$1486,'4.個人職能盤點'!$F$2:$F$1486,B26,'4.個人職能盤點'!$I$2:$I$1486,"&gt;0",'4.個人職能盤點'!$G$2:$G$1486,"&gt;0"))</f>
        <v/>
      </c>
      <c r="E26" s="123">
        <f>IF(C26=0,"",AVERAGEIFS('4.個人職能盤點'!$I$2:$I$1486,'4.個人職能盤點'!$F$2:$F$1486,B26,'4.個人職能盤點'!$I$2:$I$1486,"&gt;0",'4.個人職能盤點'!$G$2:$G$1486,"&gt;0"))</f>
        <v/>
      </c>
      <c r="F26" s="122">
        <f>IF(C26=0,"",E26-D26)</f>
        <v/>
      </c>
      <c r="G26" s="120">
        <f>COUNTIFS('4.個人職能盤點'!$F$2:$F$1486,B26,'4.個人職能盤點'!$K$2:$K$1486,"待發展")</f>
        <v/>
      </c>
      <c r="H26" s="121">
        <f>IF(C26=0,"",G26/C26)</f>
        <v/>
      </c>
      <c r="I26" s="120">
        <f>IF(H26="","",IF(H26&gt;=0.5,"高",IF(H26&gt;=0.25,"中","低")))</f>
        <v/>
      </c>
    </row>
    <row r="27" ht="15.75" customHeight="1" s="64">
      <c r="A27" s="120">
        <f>'1.職能辭典'!A27</f>
        <v/>
      </c>
      <c r="B27" s="124">
        <f>'1.職能辭典'!C27</f>
        <v/>
      </c>
      <c r="C27" s="120">
        <f>COUNTIFS('4.個人職能盤點'!$F$2:$F$1486,B27,'4.個人職能盤點'!$K$2:$K$1486,"達標")+COUNTIFS('4.個人職能盤點'!$F$2:$F$1486,B27,'4.個人職能盤點'!$K$2:$K$1486,"超越")+COUNTIFS('4.個人職能盤點'!$F$2:$F$1486,B27,'4.個人職能盤點'!$K$2:$K$1486,"待發展")</f>
        <v/>
      </c>
      <c r="D27" s="123">
        <f>IF(C27=0,"",AVERAGEIFS('4.個人職能盤點'!$G$2:$G$1486,'4.個人職能盤點'!$F$2:$F$1486,B27,'4.個人職能盤點'!$I$2:$I$1486,"&gt;0",'4.個人職能盤點'!$G$2:$G$1486,"&gt;0"))</f>
        <v/>
      </c>
      <c r="E27" s="123">
        <f>IF(C27=0,"",AVERAGEIFS('4.個人職能盤點'!$I$2:$I$1486,'4.個人職能盤點'!$F$2:$F$1486,B27,'4.個人職能盤點'!$I$2:$I$1486,"&gt;0",'4.個人職能盤點'!$G$2:$G$1486,"&gt;0"))</f>
        <v/>
      </c>
      <c r="F27" s="122">
        <f>IF(C27=0,"",E27-D27)</f>
        <v/>
      </c>
      <c r="G27" s="120">
        <f>COUNTIFS('4.個人職能盤點'!$F$2:$F$1486,B27,'4.個人職能盤點'!$K$2:$K$1486,"待發展")</f>
        <v/>
      </c>
      <c r="H27" s="121">
        <f>IF(C27=0,"",G27/C27)</f>
        <v/>
      </c>
      <c r="I27" s="120">
        <f>IF(H27="","",IF(H27&gt;=0.5,"高",IF(H27&gt;=0.25,"中","低")))</f>
        <v/>
      </c>
    </row>
    <row r="28" ht="15.75" customHeight="1" s="64">
      <c r="A28" s="120">
        <f>'1.職能辭典'!A28</f>
        <v/>
      </c>
      <c r="B28" s="124">
        <f>'1.職能辭典'!C28</f>
        <v/>
      </c>
      <c r="C28" s="120">
        <f>COUNTIFS('4.個人職能盤點'!$F$2:$F$1486,B28,'4.個人職能盤點'!$K$2:$K$1486,"達標")+COUNTIFS('4.個人職能盤點'!$F$2:$F$1486,B28,'4.個人職能盤點'!$K$2:$K$1486,"超越")+COUNTIFS('4.個人職能盤點'!$F$2:$F$1486,B28,'4.個人職能盤點'!$K$2:$K$1486,"待發展")</f>
        <v/>
      </c>
      <c r="D28" s="123">
        <f>IF(C28=0,"",AVERAGEIFS('4.個人職能盤點'!$G$2:$G$1486,'4.個人職能盤點'!$F$2:$F$1486,B28,'4.個人職能盤點'!$I$2:$I$1486,"&gt;0",'4.個人職能盤點'!$G$2:$G$1486,"&gt;0"))</f>
        <v/>
      </c>
      <c r="E28" s="123">
        <f>IF(C28=0,"",AVERAGEIFS('4.個人職能盤點'!$I$2:$I$1486,'4.個人職能盤點'!$F$2:$F$1486,B28,'4.個人職能盤點'!$I$2:$I$1486,"&gt;0",'4.個人職能盤點'!$G$2:$G$1486,"&gt;0"))</f>
        <v/>
      </c>
      <c r="F28" s="122">
        <f>IF(C28=0,"",E28-D28)</f>
        <v/>
      </c>
      <c r="G28" s="120">
        <f>COUNTIFS('4.個人職能盤點'!$F$2:$F$1486,B28,'4.個人職能盤點'!$K$2:$K$1486,"待發展")</f>
        <v/>
      </c>
      <c r="H28" s="121">
        <f>IF(C28=0,"",G28/C28)</f>
        <v/>
      </c>
      <c r="I28" s="120">
        <f>IF(H28="","",IF(H28&gt;=0.5,"高",IF(H28&gt;=0.25,"中","低")))</f>
        <v/>
      </c>
    </row>
    <row r="29" ht="15.75" customHeight="1" s="64"/>
    <row r="30" ht="15.75" customHeight="1" s="64">
      <c r="A30" s="115" t="inlineStr">
        <is>
          <t>建議訓練優先序：待發展比例 ≥50% 高、25%–49% 中、&lt;25% 低（門檻可調整）。可據此規劃年度訓練計畫。</t>
        </is>
      </c>
    </row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conditionalFormatting sqref="I2:I16">
    <cfRule type="cellIs" rank="0" priority="2" equalAverage="0" operator="equal" aboveAverage="0" dxfId="5" text="" percent="0" bottom="0">
      <formula>"高"</formula>
    </cfRule>
  </conditionalFormatting>
  <conditionalFormatting sqref="I17:I28">
    <cfRule type="cellIs" rank="0" priority="3" equalAverage="0" operator="equal" aboveAverage="0" dxfId="8" text="" percent="0" bottom="0">
      <formula>"高"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2026-10-21T01:55:59Z</dcterms:created>
  <dcterms:modified xmlns:dcterms="http://purl.org/dc/terms/" xmlns:xsi="http://www.w3.org/2001/XMLSchema-instance" xsi:type="dcterms:W3CDTF">2026-10-30T06:15:36Z</dcterms:modified>
  <cp:revision>0</cp:revision>
</cp:coreProperties>
</file>